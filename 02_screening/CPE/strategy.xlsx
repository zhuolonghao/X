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ongh\Desktop\X\02_screening\CPE\"/>
    </mc:Choice>
  </mc:AlternateContent>
  <xr:revisionPtr revIDLastSave="0" documentId="13_ncr:1_{4DB7178E-C018-47C0-9DBF-2DCBD745BC0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BQR-7_9.27" sheetId="19" r:id="rId1"/>
    <sheet name="BQR-6_9.27" sheetId="18" r:id="rId2"/>
    <sheet name="NAC|CPE888_9.18" sheetId="17" r:id="rId3"/>
    <sheet name="Bull_Metrics" sheetId="15" r:id="rId4"/>
    <sheet name="CPE-887_9.18" sheetId="16" r:id="rId5"/>
    <sheet name="BQR-7_9.15" sheetId="12" r:id="rId6"/>
    <sheet name="BQR-6_9.15" sheetId="10" state="hidden" r:id="rId7"/>
    <sheet name="CPE_887_9.10.2025" sheetId="8" state="hidden" r:id="rId8"/>
    <sheet name="CPE_888_9.8.2025" sheetId="6" state="hidden" r:id="rId9"/>
    <sheet name="BQR-7_9.6.2025" sheetId="5" state="hidden" r:id="rId10"/>
    <sheet name="BQR-6_9.5.2025" sheetId="4" state="hidden" r:id="rId11"/>
    <sheet name="BQR-58_9.15" sheetId="13" r:id="rId12"/>
  </sheets>
  <definedNames>
    <definedName name="_xlnm._FilterDatabase" localSheetId="11" hidden="1">'BQR-58_9.15'!$A$4:$AZ$72</definedName>
    <definedName name="_xlnm._FilterDatabase" localSheetId="6" hidden="1">'BQR-6_9.15'!$A$4:$AZ$76</definedName>
    <definedName name="_xlnm._FilterDatabase" localSheetId="1" hidden="1">'BQR-6_9.27'!$A$4:$AZ$76</definedName>
    <definedName name="_xlnm._FilterDatabase" localSheetId="10" hidden="1">'BQR-6_9.5.2025'!$A$3:$AM$32</definedName>
    <definedName name="_xlnm._FilterDatabase" localSheetId="5" hidden="1">'BQR-7_9.15'!$A$4:$AZ$72</definedName>
    <definedName name="_xlnm._FilterDatabase" localSheetId="0" hidden="1">'BQR-7_9.27'!$A$4:$AZ$72</definedName>
    <definedName name="_xlnm._FilterDatabase" localSheetId="9" hidden="1">'BQR-7_9.6.2025'!$A$3:$AM$25</definedName>
    <definedName name="_xlnm._FilterDatabase" localSheetId="3" hidden="1">Bull_Metrics!$Z$1:$AG$1</definedName>
    <definedName name="_xlnm._FilterDatabase" localSheetId="7" hidden="1">'CPE_887_9.10.2025'!$A$3:$AM$17</definedName>
    <definedName name="_xlnm._FilterDatabase" localSheetId="8" hidden="1">'CPE_888_9.8.2025'!$A$3:$AM$4</definedName>
    <definedName name="_xlnm._FilterDatabase" localSheetId="4" hidden="1">'CPE-887_9.18'!$A$4:$AZ$54</definedName>
    <definedName name="_xlnm._FilterDatabase" localSheetId="2" hidden="1">'NAC|CPE888_9.18'!$B$4:$BA$32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7" i="8" l="1" a="1"/>
  <c r="W27" i="8" s="1"/>
  <c r="W26" i="8"/>
  <c r="W22" i="8"/>
  <c r="W21" i="8"/>
  <c r="W30" i="5"/>
  <c r="T29" i="5"/>
  <c r="T30" i="5"/>
  <c r="T28" i="5"/>
  <c r="AF42" i="4" a="1"/>
  <c r="AF42" i="4" s="1"/>
  <c r="AF41" i="4"/>
  <c r="AF39" i="4" a="1"/>
  <c r="AF39" i="4" s="1"/>
  <c r="AF37" i="4"/>
  <c r="AF36" i="4"/>
  <c r="AF35" i="4"/>
  <c r="AF34" i="4"/>
  <c r="AC41" i="4"/>
  <c r="AC42" i="4" s="1" a="1"/>
  <c r="AC42" i="4" s="1"/>
  <c r="AC39" i="4" a="1"/>
  <c r="AC39" i="4" s="1"/>
  <c r="AC37" i="4"/>
  <c r="AC36" i="4"/>
  <c r="AC35" i="4"/>
  <c r="AC34" i="4"/>
  <c r="Z41" i="4"/>
  <c r="Z39" i="4" a="1"/>
  <c r="Z39" i="4" s="1"/>
  <c r="Z37" i="4"/>
  <c r="Z36" i="4"/>
  <c r="Z35" i="4"/>
  <c r="Z34" i="4"/>
  <c r="Z42" i="4" s="1" a="1"/>
  <c r="Z42" i="4" s="1"/>
  <c r="W41" i="4"/>
  <c r="W39" i="4" a="1"/>
  <c r="W39" i="4" s="1"/>
  <c r="W37" i="4"/>
  <c r="W38" i="4" s="1"/>
  <c r="W36" i="4"/>
  <c r="W35" i="4"/>
  <c r="W34" i="4"/>
  <c r="W42" i="4" s="1" a="1"/>
  <c r="W42" i="4" s="1"/>
  <c r="T41" i="4"/>
  <c r="T39" i="4" a="1"/>
  <c r="T39" i="4" s="1"/>
  <c r="T37" i="4"/>
  <c r="T36" i="4"/>
  <c r="AA13" i="8"/>
  <c r="AF26" i="8"/>
  <c r="AF24" i="8" a="1"/>
  <c r="AF24" i="8" s="1"/>
  <c r="AF22" i="8"/>
  <c r="AF21" i="8"/>
  <c r="AF20" i="8"/>
  <c r="AF19" i="8"/>
  <c r="AC26" i="8"/>
  <c r="AC24" i="8" a="1"/>
  <c r="AC24" i="8" s="1"/>
  <c r="AC22" i="8"/>
  <c r="AC23" i="8" s="1"/>
  <c r="AC21" i="8"/>
  <c r="AC20" i="8"/>
  <c r="AC19" i="8"/>
  <c r="AC27" i="8" s="1" a="1"/>
  <c r="AC27" i="8" s="1"/>
  <c r="Z26" i="8"/>
  <c r="Z24" i="8" a="1"/>
  <c r="Z24" i="8" s="1"/>
  <c r="Z22" i="8"/>
  <c r="Z21" i="8"/>
  <c r="Z20" i="8"/>
  <c r="Z19" i="8"/>
  <c r="Z27" i="8" s="1" a="1"/>
  <c r="Z27" i="8" s="1"/>
  <c r="T26" i="8"/>
  <c r="W24" i="8" a="1"/>
  <c r="W24" i="8" s="1"/>
  <c r="T24" i="8" a="1"/>
  <c r="T24" i="8" s="1"/>
  <c r="T22" i="8"/>
  <c r="T21" i="8"/>
  <c r="W20" i="8"/>
  <c r="T20" i="8"/>
  <c r="W19" i="8"/>
  <c r="T19" i="8"/>
  <c r="AD6" i="8"/>
  <c r="AA6" i="8"/>
  <c r="X6" i="8"/>
  <c r="U6" i="8"/>
  <c r="AD14" i="8"/>
  <c r="AA14" i="8"/>
  <c r="X14" i="8"/>
  <c r="U14" i="8"/>
  <c r="AD13" i="8"/>
  <c r="X13" i="8"/>
  <c r="U13" i="8"/>
  <c r="AD10" i="8"/>
  <c r="AA10" i="8"/>
  <c r="X10" i="8"/>
  <c r="U10" i="8"/>
  <c r="AD17" i="8"/>
  <c r="AA17" i="8"/>
  <c r="X17" i="8"/>
  <c r="U17" i="8"/>
  <c r="AD11" i="8"/>
  <c r="AA11" i="8"/>
  <c r="X11" i="8"/>
  <c r="U11" i="8"/>
  <c r="AD8" i="8"/>
  <c r="AA8" i="8"/>
  <c r="X8" i="8"/>
  <c r="U8" i="8"/>
  <c r="AD4" i="8"/>
  <c r="AA4" i="8"/>
  <c r="X4" i="8"/>
  <c r="U4" i="8"/>
  <c r="AD12" i="8"/>
  <c r="AA12" i="8"/>
  <c r="X12" i="8"/>
  <c r="U12" i="8"/>
  <c r="AD15" i="8"/>
  <c r="AA15" i="8"/>
  <c r="X15" i="8"/>
  <c r="U15" i="8"/>
  <c r="U16" i="8"/>
  <c r="AD5" i="8"/>
  <c r="AA5" i="8"/>
  <c r="X5" i="8"/>
  <c r="X9" i="8"/>
  <c r="U9" i="8"/>
  <c r="AD7" i="8"/>
  <c r="X7" i="8"/>
  <c r="U7" i="8"/>
  <c r="W17" i="6"/>
  <c r="T17" i="6"/>
  <c r="W15" i="6" a="1"/>
  <c r="W15" i="6" s="1"/>
  <c r="T15" i="6" a="1"/>
  <c r="T15" i="6" s="1"/>
  <c r="AF13" i="6"/>
  <c r="AC13" i="6"/>
  <c r="Z13" i="6"/>
  <c r="W13" i="6"/>
  <c r="T13" i="6"/>
  <c r="AF12" i="6"/>
  <c r="AC12" i="6"/>
  <c r="Z12" i="6"/>
  <c r="W12" i="6"/>
  <c r="T12" i="6"/>
  <c r="AF11" i="6"/>
  <c r="AC11" i="6"/>
  <c r="Z11" i="6"/>
  <c r="W11" i="6"/>
  <c r="T11" i="6"/>
  <c r="W10" i="6"/>
  <c r="W18" i="6" s="1" a="1"/>
  <c r="W18" i="6" s="1"/>
  <c r="T10" i="6"/>
  <c r="T18" i="6" s="1" a="1"/>
  <c r="T18" i="6" s="1"/>
  <c r="AD5" i="6"/>
  <c r="AA5" i="6"/>
  <c r="X5" i="6"/>
  <c r="U5" i="6"/>
  <c r="U7" i="6"/>
  <c r="AD8" i="6"/>
  <c r="AA8" i="6"/>
  <c r="X8" i="6"/>
  <c r="X6" i="6"/>
  <c r="U6" i="6"/>
  <c r="AD4" i="6"/>
  <c r="X4" i="6"/>
  <c r="U4" i="6"/>
  <c r="T42" i="4" a="1"/>
  <c r="T42" i="4" s="1"/>
  <c r="T34" i="4"/>
  <c r="T35" i="4"/>
  <c r="Z28" i="5"/>
  <c r="AC28" i="5"/>
  <c r="AF28" i="5"/>
  <c r="Z29" i="5"/>
  <c r="AC29" i="5"/>
  <c r="AF29" i="5"/>
  <c r="Z30" i="5"/>
  <c r="AC30" i="5"/>
  <c r="AF30" i="5"/>
  <c r="W35" i="5" a="1"/>
  <c r="W35" i="5" s="1"/>
  <c r="W34" i="5"/>
  <c r="W32" i="5" a="1"/>
  <c r="W32" i="5" s="1"/>
  <c r="W29" i="5"/>
  <c r="W28" i="5"/>
  <c r="W27" i="5"/>
  <c r="T32" i="5" a="1"/>
  <c r="T32" i="5" s="1"/>
  <c r="T27" i="5"/>
  <c r="T34" i="5"/>
  <c r="U15" i="5"/>
  <c r="AD11" i="5"/>
  <c r="AA11" i="5"/>
  <c r="X11" i="5"/>
  <c r="U11" i="5"/>
  <c r="AD20" i="5"/>
  <c r="AA20" i="5"/>
  <c r="X20" i="5"/>
  <c r="U20" i="5"/>
  <c r="AD8" i="5"/>
  <c r="AA8" i="5"/>
  <c r="X8" i="5"/>
  <c r="U8" i="5"/>
  <c r="AD4" i="5"/>
  <c r="AA4" i="5"/>
  <c r="X4" i="5"/>
  <c r="U4" i="5"/>
  <c r="AD7" i="5"/>
  <c r="AA7" i="5"/>
  <c r="X7" i="5"/>
  <c r="U7" i="5"/>
  <c r="AA10" i="5"/>
  <c r="X10" i="5"/>
  <c r="U10" i="5"/>
  <c r="AD17" i="5"/>
  <c r="AA17" i="5"/>
  <c r="X17" i="5"/>
  <c r="U17" i="5"/>
  <c r="AD14" i="5"/>
  <c r="AA14" i="5"/>
  <c r="X14" i="5"/>
  <c r="U14" i="5"/>
  <c r="AD5" i="5"/>
  <c r="AA5" i="5"/>
  <c r="X5" i="5"/>
  <c r="U5" i="5"/>
  <c r="AD12" i="5"/>
  <c r="AA12" i="5"/>
  <c r="X12" i="5"/>
  <c r="U12" i="5"/>
  <c r="AD6" i="5"/>
  <c r="AA6" i="5"/>
  <c r="X6" i="5"/>
  <c r="U6" i="5"/>
  <c r="AD25" i="5"/>
  <c r="AA25" i="5"/>
  <c r="X25" i="5"/>
  <c r="U25" i="5"/>
  <c r="AD22" i="5"/>
  <c r="AA22" i="5"/>
  <c r="X22" i="5"/>
  <c r="U22" i="5"/>
  <c r="AD9" i="5"/>
  <c r="AA9" i="5"/>
  <c r="X9" i="5"/>
  <c r="U9" i="5"/>
  <c r="AD18" i="5"/>
  <c r="AA18" i="5"/>
  <c r="X18" i="5"/>
  <c r="U18" i="5"/>
  <c r="AD21" i="5"/>
  <c r="AA21" i="5"/>
  <c r="X21" i="5"/>
  <c r="U21" i="5"/>
  <c r="AD24" i="5"/>
  <c r="AA24" i="5"/>
  <c r="X24" i="5"/>
  <c r="U24" i="5"/>
  <c r="AD15" i="5"/>
  <c r="AA15" i="5"/>
  <c r="X15" i="5"/>
  <c r="U23" i="5"/>
  <c r="AD16" i="5"/>
  <c r="AA16" i="5"/>
  <c r="X16" i="5"/>
  <c r="X13" i="5"/>
  <c r="U13" i="5"/>
  <c r="AD19" i="5"/>
  <c r="X19" i="5"/>
  <c r="U19" i="5"/>
  <c r="AA25" i="4"/>
  <c r="AA22" i="4"/>
  <c r="AD22" i="4"/>
  <c r="AD19" i="4"/>
  <c r="AD5" i="4"/>
  <c r="AD15" i="4"/>
  <c r="AD10" i="4"/>
  <c r="AD16" i="4"/>
  <c r="AD28" i="4"/>
  <c r="AD12" i="4"/>
  <c r="AD6" i="4"/>
  <c r="AD32" i="4"/>
  <c r="AD27" i="4"/>
  <c r="AD9" i="4"/>
  <c r="AD8" i="4"/>
  <c r="AD14" i="4"/>
  <c r="AD17" i="4"/>
  <c r="AD23" i="4"/>
  <c r="AD21" i="4"/>
  <c r="AD18" i="4"/>
  <c r="AD4" i="4"/>
  <c r="AD25" i="4"/>
  <c r="AD29" i="4"/>
  <c r="AD11" i="4"/>
  <c r="AD13" i="4"/>
  <c r="AD30" i="4"/>
  <c r="AD31" i="4"/>
  <c r="AA19" i="4"/>
  <c r="AA5" i="4"/>
  <c r="AA15" i="4"/>
  <c r="AA10" i="4"/>
  <c r="AA16" i="4"/>
  <c r="AA20" i="4"/>
  <c r="AA28" i="4"/>
  <c r="AA12" i="4"/>
  <c r="AA6" i="4"/>
  <c r="AA32" i="4"/>
  <c r="AA27" i="4"/>
  <c r="AA9" i="4"/>
  <c r="AA24" i="4"/>
  <c r="AA8" i="4"/>
  <c r="AA14" i="4"/>
  <c r="AA17" i="4"/>
  <c r="AA23" i="4"/>
  <c r="AA26" i="4"/>
  <c r="AA21" i="4"/>
  <c r="AA18" i="4"/>
  <c r="AA4" i="4"/>
  <c r="AA29" i="4"/>
  <c r="AA11" i="4"/>
  <c r="AA13" i="4"/>
  <c r="AA30" i="4"/>
  <c r="AA31" i="4"/>
  <c r="X19" i="4"/>
  <c r="X5" i="4"/>
  <c r="X15" i="4"/>
  <c r="X10" i="4"/>
  <c r="X16" i="4"/>
  <c r="X20" i="4"/>
  <c r="X28" i="4"/>
  <c r="X12" i="4"/>
  <c r="X6" i="4"/>
  <c r="X32" i="4"/>
  <c r="X27" i="4"/>
  <c r="X22" i="4"/>
  <c r="X9" i="4"/>
  <c r="X24" i="4"/>
  <c r="X8" i="4"/>
  <c r="X14" i="4"/>
  <c r="X17" i="4"/>
  <c r="X23" i="4"/>
  <c r="X26" i="4"/>
  <c r="X21" i="4"/>
  <c r="X18" i="4"/>
  <c r="X4" i="4"/>
  <c r="X25" i="4"/>
  <c r="X29" i="4"/>
  <c r="X11" i="4"/>
  <c r="X13" i="4"/>
  <c r="X30" i="4"/>
  <c r="X31" i="4"/>
  <c r="U19" i="4"/>
  <c r="U5" i="4"/>
  <c r="U15" i="4"/>
  <c r="U10" i="4"/>
  <c r="U16" i="4"/>
  <c r="U20" i="4"/>
  <c r="U28" i="4"/>
  <c r="U12" i="4"/>
  <c r="U6" i="4"/>
  <c r="U32" i="4"/>
  <c r="U27" i="4"/>
  <c r="U7" i="4"/>
  <c r="U22" i="4"/>
  <c r="U9" i="4"/>
  <c r="U24" i="4"/>
  <c r="U8" i="4"/>
  <c r="U14" i="4"/>
  <c r="U17" i="4"/>
  <c r="U23" i="4"/>
  <c r="U26" i="4"/>
  <c r="U21" i="4"/>
  <c r="U18" i="4"/>
  <c r="U4" i="4"/>
  <c r="U25" i="4"/>
  <c r="U29" i="4"/>
  <c r="U11" i="4"/>
  <c r="U13" i="4"/>
  <c r="U30" i="4"/>
  <c r="U31" i="4"/>
  <c r="AC25" i="8" l="1"/>
  <c r="AC40" i="4"/>
  <c r="T40" i="4"/>
  <c r="T38" i="4"/>
  <c r="AF27" i="8" a="1"/>
  <c r="AF27" i="8" s="1"/>
  <c r="Z25" i="8"/>
  <c r="Z23" i="8"/>
  <c r="Z38" i="4"/>
  <c r="AF38" i="4"/>
  <c r="W40" i="4"/>
  <c r="Z40" i="4"/>
  <c r="AC38" i="4"/>
  <c r="AF40" i="4"/>
  <c r="T33" i="5"/>
  <c r="AF31" i="5"/>
  <c r="T35" i="5" a="1"/>
  <c r="T35" i="5" s="1"/>
  <c r="AC31" i="5"/>
  <c r="AF23" i="8"/>
  <c r="Z31" i="5"/>
  <c r="W31" i="5"/>
  <c r="W33" i="5"/>
  <c r="AF25" i="8"/>
  <c r="T27" i="8" a="1"/>
  <c r="T27" i="8" s="1"/>
  <c r="T25" i="8"/>
  <c r="W23" i="8"/>
  <c r="W25" i="8"/>
  <c r="T23" i="8"/>
  <c r="T14" i="6"/>
  <c r="W14" i="6"/>
  <c r="AF14" i="6"/>
  <c r="W16" i="6"/>
  <c r="AC14" i="6"/>
  <c r="Z14" i="6"/>
  <c r="T16" i="6"/>
  <c r="T31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<sst xmlns="http://schemas.openxmlformats.org/spreadsheetml/2006/main" count="2146" uniqueCount="367">
  <si>
    <t>Type</t>
  </si>
  <si>
    <t>Ticker</t>
  </si>
  <si>
    <t>Gain</t>
  </si>
  <si>
    <t>Gain Date</t>
  </si>
  <si>
    <t>Pain</t>
  </si>
  <si>
    <t>Pain Date</t>
  </si>
  <si>
    <t>-</t>
  </si>
  <si>
    <t>Tie</t>
  </si>
  <si>
    <t>Win</t>
  </si>
  <si>
    <t>MODV</t>
  </si>
  <si>
    <t>SPHR</t>
  </si>
  <si>
    <t>NFE</t>
  </si>
  <si>
    <t>HAIN</t>
  </si>
  <si>
    <t>CODI</t>
  </si>
  <si>
    <t>APPS</t>
  </si>
  <si>
    <t>CATO</t>
  </si>
  <si>
    <t>DTI</t>
  </si>
  <si>
    <t>GT</t>
  </si>
  <si>
    <t>FLWS</t>
  </si>
  <si>
    <t>MATV</t>
  </si>
  <si>
    <t>MEI</t>
  </si>
  <si>
    <t>ONEW</t>
  </si>
  <si>
    <t>SBGI</t>
  </si>
  <si>
    <t>SMTC</t>
  </si>
  <si>
    <t>SNAP</t>
  </si>
  <si>
    <t>SSP</t>
  </si>
  <si>
    <t>TTEC</t>
  </si>
  <si>
    <t>Returns</t>
  </si>
  <si>
    <t>-25D</t>
  </si>
  <si>
    <t>Moving to BQR6</t>
  </si>
  <si>
    <t>Before Event</t>
  </si>
  <si>
    <t>After Event</t>
  </si>
  <si>
    <t>-120D</t>
  </si>
  <si>
    <t>75D</t>
  </si>
  <si>
    <t>150D</t>
  </si>
  <si>
    <t>ASAP Strategy</t>
  </si>
  <si>
    <t>Result</t>
  </si>
  <si>
    <t>Event / Screening</t>
  </si>
  <si>
    <t>AGL</t>
  </si>
  <si>
    <t>AKA</t>
  </si>
  <si>
    <t>CAR Date</t>
  </si>
  <si>
    <t>D0 Date</t>
  </si>
  <si>
    <t>D0 Price</t>
  </si>
  <si>
    <t>ADTN</t>
  </si>
  <si>
    <t>BA</t>
  </si>
  <si>
    <t>EDR</t>
  </si>
  <si>
    <t>FTRE</t>
  </si>
  <si>
    <t>GTN</t>
  </si>
  <si>
    <t>HE</t>
  </si>
  <si>
    <t>IART</t>
  </si>
  <si>
    <t>IRWD</t>
  </si>
  <si>
    <t>LTH</t>
  </si>
  <si>
    <t>MMI</t>
  </si>
  <si>
    <t>MRCY</t>
  </si>
  <si>
    <t>MXL</t>
  </si>
  <si>
    <t>SLAB</t>
  </si>
  <si>
    <t>TBI</t>
  </si>
  <si>
    <t>VFC</t>
  </si>
  <si>
    <t>ZIP</t>
  </si>
  <si>
    <t>Maximum from D0 Date</t>
  </si>
  <si>
    <t>-10%</t>
  </si>
  <si>
    <t>-20%</t>
  </si>
  <si>
    <t>Bottom of Dashboard (Automated)</t>
  </si>
  <si>
    <r>
      <t>1st material drop from</t>
    </r>
    <r>
      <rPr>
        <b/>
        <sz val="11"/>
        <color rgb="FFFF0000"/>
        <rFont val="Calibri"/>
        <family val="2"/>
        <scheme val="minor"/>
      </rPr>
      <t xml:space="preserve"> D0</t>
    </r>
  </si>
  <si>
    <r>
      <t xml:space="preserve">1st material drop from </t>
    </r>
    <r>
      <rPr>
        <b/>
        <sz val="11"/>
        <color rgb="FFFF0000"/>
        <rFont val="Calibri"/>
        <family val="2"/>
        <scheme val="minor"/>
      </rPr>
      <t>D7</t>
    </r>
  </si>
  <si>
    <t>Top of Dashboard (Manual Check / Cannot be automated)</t>
  </si>
  <si>
    <r>
      <t xml:space="preserve">Wait-and-See 
(down by 10% from </t>
    </r>
    <r>
      <rPr>
        <sz val="11"/>
        <color rgb="FFFF0000"/>
        <rFont val="Calibri"/>
        <family val="2"/>
        <scheme val="minor"/>
      </rPr>
      <t>D7</t>
    </r>
    <r>
      <rPr>
        <sz val="11"/>
        <color theme="1"/>
        <rFont val="Calibri"/>
        <family val="2"/>
        <scheme val="minor"/>
      </rPr>
      <t>)</t>
    </r>
  </si>
  <si>
    <r>
      <t xml:space="preserve">Wait-and-See 
(down by 20% from </t>
    </r>
    <r>
      <rPr>
        <sz val="11"/>
        <color rgb="FFFF0000"/>
        <rFont val="Calibri"/>
        <family val="2"/>
        <scheme val="minor"/>
      </rPr>
      <t>D7</t>
    </r>
    <r>
      <rPr>
        <sz val="11"/>
        <color theme="1"/>
        <rFont val="Calibri"/>
        <family val="2"/>
        <scheme val="minor"/>
      </rPr>
      <t>)</t>
    </r>
  </si>
  <si>
    <t>Action</t>
  </si>
  <si>
    <r>
      <t xml:space="preserve">Wait-and-See
 (down by 20% from </t>
    </r>
    <r>
      <rPr>
        <sz val="11"/>
        <color rgb="FFFF0000"/>
        <rFont val="Calibri"/>
        <family val="2"/>
        <scheme val="minor"/>
      </rPr>
      <t>D0</t>
    </r>
    <r>
      <rPr>
        <sz val="11"/>
        <color theme="1"/>
        <rFont val="Calibri"/>
        <family val="2"/>
        <scheme val="minor"/>
      </rPr>
      <t>)</t>
    </r>
  </si>
  <si>
    <r>
      <t>Wait-and-See 
(down by 10% from</t>
    </r>
    <r>
      <rPr>
        <sz val="11"/>
        <color rgb="FFFF0000"/>
        <rFont val="Calibri"/>
        <family val="2"/>
        <scheme val="minor"/>
      </rPr>
      <t xml:space="preserve"> D0</t>
    </r>
    <r>
      <rPr>
        <sz val="11"/>
        <color theme="1"/>
        <rFont val="Calibri"/>
        <family val="2"/>
        <scheme val="minor"/>
      </rPr>
      <t>)</t>
    </r>
  </si>
  <si>
    <t>Lose</t>
  </si>
  <si>
    <t>Moving to BQR7</t>
  </si>
  <si>
    <t>BALY</t>
  </si>
  <si>
    <t>CMP</t>
  </si>
  <si>
    <t>CRNC</t>
  </si>
  <si>
    <t>HBIO</t>
  </si>
  <si>
    <t>MPW</t>
  </si>
  <si>
    <t>PENN</t>
  </si>
  <si>
    <t>RDUS</t>
  </si>
  <si>
    <t>WDC</t>
  </si>
  <si>
    <t>Win Rate</t>
  </si>
  <si>
    <t>Avg Return</t>
  </si>
  <si>
    <t>Sharpe Ratio</t>
  </si>
  <si>
    <t>Std. Deviation</t>
  </si>
  <si>
    <t>STD for only negative</t>
  </si>
  <si>
    <t>Sortino Ratio</t>
  </si>
  <si>
    <t>Max Drawdown</t>
  </si>
  <si>
    <t>Calmar Ratio</t>
  </si>
  <si>
    <t>Counts</t>
  </si>
  <si>
    <t>FLY</t>
  </si>
  <si>
    <t>NAC</t>
  </si>
  <si>
    <t>CPE888</t>
  </si>
  <si>
    <t>CRWV</t>
  </si>
  <si>
    <t>EBS</t>
  </si>
  <si>
    <t>GORV</t>
  </si>
  <si>
    <t>OSCR</t>
  </si>
  <si>
    <t>Foreced Exit when drop by 20%</t>
  </si>
  <si>
    <r>
      <t>ASAP
 (</t>
    </r>
    <r>
      <rPr>
        <sz val="11"/>
        <color rgb="FFFF0000"/>
        <rFont val="Calibri"/>
        <family val="2"/>
        <scheme val="minor"/>
      </rPr>
      <t>traded on D7</t>
    </r>
    <r>
      <rPr>
        <sz val="11"/>
        <color theme="1"/>
        <rFont val="Calibri"/>
        <family val="2"/>
        <scheme val="minor"/>
      </rPr>
      <t>)</t>
    </r>
  </si>
  <si>
    <t>Foreced Exit when drop by 30%</t>
  </si>
  <si>
    <r>
      <t>1st material up from</t>
    </r>
    <r>
      <rPr>
        <b/>
        <sz val="11"/>
        <color rgb="FFFF0000"/>
        <rFont val="Calibri"/>
        <family val="2"/>
        <scheme val="minor"/>
      </rPr>
      <t xml:space="preserve"> D0</t>
    </r>
  </si>
  <si>
    <r>
      <t>1st material down from</t>
    </r>
    <r>
      <rPr>
        <b/>
        <sz val="11"/>
        <color rgb="FFFF0000"/>
        <rFont val="Calibri"/>
        <family val="2"/>
        <scheme val="minor"/>
      </rPr>
      <t xml:space="preserve"> D0</t>
    </r>
  </si>
  <si>
    <r>
      <t xml:space="preserve">Wait-and-See
</t>
    </r>
    <r>
      <rPr>
        <b/>
        <sz val="11"/>
        <color rgb="FFFF0000"/>
        <rFont val="Calibri"/>
        <family val="2"/>
        <scheme val="minor"/>
      </rPr>
      <t xml:space="preserve"> (down by 10% from D0)</t>
    </r>
  </si>
  <si>
    <r>
      <t xml:space="preserve">Wait-and-See
</t>
    </r>
    <r>
      <rPr>
        <b/>
        <sz val="11"/>
        <color rgb="FFFF0000"/>
        <rFont val="Calibri"/>
        <family val="2"/>
        <scheme val="minor"/>
      </rPr>
      <t xml:space="preserve"> (down by 20% from D0)</t>
    </r>
  </si>
  <si>
    <r>
      <t xml:space="preserve">Wait-and-See
</t>
    </r>
    <r>
      <rPr>
        <b/>
        <sz val="11"/>
        <color rgb="FFFF0000"/>
        <rFont val="Calibri"/>
        <family val="2"/>
        <scheme val="minor"/>
      </rPr>
      <t xml:space="preserve"> (down by 30% from D0)</t>
    </r>
  </si>
  <si>
    <t>Ret</t>
  </si>
  <si>
    <t>Dt</t>
  </si>
  <si>
    <r>
      <t xml:space="preserve">Wait-and-See
</t>
    </r>
    <r>
      <rPr>
        <b/>
        <sz val="11"/>
        <color rgb="FFFF0000"/>
        <rFont val="Calibri"/>
        <family val="2"/>
        <scheme val="minor"/>
      </rPr>
      <t xml:space="preserve"> (Up or Down by 10% from D0)</t>
    </r>
  </si>
  <si>
    <r>
      <t xml:space="preserve">Wait-and-See
</t>
    </r>
    <r>
      <rPr>
        <b/>
        <sz val="11"/>
        <color rgb="FFFF0000"/>
        <rFont val="Calibri"/>
        <family val="2"/>
        <scheme val="minor"/>
      </rPr>
      <t xml:space="preserve"> (Up or Down by 20% from D0)</t>
    </r>
  </si>
  <si>
    <r>
      <t xml:space="preserve">Wait-and-See
</t>
    </r>
    <r>
      <rPr>
        <b/>
        <sz val="11"/>
        <color rgb="FFFF0000"/>
        <rFont val="Calibri"/>
        <family val="2"/>
        <scheme val="minor"/>
      </rPr>
      <t xml:space="preserve"> (Up or Down by 30% from D0)</t>
    </r>
  </si>
  <si>
    <t>ADP</t>
  </si>
  <si>
    <t>ALNT</t>
  </si>
  <si>
    <t>AMCX</t>
  </si>
  <si>
    <t>AMPK</t>
  </si>
  <si>
    <t>APO</t>
  </si>
  <si>
    <t>APPN</t>
  </si>
  <si>
    <t>ASTE</t>
  </si>
  <si>
    <t>ASTH</t>
  </si>
  <si>
    <t>BAND</t>
  </si>
  <si>
    <t>CAR</t>
  </si>
  <si>
    <t>CLR</t>
  </si>
  <si>
    <t>CMCO</t>
  </si>
  <si>
    <t>COR</t>
  </si>
  <si>
    <t>CRK</t>
  </si>
  <si>
    <t>DKNG</t>
  </si>
  <si>
    <t>DNUT</t>
  </si>
  <si>
    <t>EE</t>
  </si>
  <si>
    <t>EFXT</t>
  </si>
  <si>
    <t>EHAB</t>
  </si>
  <si>
    <t>EMBC</t>
  </si>
  <si>
    <t>EVC</t>
  </si>
  <si>
    <t>EXAS</t>
  </si>
  <si>
    <t>EXTR</t>
  </si>
  <si>
    <t>FMC</t>
  </si>
  <si>
    <t>FOXF</t>
  </si>
  <si>
    <t>GDOT</t>
  </si>
  <si>
    <t>HBI</t>
  </si>
  <si>
    <t>HI</t>
  </si>
  <si>
    <t>HNGR</t>
  </si>
  <si>
    <t>HRYS</t>
  </si>
  <si>
    <t>IFF</t>
  </si>
  <si>
    <t>JEF</t>
  </si>
  <si>
    <t>LFST</t>
  </si>
  <si>
    <t>LGF.A</t>
  </si>
  <si>
    <t>LPRO</t>
  </si>
  <si>
    <t>NCLH</t>
  </si>
  <si>
    <t>NEOG</t>
  </si>
  <si>
    <t>OMCL</t>
  </si>
  <si>
    <t>PACK</t>
  </si>
  <si>
    <t>PII</t>
  </si>
  <si>
    <t>PRDO</t>
  </si>
  <si>
    <t>QTWO</t>
  </si>
  <si>
    <t>RELY</t>
  </si>
  <si>
    <t>SALT</t>
  </si>
  <si>
    <t>SGH</t>
  </si>
  <si>
    <t>SHYF</t>
  </si>
  <si>
    <t>SMG</t>
  </si>
  <si>
    <t>SWX</t>
  </si>
  <si>
    <t>TDS</t>
  </si>
  <si>
    <t>TELA</t>
  </si>
  <si>
    <t>TG</t>
  </si>
  <si>
    <t>TTWO</t>
  </si>
  <si>
    <t>WLFC</t>
  </si>
  <si>
    <t>WRLD</t>
  </si>
  <si>
    <t>Median Return</t>
  </si>
  <si>
    <t>Payoff Ratio</t>
  </si>
  <si>
    <t>Profit Factor</t>
  </si>
  <si>
    <t>bqr6_down30_ext30</t>
  </si>
  <si>
    <t>bqr6_down30_ext20</t>
  </si>
  <si>
    <t>bqr6_down20_ext30</t>
  </si>
  <si>
    <t>bqr6_down20_ext20</t>
  </si>
  <si>
    <t>bqr6_down10_ext30</t>
  </si>
  <si>
    <t>bqr6_down10_ext20</t>
  </si>
  <si>
    <t>bqr6_move30_ext30</t>
  </si>
  <si>
    <t>bqr6_move30_ext20</t>
  </si>
  <si>
    <t>bqr6_move20_ext30</t>
  </si>
  <si>
    <t>bqr6_move20_ext20</t>
  </si>
  <si>
    <t>bqr6_move10_ext30</t>
  </si>
  <si>
    <t>bqr6_move10_ext20</t>
  </si>
  <si>
    <t>bqr6_asap_30</t>
  </si>
  <si>
    <t>bqr6_asap_20</t>
  </si>
  <si>
    <t>Trade Count</t>
  </si>
  <si>
    <t>Average Return</t>
  </si>
  <si>
    <t>bqr5_asap_20</t>
  </si>
  <si>
    <t>bqr5_asap_30</t>
  </si>
  <si>
    <t>bqr5_move10_ext20</t>
  </si>
  <si>
    <t>bqr5_move10_ext30</t>
  </si>
  <si>
    <t>bqr5_move20_ext20</t>
  </si>
  <si>
    <t>bqr5_move20_ext30</t>
  </si>
  <si>
    <t>bqr5_move30_ext20</t>
  </si>
  <si>
    <t>bqr5_move30_ext30</t>
  </si>
  <si>
    <t>bqr5_down10_ext20</t>
  </si>
  <si>
    <t>bqr5_down10_ext30</t>
  </si>
  <si>
    <t>bqr5_down20_ext20</t>
  </si>
  <si>
    <t>bqr5_down20_ext30</t>
  </si>
  <si>
    <t>bqr5_down30_ext20</t>
  </si>
  <si>
    <t>bqr5_down30_ext30</t>
  </si>
  <si>
    <t>BQR7_asap_20</t>
  </si>
  <si>
    <t>BQR7_asap_30</t>
  </si>
  <si>
    <t>BQR7_move10_ext20</t>
  </si>
  <si>
    <t>BQR7_move10_ext30</t>
  </si>
  <si>
    <t>BQR7_move20_ext20</t>
  </si>
  <si>
    <t>BQR7_move20_ext30</t>
  </si>
  <si>
    <t>BQR7_move30_ext20</t>
  </si>
  <si>
    <t>BQR7_move30_ext30</t>
  </si>
  <si>
    <t>BQR7_down10_ext20</t>
  </si>
  <si>
    <t>BQR7_down10_ext30</t>
  </si>
  <si>
    <t>BQR7_down20_ext20</t>
  </si>
  <si>
    <t>BQR7_down20_ext30</t>
  </si>
  <si>
    <t>BQR7_down30_ext20</t>
  </si>
  <si>
    <t>BQR7_down30_ext30</t>
  </si>
  <si>
    <t>Column1</t>
  </si>
  <si>
    <t>cpe887_asap_20</t>
  </si>
  <si>
    <t>cpe887_asap_30</t>
  </si>
  <si>
    <t>cpe887_move10_ext20</t>
  </si>
  <si>
    <t>cpe887_move10_ext30</t>
  </si>
  <si>
    <t>cpe887_move20_ext20</t>
  </si>
  <si>
    <t>cpe887_move20_ext30</t>
  </si>
  <si>
    <t>cpe887_move30_ext20</t>
  </si>
  <si>
    <t>cpe887_move30_ext30</t>
  </si>
  <si>
    <t>cpe887_down10_ext20</t>
  </si>
  <si>
    <t>cpe887_down10_ext30</t>
  </si>
  <si>
    <t>cpe887_down20_ext20</t>
  </si>
  <si>
    <t>cpe887_down20_ext30</t>
  </si>
  <si>
    <t>cpe887_down30_ext20</t>
  </si>
  <si>
    <t>cpe887_down30_ext30</t>
  </si>
  <si>
    <t>2024-09-01</t>
  </si>
  <si>
    <t>2024-10-01</t>
  </si>
  <si>
    <t>2024-11-01</t>
  </si>
  <si>
    <t>2024-12-01</t>
  </si>
  <si>
    <t>2024-07-01</t>
  </si>
  <si>
    <t>2024-08-01</t>
  </si>
  <si>
    <t>2025-06-01</t>
  </si>
  <si>
    <t>2025-07-01</t>
  </si>
  <si>
    <t>2025-05-01</t>
  </si>
  <si>
    <t>2025-04-01</t>
  </si>
  <si>
    <t>2025-02-01</t>
  </si>
  <si>
    <t>2025-03-01</t>
  </si>
  <si>
    <t>2025-01-01</t>
  </si>
  <si>
    <t xml:space="preserve"> </t>
  </si>
  <si>
    <t>2024-03-01</t>
  </si>
  <si>
    <t>2024-04-01</t>
  </si>
  <si>
    <t>2025-08-01</t>
  </si>
  <si>
    <t>2023-05-01</t>
  </si>
  <si>
    <t>2023-06-01</t>
  </si>
  <si>
    <t>2025-09-01</t>
  </si>
  <si>
    <t>ARCT</t>
  </si>
  <si>
    <t>2023-04-01</t>
  </si>
  <si>
    <t>AYR</t>
  </si>
  <si>
    <t>2021-03-01</t>
  </si>
  <si>
    <t>2021-04-01</t>
  </si>
  <si>
    <t>BKD</t>
  </si>
  <si>
    <t>BLUE</t>
  </si>
  <si>
    <t>2022-01-01</t>
  </si>
  <si>
    <t>2022-02-01</t>
  </si>
  <si>
    <t>BRID</t>
  </si>
  <si>
    <t>BRK-A</t>
  </si>
  <si>
    <t>2023-11-01</t>
  </si>
  <si>
    <t>2023-12-01</t>
  </si>
  <si>
    <t>BRY</t>
  </si>
  <si>
    <t>2021-09-01</t>
  </si>
  <si>
    <t>2021-10-01</t>
  </si>
  <si>
    <t>BVS</t>
  </si>
  <si>
    <t>2022-12-01</t>
  </si>
  <si>
    <t>2023-01-01</t>
  </si>
  <si>
    <t>CAKE</t>
  </si>
  <si>
    <t>2021-06-01</t>
  </si>
  <si>
    <t>2021-07-01</t>
  </si>
  <si>
    <t>CDEV</t>
  </si>
  <si>
    <t>2021-05-01</t>
  </si>
  <si>
    <t>CLGX</t>
  </si>
  <si>
    <t>2022-07-01</t>
  </si>
  <si>
    <t>2022-08-01</t>
  </si>
  <si>
    <t>CNDT</t>
  </si>
  <si>
    <t>COTY</t>
  </si>
  <si>
    <t>CPE</t>
  </si>
  <si>
    <t>CRBG</t>
  </si>
  <si>
    <t>2022-06-01</t>
  </si>
  <si>
    <t>2023-03-01</t>
  </si>
  <si>
    <t>CRS</t>
  </si>
  <si>
    <t>CUDA</t>
  </si>
  <si>
    <t>CVE</t>
  </si>
  <si>
    <t>2021-01-01</t>
  </si>
  <si>
    <t>2021-02-01</t>
  </si>
  <si>
    <t>CZR</t>
  </si>
  <si>
    <t>DAL</t>
  </si>
  <si>
    <t>2022-11-01</t>
  </si>
  <si>
    <t>2023-10-01</t>
  </si>
  <si>
    <t>EQM</t>
  </si>
  <si>
    <t>2024-02-01</t>
  </si>
  <si>
    <t>ESLT</t>
  </si>
  <si>
    <t>2023-02-01</t>
  </si>
  <si>
    <t>FNKO</t>
  </si>
  <si>
    <t>FOGO</t>
  </si>
  <si>
    <t>FUN</t>
  </si>
  <si>
    <t>2021-12-01</t>
  </si>
  <si>
    <t>GPOR</t>
  </si>
  <si>
    <t>2021-08-01</t>
  </si>
  <si>
    <t>2023-09-01</t>
  </si>
  <si>
    <t>2023-08-01</t>
  </si>
  <si>
    <t>HLLY</t>
  </si>
  <si>
    <t>HPK</t>
  </si>
  <si>
    <t>2023-07-01</t>
  </si>
  <si>
    <t>HXL</t>
  </si>
  <si>
    <t>IGT</t>
  </si>
  <si>
    <t>2024-01-01</t>
  </si>
  <si>
    <t>IHG</t>
  </si>
  <si>
    <t>IOVA</t>
  </si>
  <si>
    <t>LOGM</t>
  </si>
  <si>
    <t>LUMN</t>
  </si>
  <si>
    <t>LUV</t>
  </si>
  <si>
    <t>LYV</t>
  </si>
  <si>
    <t>MAGN</t>
  </si>
  <si>
    <t>2022-05-01</t>
  </si>
  <si>
    <t>MAR</t>
  </si>
  <si>
    <t>MCS</t>
  </si>
  <si>
    <t>2022-03-01</t>
  </si>
  <si>
    <t>2022-04-01</t>
  </si>
  <si>
    <t>MG</t>
  </si>
  <si>
    <t>MGI</t>
  </si>
  <si>
    <t>MODVQ</t>
  </si>
  <si>
    <t>2024-06-01</t>
  </si>
  <si>
    <t>MPC</t>
  </si>
  <si>
    <t>MTRX</t>
  </si>
  <si>
    <t>NAII</t>
  </si>
  <si>
    <t>NBR</t>
  </si>
  <si>
    <t>NE</t>
  </si>
  <si>
    <t>2022-09-01</t>
  </si>
  <si>
    <t>NONE</t>
  </si>
  <si>
    <t>NTNX</t>
  </si>
  <si>
    <t>NWL</t>
  </si>
  <si>
    <t>OMCC</t>
  </si>
  <si>
    <t>2022-10-01</t>
  </si>
  <si>
    <t>PAY</t>
  </si>
  <si>
    <t>PLUG</t>
  </si>
  <si>
    <t>PSXP</t>
  </si>
  <si>
    <t>2021-11-01</t>
  </si>
  <si>
    <t>QEP</t>
  </si>
  <si>
    <t>QUMU</t>
  </si>
  <si>
    <t>RCL</t>
  </si>
  <si>
    <t>RP</t>
  </si>
  <si>
    <t>SCHL</t>
  </si>
  <si>
    <t>SMSI</t>
  </si>
  <si>
    <t>SPB</t>
  </si>
  <si>
    <t>TEN</t>
  </si>
  <si>
    <t>TRIP</t>
  </si>
  <si>
    <t>TRTN</t>
  </si>
  <si>
    <t>TTAN</t>
  </si>
  <si>
    <t>TTTN</t>
  </si>
  <si>
    <t>TUP</t>
  </si>
  <si>
    <t>VCSA</t>
  </si>
  <si>
    <t>VLO</t>
  </si>
  <si>
    <t>WFRD</t>
  </si>
  <si>
    <t>WH</t>
  </si>
  <si>
    <t>WWW</t>
  </si>
  <si>
    <t>XRX</t>
  </si>
  <si>
    <t>ZUMZ</t>
  </si>
  <si>
    <t>If a ticker has seen multiples BQR65, the first one was chosen</t>
  </si>
  <si>
    <t>If a ticker has seen multiples BQR65, the most recent one was chosen</t>
  </si>
  <si>
    <t>For trading purpose</t>
  </si>
  <si>
    <t>For screening purpose</t>
  </si>
  <si>
    <t>2024-05-01</t>
  </si>
  <si>
    <t>Sortino</t>
  </si>
  <si>
    <t>Top table - Bottom table</t>
  </si>
  <si>
    <t>GRPN</t>
  </si>
  <si>
    <t>SCHN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</si>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</sst>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2">
    <xf numFmtId="0" fontId="0" fillId="0" borderId="0" xfId="0"/>
    <xf numFmtId="0" fontId="0" fillId="0" borderId="0" xfId="0" applyAlignment="1">
      <alignment horizontal="center"/>
    </xf>
    <xf numFmtId="9" fontId="0" fillId="0" borderId="0" xfId="2" applyFont="1"/>
    <xf numFmtId="0" fontId="2" fillId="0" borderId="0" xfId="0" applyFont="1" applyAlignment="1">
      <alignment horizontal="center"/>
    </xf>
    <xf numFmtId="0" fontId="2" fillId="0" borderId="0" xfId="0" applyFont="1"/>
    <xf numFmtId="9" fontId="2" fillId="0" borderId="0" xfId="2" applyFont="1"/>
    <xf numFmtId="0" fontId="0" fillId="0" borderId="0" xfId="0" applyAlignment="1">
      <alignment horizontal="right"/>
    </xf>
    <xf numFmtId="9" fontId="0" fillId="0" borderId="0" xfId="2" applyFont="1" applyFill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9" fontId="0" fillId="0" borderId="0" xfId="2" quotePrefix="1" applyFont="1" applyAlignment="1">
      <alignment horizontal="left"/>
    </xf>
    <xf numFmtId="9" fontId="0" fillId="0" borderId="1" xfId="2" applyFont="1" applyBorder="1" applyAlignment="1">
      <alignment horizontal="left"/>
    </xf>
    <xf numFmtId="9" fontId="0" fillId="0" borderId="0" xfId="2" applyFont="1" applyBorder="1" applyAlignment="1">
      <alignment horizontal="left"/>
    </xf>
    <xf numFmtId="9" fontId="0" fillId="0" borderId="1" xfId="2" applyFont="1" applyFill="1" applyBorder="1"/>
    <xf numFmtId="9" fontId="0" fillId="0" borderId="0" xfId="2" applyFont="1" applyFill="1" applyBorder="1"/>
    <xf numFmtId="9" fontId="0" fillId="0" borderId="1" xfId="2" applyFont="1" applyBorder="1"/>
    <xf numFmtId="9" fontId="0" fillId="0" borderId="0" xfId="2" applyFont="1" applyBorder="1"/>
    <xf numFmtId="9" fontId="0" fillId="0" borderId="1" xfId="2" applyFont="1" applyBorder="1" applyAlignment="1">
      <alignment vertical="top"/>
    </xf>
    <xf numFmtId="164" fontId="0" fillId="0" borderId="0" xfId="1" applyNumberFormat="1" applyFont="1" applyAlignment="1">
      <alignment vertical="top"/>
    </xf>
    <xf numFmtId="9" fontId="0" fillId="0" borderId="0" xfId="2" applyFont="1" applyAlignment="1">
      <alignment vertical="top"/>
    </xf>
    <xf numFmtId="9" fontId="0" fillId="0" borderId="1" xfId="2" applyFont="1" applyFill="1" applyBorder="1" applyAlignment="1">
      <alignment vertical="top"/>
    </xf>
    <xf numFmtId="164" fontId="0" fillId="0" borderId="0" xfId="1" applyNumberFormat="1" applyFont="1" applyFill="1" applyAlignment="1">
      <alignment vertical="top"/>
    </xf>
    <xf numFmtId="9" fontId="0" fillId="0" borderId="0" xfId="2" applyFont="1" applyFill="1" applyAlignment="1">
      <alignment vertical="top"/>
    </xf>
    <xf numFmtId="9" fontId="0" fillId="0" borderId="2" xfId="0" applyNumberFormat="1" applyBorder="1" applyAlignment="1">
      <alignment horizontal="left"/>
    </xf>
    <xf numFmtId="44" fontId="0" fillId="0" borderId="0" xfId="3" applyFont="1"/>
    <xf numFmtId="165" fontId="0" fillId="0" borderId="0" xfId="0" applyNumberFormat="1"/>
    <xf numFmtId="164" fontId="0" fillId="0" borderId="1" xfId="1" applyNumberFormat="1" applyFont="1" applyBorder="1" applyAlignment="1">
      <alignment vertical="top"/>
    </xf>
    <xf numFmtId="164" fontId="0" fillId="0" borderId="1" xfId="1" applyNumberFormat="1" applyFont="1" applyFill="1" applyBorder="1" applyAlignment="1">
      <alignment vertical="top"/>
    </xf>
    <xf numFmtId="164" fontId="0" fillId="0" borderId="0" xfId="1" applyNumberFormat="1" applyFont="1" applyBorder="1" applyAlignment="1">
      <alignment vertical="top"/>
    </xf>
    <xf numFmtId="164" fontId="0" fillId="0" borderId="0" xfId="1" applyNumberFormat="1" applyFont="1" applyFill="1" applyBorder="1" applyAlignment="1">
      <alignment vertical="top"/>
    </xf>
    <xf numFmtId="164" fontId="0" fillId="0" borderId="1" xfId="1" quotePrefix="1" applyNumberFormat="1" applyFont="1" applyBorder="1" applyAlignment="1">
      <alignment vertical="top"/>
    </xf>
    <xf numFmtId="0" fontId="0" fillId="5" borderId="4" xfId="0" applyFill="1" applyBorder="1" applyAlignment="1">
      <alignment horizontal="center"/>
    </xf>
    <xf numFmtId="9" fontId="0" fillId="0" borderId="0" xfId="2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5" borderId="5" xfId="0" applyFill="1" applyBorder="1" applyAlignment="1">
      <alignment horizontal="center"/>
    </xf>
    <xf numFmtId="0" fontId="0" fillId="0" borderId="1" xfId="0" applyBorder="1" applyAlignment="1">
      <alignment horizontal="right"/>
    </xf>
    <xf numFmtId="9" fontId="0" fillId="0" borderId="2" xfId="0" applyNumberFormat="1" applyBorder="1" applyAlignment="1">
      <alignment horizontal="right"/>
    </xf>
    <xf numFmtId="9" fontId="0" fillId="0" borderId="0" xfId="2" applyFont="1" applyAlignment="1">
      <alignment horizontal="right"/>
    </xf>
    <xf numFmtId="16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0" xfId="2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9" fontId="0" fillId="0" borderId="2" xfId="2" applyFont="1" applyBorder="1" applyAlignment="1">
      <alignment horizontal="right"/>
    </xf>
    <xf numFmtId="164" fontId="6" fillId="7" borderId="2" xfId="1" applyNumberFormat="1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/>
    </xf>
    <xf numFmtId="9" fontId="7" fillId="7" borderId="2" xfId="2" applyFont="1" applyFill="1" applyBorder="1" applyAlignment="1">
      <alignment horizontal="right"/>
    </xf>
    <xf numFmtId="9" fontId="6" fillId="7" borderId="2" xfId="0" applyNumberFormat="1" applyFont="1" applyFill="1" applyBorder="1" applyAlignment="1">
      <alignment horizontal="right"/>
    </xf>
    <xf numFmtId="9" fontId="6" fillId="0" borderId="2" xfId="0" applyNumberFormat="1" applyFont="1" applyBorder="1" applyAlignment="1">
      <alignment horizontal="right"/>
    </xf>
    <xf numFmtId="9" fontId="6" fillId="0" borderId="0" xfId="2" applyFont="1" applyAlignment="1">
      <alignment horizontal="right"/>
    </xf>
    <xf numFmtId="164" fontId="6" fillId="0" borderId="2" xfId="1" applyNumberFormat="1" applyFont="1" applyFill="1" applyBorder="1" applyAlignment="1">
      <alignment horizontal="right"/>
    </xf>
    <xf numFmtId="165" fontId="2" fillId="0" borderId="0" xfId="0" applyNumberFormat="1" applyFont="1"/>
    <xf numFmtId="44" fontId="2" fillId="0" borderId="0" xfId="3" applyFont="1"/>
    <xf numFmtId="9" fontId="2" fillId="0" borderId="1" xfId="2" applyFont="1" applyBorder="1"/>
    <xf numFmtId="9" fontId="2" fillId="0" borderId="0" xfId="2" applyFont="1" applyBorder="1"/>
    <xf numFmtId="9" fontId="2" fillId="0" borderId="1" xfId="2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9" fontId="2" fillId="0" borderId="0" xfId="2" applyFont="1" applyAlignment="1">
      <alignment vertical="top"/>
    </xf>
    <xf numFmtId="164" fontId="2" fillId="0" borderId="1" xfId="1" applyNumberFormat="1" applyFont="1" applyBorder="1" applyAlignment="1">
      <alignment vertical="top"/>
    </xf>
    <xf numFmtId="164" fontId="2" fillId="0" borderId="0" xfId="1" applyNumberFormat="1" applyFont="1" applyBorder="1" applyAlignment="1">
      <alignment vertical="top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9" fontId="7" fillId="0" borderId="2" xfId="2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0" fontId="2" fillId="0" borderId="1" xfId="0" applyFont="1" applyBorder="1"/>
    <xf numFmtId="43" fontId="7" fillId="7" borderId="2" xfId="1" applyFont="1" applyFill="1" applyBorder="1" applyAlignment="1">
      <alignment horizontal="right"/>
    </xf>
    <xf numFmtId="43" fontId="7" fillId="0" borderId="2" xfId="1" applyFont="1" applyFill="1" applyBorder="1" applyAlignment="1">
      <alignment horizontal="right"/>
    </xf>
    <xf numFmtId="43" fontId="2" fillId="0" borderId="2" xfId="1" applyFont="1" applyBorder="1" applyAlignment="1">
      <alignment horizontal="right"/>
    </xf>
    <xf numFmtId="9" fontId="2" fillId="0" borderId="0" xfId="2" applyFont="1" applyBorder="1" applyAlignment="1">
      <alignment horizontal="right"/>
    </xf>
    <xf numFmtId="9" fontId="2" fillId="0" borderId="0" xfId="2" applyFont="1" applyAlignment="1">
      <alignment horizontal="right"/>
    </xf>
    <xf numFmtId="164" fontId="6" fillId="8" borderId="2" xfId="1" applyNumberFormat="1" applyFont="1" applyFill="1" applyBorder="1" applyAlignment="1">
      <alignment horizontal="right"/>
    </xf>
    <xf numFmtId="9" fontId="7" fillId="8" borderId="2" xfId="2" applyFont="1" applyFill="1" applyBorder="1" applyAlignment="1">
      <alignment horizontal="right"/>
    </xf>
    <xf numFmtId="9" fontId="6" fillId="8" borderId="2" xfId="0" applyNumberFormat="1" applyFont="1" applyFill="1" applyBorder="1" applyAlignment="1">
      <alignment horizontal="right"/>
    </xf>
    <xf numFmtId="43" fontId="7" fillId="8" borderId="2" xfId="1" applyFont="1" applyFill="1" applyBorder="1" applyAlignment="1">
      <alignment horizontal="right"/>
    </xf>
    <xf numFmtId="165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2" xfId="1" applyNumberFormat="1" applyFont="1" applyBorder="1" applyAlignment="1">
      <alignment vertical="top"/>
    </xf>
    <xf numFmtId="164" fontId="0" fillId="0" borderId="2" xfId="1" applyNumberFormat="1" applyFont="1" applyFill="1" applyBorder="1" applyAlignment="1">
      <alignment vertical="top"/>
    </xf>
    <xf numFmtId="164" fontId="0" fillId="0" borderId="2" xfId="1" applyNumberFormat="1" applyFont="1" applyBorder="1" applyAlignment="1">
      <alignment horizontal="right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right"/>
    </xf>
    <xf numFmtId="0" fontId="2" fillId="0" borderId="10" xfId="0" applyFont="1" applyBorder="1" applyAlignment="1">
      <alignment vertical="center"/>
    </xf>
    <xf numFmtId="164" fontId="2" fillId="0" borderId="10" xfId="0" applyNumberFormat="1" applyFont="1" applyBorder="1" applyAlignment="1">
      <alignment horizontal="right"/>
    </xf>
    <xf numFmtId="164" fontId="0" fillId="0" borderId="11" xfId="1" applyNumberFormat="1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/>
    </xf>
    <xf numFmtId="9" fontId="0" fillId="0" borderId="10" xfId="2" applyFont="1" applyBorder="1" applyAlignment="1">
      <alignment horizontal="right"/>
    </xf>
    <xf numFmtId="0" fontId="2" fillId="0" borderId="8" xfId="0" applyFont="1" applyBorder="1" applyAlignment="1">
      <alignment vertical="center"/>
    </xf>
    <xf numFmtId="0" fontId="2" fillId="0" borderId="8" xfId="0" applyFont="1" applyBorder="1"/>
    <xf numFmtId="165" fontId="2" fillId="0" borderId="8" xfId="0" applyNumberFormat="1" applyFont="1" applyBorder="1"/>
    <xf numFmtId="44" fontId="2" fillId="0" borderId="8" xfId="3" applyFont="1" applyBorder="1"/>
    <xf numFmtId="9" fontId="2" fillId="0" borderId="8" xfId="2" quotePrefix="1" applyFont="1" applyBorder="1" applyAlignment="1">
      <alignment horizontal="left"/>
    </xf>
    <xf numFmtId="9" fontId="2" fillId="0" borderId="8" xfId="2" applyFont="1" applyBorder="1" applyAlignment="1">
      <alignment horizontal="left"/>
    </xf>
    <xf numFmtId="9" fontId="2" fillId="0" borderId="8" xfId="2" applyFont="1" applyBorder="1" applyAlignment="1">
      <alignment vertical="top"/>
    </xf>
    <xf numFmtId="164" fontId="2" fillId="0" borderId="8" xfId="1" applyNumberFormat="1" applyFont="1" applyBorder="1" applyAlignment="1">
      <alignment vertical="top"/>
    </xf>
    <xf numFmtId="9" fontId="2" fillId="0" borderId="8" xfId="2" quotePrefix="1" applyFont="1" applyBorder="1" applyAlignment="1">
      <alignment horizontal="left" vertical="top"/>
    </xf>
    <xf numFmtId="0" fontId="2" fillId="0" borderId="8" xfId="0" applyFont="1" applyBorder="1" applyAlignment="1">
      <alignment horizontal="left"/>
    </xf>
    <xf numFmtId="43" fontId="0" fillId="0" borderId="0" xfId="1" applyFont="1"/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2" fillId="0" borderId="13" xfId="0" applyFont="1" applyBorder="1"/>
    <xf numFmtId="0" fontId="0" fillId="0" borderId="14" xfId="0" applyBorder="1"/>
    <xf numFmtId="0" fontId="0" fillId="15" borderId="0" xfId="0" applyFill="1"/>
    <xf numFmtId="43" fontId="0" fillId="0" borderId="0" xfId="0" applyNumberFormat="1"/>
    <xf numFmtId="0" fontId="9" fillId="9" borderId="0" xfId="0" applyFont="1" applyFill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0" xfId="0" applyFont="1" applyFill="1" applyAlignment="1">
      <alignment horizontal="left" vertical="center" wrapText="1"/>
    </xf>
    <xf numFmtId="0" fontId="2" fillId="12" borderId="11" xfId="0" applyFont="1" applyFill="1" applyBorder="1" applyAlignment="1">
      <alignment horizontal="left" vertical="center" wrapText="1"/>
    </xf>
    <xf numFmtId="0" fontId="2" fillId="13" borderId="10" xfId="0" applyFont="1" applyFill="1" applyBorder="1" applyAlignment="1">
      <alignment horizontal="left" vertical="center" wrapText="1"/>
    </xf>
    <xf numFmtId="0" fontId="2" fillId="13" borderId="0" xfId="0" applyFont="1" applyFill="1" applyAlignment="1">
      <alignment horizontal="left"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4" borderId="0" xfId="0" applyFont="1" applyFill="1" applyAlignment="1">
      <alignment horizontal="left" vertical="center" wrapText="1"/>
    </xf>
    <xf numFmtId="0" fontId="2" fillId="14" borderId="2" xfId="0" applyFont="1" applyFill="1" applyBorder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2" fillId="11" borderId="11" xfId="0" applyFont="1" applyFill="1" applyBorder="1" applyAlignment="1">
      <alignment horizontal="left" vertical="center" wrapText="1"/>
    </xf>
    <xf numFmtId="0" fontId="8" fillId="10" borderId="10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7" borderId="10" xfId="0" applyFill="1" applyBorder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7" borderId="11" xfId="0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 wrapText="1"/>
    </xf>
    <xf numFmtId="0" fontId="0" fillId="3" borderId="0" xfId="0" applyFill="1" applyAlignment="1">
      <alignment horizontal="right" vertical="center"/>
    </xf>
    <xf numFmtId="0" fontId="0" fillId="2" borderId="0" xfId="0" applyFill="1" applyAlignment="1">
      <alignment horizontal="right" vertical="center" wrapText="1"/>
    </xf>
    <xf numFmtId="0" fontId="0" fillId="5" borderId="3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right" vertical="center"/>
    </xf>
    <xf numFmtId="0" fontId="0" fillId="4" borderId="2" xfId="0" applyFill="1" applyBorder="1" applyAlignment="1">
      <alignment horizontal="right" vertic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984DF8-8333-4E17-A0C9-C8C2E55FF0E1}" name="Table2" displayName="Table2" ref="A1:G57" totalsRowShown="0" dataDxfId="43" dataCellStyle="Comma">
  <autoFilter ref="A1:G57" xr:uid="{67984DF8-8333-4E17-A0C9-C8C2E55FF0E1}"/>
  <sortState xmlns:xlrd2="http://schemas.microsoft.com/office/spreadsheetml/2017/richdata2" ref="A2:G57">
    <sortCondition descending="1" ref="F1:F57"/>
  </sortState>
  <tableColumns count="7">
    <tableColumn id="1" xr3:uid="{DD0B12B3-DD06-43CF-8AD6-8C3CBCE8B55A}" name="Column1"/>
    <tableColumn id="2" xr3:uid="{B61F62FA-43D8-469E-A20B-F153B9CC884D}" name="Average Return" dataDxfId="42" dataCellStyle="Comma"/>
    <tableColumn id="3" xr3:uid="{A1BCAB0D-ED63-43C2-A82F-174B3B5C0D1B}" name="Median Return" dataDxfId="41" dataCellStyle="Comma"/>
    <tableColumn id="4" xr3:uid="{43BCFB00-9E7F-407D-BD67-0B6B55326734}" name="Win Rate" dataDxfId="40" dataCellStyle="Comma"/>
    <tableColumn id="5" xr3:uid="{2A617B8A-4F05-451A-9A98-78004431A823}" name="Payoff Ratio" dataDxfId="39" dataCellStyle="Comma"/>
    <tableColumn id="6" xr3:uid="{B62D11DE-86A1-494C-AC7A-A7F30675234A}" name="Profit Factor" dataDxfId="38" dataCellStyle="Comma"/>
    <tableColumn id="7" xr3:uid="{DEED889B-2288-4D78-BCA6-9C485A50DC21}" name="Trade Cou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9EDBD7-D048-4C25-9AD3-5ED4217D78D2}" name="Table3" displayName="Table3" ref="I1:O15" totalsRowShown="0" dataDxfId="37" dataCellStyle="Comma">
  <autoFilter ref="I1:O15" xr:uid="{B89EDBD7-D048-4C25-9AD3-5ED4217D78D2}"/>
  <tableColumns count="7">
    <tableColumn id="1" xr3:uid="{E3B941D5-FA31-4991-BFD5-D3FF9C0AA5DA}" name="Column1"/>
    <tableColumn id="2" xr3:uid="{33702C9B-7A95-447B-9310-5ECFDF199086}" name="Average Return" dataDxfId="36" dataCellStyle="Comma"/>
    <tableColumn id="3" xr3:uid="{9F4B9795-74E5-4757-9E19-945ACA53AB20}" name="Median Return" dataDxfId="35" dataCellStyle="Comma"/>
    <tableColumn id="4" xr3:uid="{D9F341E9-B1C9-48BA-A886-0EBA75FF12A3}" name="Win Rate" dataDxfId="34" dataCellStyle="Comma"/>
    <tableColumn id="5" xr3:uid="{321E1847-8F12-47B0-B9DE-E483E0ACE8F4}" name="Payoff Ratio" dataDxfId="33" dataCellStyle="Comma"/>
    <tableColumn id="6" xr3:uid="{27A32C47-DCD2-47F6-889F-D1DC10C20946}" name="Profit Factor" dataDxfId="32" dataCellStyle="Comma"/>
    <tableColumn id="7" xr3:uid="{3C889453-0169-40F1-B3DC-039BF3E0CF96}" name="Trade C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F6A88-935B-45FE-BFA1-1304EC4C50B6}" name="Table4" displayName="Table4" ref="Q21:X35" totalsRowShown="0" dataDxfId="31" dataCellStyle="Comma">
  <autoFilter ref="Q21:X35" xr:uid="{441F6A88-935B-45FE-BFA1-1304EC4C50B6}"/>
  <sortState xmlns:xlrd2="http://schemas.microsoft.com/office/spreadsheetml/2017/richdata2" ref="Q22:X35">
    <sortCondition ref="Q21:Q35"/>
  </sortState>
  <tableColumns count="8">
    <tableColumn id="1" xr3:uid="{6181F017-C1C0-45FA-A961-65814696FD69}" name="Column1"/>
    <tableColumn id="2" xr3:uid="{E89D5B9A-60D4-44DE-A986-0C7060125797}" name="Average Return" dataDxfId="30" dataCellStyle="Comma"/>
    <tableColumn id="3" xr3:uid="{0D17BCE7-387E-4823-BC0A-1A2E48AB7619}" name="Median Return" dataDxfId="29" dataCellStyle="Comma"/>
    <tableColumn id="4" xr3:uid="{19204DA5-67C3-4445-BD8F-5938480BF787}" name="Win Rate" dataDxfId="28" dataCellStyle="Comma"/>
    <tableColumn id="5" xr3:uid="{68867019-7ABB-47C8-82D5-B66A1BCB8EF8}" name="Payoff Ratio" dataDxfId="27" dataCellStyle="Comma"/>
    <tableColumn id="6" xr3:uid="{2ED4EF80-4A42-4AE0-AF25-9A6B01604FD7}" name="Profit Factor" dataDxfId="26" dataCellStyle="Comma"/>
    <tableColumn id="7" xr3:uid="{4B83A4CE-BD95-4D5B-B7C3-D34BF17090AA}" name="Trade Count"/>
    <tableColumn id="8" xr3:uid="{85313C66-D298-4E54-8969-EDBE9342F71D}" name="Sortino" dataDxfId="25" dataCellStyle="Comm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A9EA89-72BE-4CEB-B7FA-70B47180F444}" name="Table5" displayName="Table5" ref="Z1:AG15" totalsRowShown="0" dataDxfId="24" dataCellStyle="Comma">
  <autoFilter ref="Z1:AG15" xr:uid="{6DA9EA89-72BE-4CEB-B7FA-70B47180F444}"/>
  <sortState xmlns:xlrd2="http://schemas.microsoft.com/office/spreadsheetml/2017/richdata2" ref="Z2:AG15">
    <sortCondition descending="1" ref="AE1:AE15"/>
  </sortState>
  <tableColumns count="8">
    <tableColumn id="1" xr3:uid="{49361558-85F7-4A14-9576-24A7364A6947}" name="Column1"/>
    <tableColumn id="2" xr3:uid="{44191C1C-51D2-46FA-8AB8-4FCB6797A4A1}" name="Average Return" dataDxfId="23" dataCellStyle="Comma"/>
    <tableColumn id="3" xr3:uid="{0F8A7ABF-D298-42C6-8418-CFF61CDA1287}" name="Median Return" dataDxfId="22" dataCellStyle="Comma"/>
    <tableColumn id="4" xr3:uid="{9C78F178-EBD4-48A3-837C-4648E6BF5552}" name="Win Rate" dataDxfId="21" dataCellStyle="Comma"/>
    <tableColumn id="5" xr3:uid="{BDE6CDE3-C9A4-48F7-AEB7-186BB68C8EB5}" name="Payoff Ratio" dataDxfId="20" dataCellStyle="Comma"/>
    <tableColumn id="6" xr3:uid="{B868CCE4-3208-4205-9891-D642D58AAD4D}" name="Profit Factor" dataDxfId="19" dataCellStyle="Comma"/>
    <tableColumn id="8" xr3:uid="{98670248-F93C-494D-8EAF-E260E0F4C5E1}" name="Trade Count" dataDxfId="18" dataCellStyle="Comma"/>
    <tableColumn id="7" xr3:uid="{4756FFB4-8C0D-4F10-9A76-BB8ABC725C07}" name="Sortino" dataDxfId="17" dataCellStyle="Comm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4852F5-48DB-4317-90A1-2F7763095F91}" name="Table6" displayName="Table6" ref="AJ1:AP15" totalsRowShown="0" dataDxfId="15" headerRowBorderDxfId="16" tableBorderDxfId="14" dataCellStyle="Comma">
  <autoFilter ref="AJ1:AP15" xr:uid="{434852F5-48DB-4317-90A1-2F7763095F91}"/>
  <sortState xmlns:xlrd2="http://schemas.microsoft.com/office/spreadsheetml/2017/richdata2" ref="AJ2:AP15">
    <sortCondition descending="1" ref="AO1:AO15"/>
  </sortState>
  <tableColumns count="7">
    <tableColumn id="1" xr3:uid="{C75C6A9F-98FA-423F-B8E3-DA1A39BA2D34}" name="Column1" dataDxfId="13"/>
    <tableColumn id="2" xr3:uid="{7ED7B6DD-3CA4-4D63-A9A7-CA7165C9C8C5}" name="Average Return" dataDxfId="12" dataCellStyle="Comma"/>
    <tableColumn id="3" xr3:uid="{BC285334-47E5-4859-BE4B-59C37D7DFCB2}" name="Median Return" dataDxfId="11" dataCellStyle="Comma"/>
    <tableColumn id="4" xr3:uid="{AC12F67F-717E-42DE-ADC6-5F77CC06BD12}" name="Win Rate" dataDxfId="10" dataCellStyle="Comma"/>
    <tableColumn id="5" xr3:uid="{52A795A7-5583-4AC2-9AFD-88EF5D835C1F}" name="Payoff Ratio" dataDxfId="9" dataCellStyle="Comma"/>
    <tableColumn id="6" xr3:uid="{A87D7459-0BEA-4DAD-9188-09BCF4B097B8}" name="Profit Factor" dataDxfId="8" dataCellStyle="Comma"/>
    <tableColumn id="7" xr3:uid="{7C784D6E-95F1-47CA-8179-10C05E51630A}" name="Trade Count" dataDxfId="7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B358C-1C19-443D-B915-A09B1689F3B3}" name="Table42" displayName="Table42" ref="Q3:X17" totalsRowShown="0" dataDxfId="6" dataCellStyle="Comma">
  <autoFilter ref="Q3:X17" xr:uid="{123B358C-1C19-443D-B915-A09B1689F3B3}"/>
  <sortState xmlns:xlrd2="http://schemas.microsoft.com/office/spreadsheetml/2017/richdata2" ref="Q4:X17">
    <sortCondition descending="1" ref="V3:V17"/>
  </sortState>
  <tableColumns count="8">
    <tableColumn id="1" xr3:uid="{E295E546-7C96-4ACA-8C94-36AAC553E0FF}" name="Column1"/>
    <tableColumn id="2" xr3:uid="{04A116AA-3E26-40F6-B723-85BD1007C2C2}" name="Average Return" dataDxfId="5" dataCellStyle="Comma"/>
    <tableColumn id="3" xr3:uid="{5F3FD8AA-F16A-4E05-863F-B41B72DDCFE3}" name="Median Return" dataDxfId="4" dataCellStyle="Comma"/>
    <tableColumn id="4" xr3:uid="{B78CE153-B471-4468-A8D6-22D1D1ECCF0E}" name="Win Rate" dataDxfId="3" dataCellStyle="Comma"/>
    <tableColumn id="5" xr3:uid="{D56A0FD3-6C45-4EC8-B861-4937B3A5D61B}" name="Payoff Ratio" dataDxfId="2" dataCellStyle="Comma"/>
    <tableColumn id="6" xr3:uid="{92E5E85B-B53D-4760-AEB1-33FC56D4A209}" name="Profit Factor" dataDxfId="1" dataCellStyle="Comma"/>
    <tableColumn id="7" xr3:uid="{1132A89F-5100-41A1-9CBD-F71DB7858A85}" name="Trade Count"/>
    <tableColumn id="8" xr3:uid="{4FA5AA0C-0297-4890-92A7-DF390B3CD905}" name="Sortino" dataDxfId="0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25DF-881F-4D48-B64F-D4B4D966C8A9}">
  <dimension ref="A1:AZ41"/>
  <sheetViews>
    <sheetView tabSelected="1" zoomScale="70" zoomScaleNormal="70" workbookViewId="0">
      <pane xSplit="4" ySplit="4" topLeftCell="M5" activePane="bottomRight" state="frozen"/>
      <selection pane="topRight" activeCell="D1" sqref="D1"/>
      <selection pane="bottomLeft" activeCell="A2" sqref="A2"/>
      <selection pane="bottomRight" activeCell="AP9" sqref="AP9"/>
    </sheetView>
  </sheetViews>
  <sheetFormatPr defaultRowHeight="14.4" outlineLevelCol="1" x14ac:dyDescent="0.3"/>
  <cols>
    <col min="2" max="3" width="11" style="25" customWidth="1"/>
    <col min="4" max="4" width="11" style="24" bestFit="1" customWidth="1"/>
    <col min="5" max="6" width="9.88671875" style="2" hidden="1" customWidth="1" outlineLevel="1"/>
    <col min="7" max="7" width="9.88671875" style="15" hidden="1" customWidth="1" outlineLevel="1"/>
    <col min="8" max="8" width="9.88671875" style="16" hidden="1" customWidth="1" outlineLevel="1"/>
    <col min="9" max="9" width="6.88671875" style="17" hidden="1" customWidth="1" outlineLevel="1"/>
    <col min="10" max="10" width="12.33203125" style="18" hidden="1" customWidth="1" outlineLevel="1"/>
    <col min="11" max="11" width="6.6640625" style="19" hidden="1" customWidth="1" outlineLevel="1"/>
    <col min="12" max="12" width="12.109375" style="18" hidden="1" customWidth="1" outlineLevel="1"/>
    <col min="13" max="13" width="10.109375" style="26" hidden="1" customWidth="1" outlineLevel="1"/>
    <col min="14" max="14" width="10.109375" style="28" hidden="1" customWidth="1" outlineLevel="1"/>
    <col min="15" max="15" width="10.109375" style="87" hidden="1" customWidth="1" outlineLevel="1"/>
    <col min="16" max="18" width="10.109375" style="28" hidden="1" customWidth="1" outlineLevel="1"/>
    <col min="19" max="19" width="6.5546875" style="98" bestFit="1" customWidth="1" collapsed="1"/>
    <col min="20" max="20" width="5.5546875" style="6" bestFit="1" customWidth="1"/>
    <col min="21" max="21" width="6.5546875" style="41" bestFit="1" customWidth="1"/>
    <col min="22" max="22" width="5.5546875" style="94" bestFit="1" customWidth="1"/>
    <col min="23" max="23" width="9.44140625" style="64" bestFit="1" customWidth="1"/>
    <col min="24" max="24" width="6.5546875" style="41" bestFit="1" customWidth="1"/>
    <col min="25" max="25" width="5.5546875" style="6" bestFit="1" customWidth="1"/>
    <col min="26" max="26" width="6.5546875" style="41" bestFit="1" customWidth="1"/>
    <col min="27" max="27" width="5.5546875" style="84" bestFit="1" customWidth="1"/>
    <col min="28" max="28" width="9.44140625" style="63" bestFit="1" customWidth="1"/>
    <col min="29" max="29" width="6.5546875" style="41" bestFit="1" customWidth="1"/>
    <col min="30" max="30" width="5.5546875" style="6" bestFit="1" customWidth="1"/>
    <col min="31" max="31" width="6.5546875" style="41" bestFit="1" customWidth="1"/>
    <col min="32" max="32" width="5.5546875" style="84" bestFit="1" customWidth="1"/>
    <col min="33" max="33" width="9.44140625" style="63" bestFit="1" customWidth="1"/>
    <col min="34" max="34" width="6.5546875" style="41" bestFit="1" customWidth="1"/>
    <col min="35" max="35" width="5.5546875" style="6" bestFit="1" customWidth="1"/>
    <col min="36" max="36" width="6.5546875" style="41" bestFit="1" customWidth="1"/>
    <col min="37" max="37" width="5.5546875" style="84" bestFit="1" customWidth="1"/>
    <col min="38" max="38" width="9.44140625" style="95" bestFit="1" customWidth="1"/>
    <col min="39" max="39" width="6.5546875" style="41" bestFit="1" customWidth="1"/>
    <col min="40" max="40" width="5.5546875" style="6" bestFit="1" customWidth="1"/>
    <col min="41" max="41" width="6.5546875" style="41" bestFit="1" customWidth="1"/>
    <col min="42" max="42" width="5.5546875" style="84" bestFit="1" customWidth="1"/>
    <col min="43" max="43" width="9.44140625" style="63" bestFit="1" customWidth="1"/>
    <col min="44" max="44" width="6.5546875" style="41" bestFit="1" customWidth="1"/>
    <col min="45" max="45" width="5.5546875" style="6" bestFit="1" customWidth="1"/>
    <col min="46" max="46" width="6.5546875" style="41" bestFit="1" customWidth="1"/>
    <col min="47" max="47" width="5.5546875" style="89" bestFit="1" customWidth="1"/>
    <col min="48" max="48" width="9.44140625" style="64" bestFit="1" customWidth="1"/>
    <col min="49" max="49" width="6.5546875" style="41" bestFit="1" customWidth="1"/>
    <col min="50" max="50" width="5.5546875" style="6" bestFit="1" customWidth="1"/>
    <col min="51" max="51" width="6.5546875" style="41" bestFit="1" customWidth="1"/>
    <col min="52" max="52" width="5.5546875" style="94" bestFit="1" customWidth="1"/>
  </cols>
  <sheetData>
    <row r="1" spans="1:52" ht="15" thickBot="1" x14ac:dyDescent="0.35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6"/>
      <c r="Q1" s="135"/>
      <c r="R1" s="135"/>
      <c r="S1" s="137" t="s">
        <v>65</v>
      </c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8"/>
    </row>
    <row r="2" spans="1:52" s="34" customFormat="1" ht="30.6" customHeight="1" x14ac:dyDescent="0.3">
      <c r="B2" s="139" t="s">
        <v>37</v>
      </c>
      <c r="C2" s="139"/>
      <c r="D2" s="139"/>
      <c r="E2" s="140" t="s">
        <v>30</v>
      </c>
      <c r="F2" s="140"/>
      <c r="G2" s="141" t="s">
        <v>31</v>
      </c>
      <c r="H2" s="142"/>
      <c r="I2" s="141" t="s">
        <v>59</v>
      </c>
      <c r="J2" s="143"/>
      <c r="K2" s="142"/>
      <c r="L2" s="143"/>
      <c r="M2" s="144" t="s">
        <v>100</v>
      </c>
      <c r="N2" s="145"/>
      <c r="O2" s="146"/>
      <c r="P2" s="145" t="s">
        <v>101</v>
      </c>
      <c r="Q2" s="145"/>
      <c r="R2" s="146"/>
      <c r="S2" s="147" t="s">
        <v>98</v>
      </c>
      <c r="T2" s="148"/>
      <c r="U2" s="148"/>
      <c r="V2" s="149"/>
      <c r="W2" s="150" t="s">
        <v>102</v>
      </c>
      <c r="X2" s="151"/>
      <c r="Y2" s="151"/>
      <c r="Z2" s="151"/>
      <c r="AA2" s="152"/>
      <c r="AB2" s="120" t="s">
        <v>103</v>
      </c>
      <c r="AC2" s="121"/>
      <c r="AD2" s="121"/>
      <c r="AE2" s="121"/>
      <c r="AF2" s="122"/>
      <c r="AG2" s="123" t="s">
        <v>104</v>
      </c>
      <c r="AH2" s="124"/>
      <c r="AI2" s="124"/>
      <c r="AJ2" s="124"/>
      <c r="AK2" s="125"/>
      <c r="AL2" s="126" t="s">
        <v>107</v>
      </c>
      <c r="AM2" s="127"/>
      <c r="AN2" s="127"/>
      <c r="AO2" s="127"/>
      <c r="AP2" s="128"/>
      <c r="AQ2" s="129" t="s">
        <v>108</v>
      </c>
      <c r="AR2" s="130"/>
      <c r="AS2" s="130"/>
      <c r="AT2" s="130"/>
      <c r="AU2" s="131"/>
      <c r="AV2" s="132" t="s">
        <v>109</v>
      </c>
      <c r="AW2" s="132"/>
      <c r="AX2" s="132"/>
      <c r="AY2" s="132"/>
      <c r="AZ2" s="133"/>
    </row>
    <row r="3" spans="1:52" s="34" customFormat="1" ht="80.400000000000006" customHeight="1" x14ac:dyDescent="0.3">
      <c r="B3" s="79"/>
      <c r="C3" s="79"/>
      <c r="D3" s="79"/>
      <c r="E3" s="80"/>
      <c r="F3" s="80"/>
      <c r="G3" s="81"/>
      <c r="H3" s="82"/>
      <c r="I3" s="81"/>
      <c r="J3" s="33"/>
      <c r="K3" s="82"/>
      <c r="L3" s="33"/>
      <c r="M3" s="85"/>
      <c r="N3" s="83"/>
      <c r="O3" s="86"/>
      <c r="P3" s="83"/>
      <c r="Q3" s="83"/>
      <c r="R3" s="83"/>
      <c r="S3" s="134" t="s">
        <v>97</v>
      </c>
      <c r="T3" s="118"/>
      <c r="U3" s="116" t="s">
        <v>99</v>
      </c>
      <c r="V3" s="119"/>
      <c r="W3" s="96"/>
      <c r="X3" s="118" t="s">
        <v>97</v>
      </c>
      <c r="Y3" s="118"/>
      <c r="Z3" s="116" t="s">
        <v>99</v>
      </c>
      <c r="AA3" s="117"/>
      <c r="AB3" s="90"/>
      <c r="AC3" s="118" t="s">
        <v>97</v>
      </c>
      <c r="AD3" s="118"/>
      <c r="AE3" s="116" t="s">
        <v>99</v>
      </c>
      <c r="AF3" s="117"/>
      <c r="AG3" s="90"/>
      <c r="AH3" s="118" t="s">
        <v>97</v>
      </c>
      <c r="AI3" s="118"/>
      <c r="AJ3" s="116" t="s">
        <v>99</v>
      </c>
      <c r="AK3" s="119"/>
      <c r="AL3" s="92"/>
      <c r="AM3" s="118" t="s">
        <v>97</v>
      </c>
      <c r="AN3" s="118"/>
      <c r="AO3" s="116" t="s">
        <v>99</v>
      </c>
      <c r="AP3" s="116"/>
      <c r="AQ3" s="90"/>
      <c r="AR3" s="118" t="s">
        <v>97</v>
      </c>
      <c r="AS3" s="118"/>
      <c r="AT3" s="116" t="s">
        <v>99</v>
      </c>
      <c r="AU3" s="117"/>
      <c r="AV3" s="96"/>
      <c r="AW3" s="118" t="s">
        <v>97</v>
      </c>
      <c r="AX3" s="118"/>
      <c r="AY3" s="116" t="s">
        <v>99</v>
      </c>
      <c r="AZ3" s="119"/>
    </row>
    <row r="4" spans="1:52" s="100" customFormat="1" x14ac:dyDescent="0.3">
      <c r="A4" s="100" t="s">
        <v>1</v>
      </c>
      <c r="B4" s="101" t="s">
        <v>40</v>
      </c>
      <c r="C4" s="101" t="s">
        <v>41</v>
      </c>
      <c r="D4" s="102" t="s">
        <v>42</v>
      </c>
      <c r="E4" s="103" t="s">
        <v>32</v>
      </c>
      <c r="F4" s="103" t="s">
        <v>28</v>
      </c>
      <c r="G4" s="104" t="s">
        <v>33</v>
      </c>
      <c r="H4" s="104" t="s">
        <v>34</v>
      </c>
      <c r="I4" s="105" t="s">
        <v>2</v>
      </c>
      <c r="J4" s="106" t="s">
        <v>3</v>
      </c>
      <c r="K4" s="105" t="s">
        <v>4</v>
      </c>
      <c r="L4" s="106" t="s">
        <v>5</v>
      </c>
      <c r="M4" s="107">
        <v>0.1</v>
      </c>
      <c r="N4" s="107">
        <v>0.2</v>
      </c>
      <c r="O4" s="107">
        <v>0.3</v>
      </c>
      <c r="P4" s="107">
        <v>-0.1</v>
      </c>
      <c r="Q4" s="107">
        <v>-0.2</v>
      </c>
      <c r="R4" s="107">
        <v>-0.3</v>
      </c>
      <c r="S4" s="104" t="s">
        <v>105</v>
      </c>
      <c r="T4" s="108" t="s">
        <v>106</v>
      </c>
      <c r="U4" s="104" t="s">
        <v>105</v>
      </c>
      <c r="V4" s="108" t="s">
        <v>106</v>
      </c>
      <c r="W4" s="99" t="s">
        <v>68</v>
      </c>
      <c r="X4" s="104" t="s">
        <v>105</v>
      </c>
      <c r="Y4" s="108" t="s">
        <v>106</v>
      </c>
      <c r="Z4" s="104" t="s">
        <v>105</v>
      </c>
      <c r="AA4" s="108" t="s">
        <v>106</v>
      </c>
      <c r="AB4" s="99" t="s">
        <v>68</v>
      </c>
      <c r="AC4" s="104" t="s">
        <v>105</v>
      </c>
      <c r="AD4" s="108" t="s">
        <v>106</v>
      </c>
      <c r="AE4" s="104" t="s">
        <v>105</v>
      </c>
      <c r="AF4" s="108" t="s">
        <v>106</v>
      </c>
      <c r="AG4" s="99" t="s">
        <v>68</v>
      </c>
      <c r="AH4" s="104" t="s">
        <v>105</v>
      </c>
      <c r="AI4" s="108" t="s">
        <v>106</v>
      </c>
      <c r="AJ4" s="104" t="s">
        <v>105</v>
      </c>
      <c r="AK4" s="108" t="s">
        <v>106</v>
      </c>
      <c r="AL4" s="99" t="s">
        <v>68</v>
      </c>
      <c r="AM4" s="104" t="s">
        <v>105</v>
      </c>
      <c r="AN4" s="108" t="s">
        <v>106</v>
      </c>
      <c r="AO4" s="104" t="s">
        <v>105</v>
      </c>
      <c r="AP4" s="108" t="s">
        <v>106</v>
      </c>
      <c r="AQ4" s="99" t="s">
        <v>68</v>
      </c>
      <c r="AR4" s="104" t="s">
        <v>105</v>
      </c>
      <c r="AS4" s="108" t="s">
        <v>106</v>
      </c>
      <c r="AT4" s="104" t="s">
        <v>105</v>
      </c>
      <c r="AU4" s="108" t="s">
        <v>106</v>
      </c>
      <c r="AV4" s="99" t="s">
        <v>68</v>
      </c>
      <c r="AW4" s="104" t="s">
        <v>105</v>
      </c>
      <c r="AX4" s="108" t="s">
        <v>106</v>
      </c>
      <c r="AY4" s="104" t="s">
        <v>105</v>
      </c>
      <c r="AZ4" s="108" t="s">
        <v>106</v>
      </c>
    </row>
    <row r="5" spans="1:52" x14ac:dyDescent="0.3">
      <c r="A5" t="s">
        <v>76</v>
      </c>
      <c r="B5" s="25" t="s">
        <v>231</v>
      </c>
      <c r="C5" s="25" t="s">
        <v>226</v>
      </c>
      <c r="D5" s="24">
        <v>2.7950000762939449</v>
      </c>
      <c r="E5" s="2">
        <v>-0.35894495626058193</v>
      </c>
      <c r="F5" s="2">
        <v>-0.1530302676725426</v>
      </c>
      <c r="G5" s="15">
        <v>-0.2737030712065428</v>
      </c>
      <c r="H5" s="16">
        <v>-0.83542039506682542</v>
      </c>
      <c r="I5" s="17">
        <v>5.1878345963688677E-2</v>
      </c>
      <c r="J5" s="18">
        <v>10</v>
      </c>
      <c r="K5" s="19">
        <v>-0.86762075324914611</v>
      </c>
      <c r="L5" s="18">
        <v>149</v>
      </c>
      <c r="P5" s="28">
        <v>22</v>
      </c>
      <c r="Q5" s="28">
        <v>51</v>
      </c>
      <c r="R5" s="28">
        <v>89</v>
      </c>
      <c r="S5" s="98">
        <v>-0.22222218424236051</v>
      </c>
      <c r="T5" s="6">
        <v>51</v>
      </c>
      <c r="U5" s="41">
        <v>-0.31899641500488618</v>
      </c>
      <c r="V5" s="94">
        <v>89</v>
      </c>
      <c r="W5" s="97">
        <v>22</v>
      </c>
      <c r="X5" s="41">
        <v>-0.3004978978903024</v>
      </c>
      <c r="Y5" s="6">
        <v>999</v>
      </c>
      <c r="Z5" s="41">
        <v>-0.3004978978903024</v>
      </c>
      <c r="AA5" s="84">
        <v>999</v>
      </c>
      <c r="AB5" s="91">
        <v>51</v>
      </c>
      <c r="AC5" s="41">
        <v>-0.30078343339771718</v>
      </c>
      <c r="AD5" s="6">
        <v>999</v>
      </c>
      <c r="AE5" s="41">
        <v>-0.30078343339771718</v>
      </c>
      <c r="AF5" s="84">
        <v>999</v>
      </c>
      <c r="AG5" s="91">
        <v>89</v>
      </c>
      <c r="AH5" s="41">
        <v>-0.4106960888048905</v>
      </c>
      <c r="AI5" s="6">
        <v>999</v>
      </c>
      <c r="AJ5" s="41">
        <v>-0.4106960888048905</v>
      </c>
      <c r="AK5" s="84">
        <v>999</v>
      </c>
      <c r="AL5" s="93">
        <v>22</v>
      </c>
      <c r="AM5" s="41">
        <v>-0.3004978978903024</v>
      </c>
      <c r="AN5" s="6">
        <v>999</v>
      </c>
      <c r="AO5" s="41">
        <v>-0.3004978978903024</v>
      </c>
      <c r="AP5" s="84">
        <v>999</v>
      </c>
      <c r="AQ5" s="91">
        <v>51</v>
      </c>
      <c r="AR5" s="41">
        <v>-0.30078343339771718</v>
      </c>
      <c r="AS5" s="6">
        <v>999</v>
      </c>
      <c r="AT5" s="41">
        <v>-0.30078343339771718</v>
      </c>
      <c r="AU5" s="89">
        <v>999</v>
      </c>
      <c r="AV5" s="97">
        <v>89</v>
      </c>
      <c r="AW5" s="41">
        <v>-0.4106960888048905</v>
      </c>
      <c r="AX5" s="6">
        <v>999</v>
      </c>
      <c r="AY5" s="41">
        <v>-0.4106960888048905</v>
      </c>
      <c r="AZ5" s="94">
        <v>999</v>
      </c>
    </row>
    <row r="6" spans="1:52" x14ac:dyDescent="0.3">
      <c r="A6" t="s">
        <v>292</v>
      </c>
      <c r="B6" s="25" t="s">
        <v>247</v>
      </c>
      <c r="C6" s="25" t="s">
        <v>243</v>
      </c>
      <c r="D6" s="24">
        <v>9.6000003814697266</v>
      </c>
      <c r="E6" s="2">
        <v>0.21212124861012799</v>
      </c>
      <c r="F6" s="2">
        <v>0.19700746053905191</v>
      </c>
      <c r="G6" s="15">
        <v>-0.42187500310440851</v>
      </c>
      <c r="H6" s="16">
        <v>-0.26875003104408463</v>
      </c>
      <c r="I6" s="17">
        <v>0.38437494101623942</v>
      </c>
      <c r="J6" s="18">
        <v>31</v>
      </c>
      <c r="K6" s="19">
        <v>-0.44583333747254461</v>
      </c>
      <c r="L6" s="18">
        <v>73</v>
      </c>
      <c r="M6" s="26">
        <v>4</v>
      </c>
      <c r="N6" s="28">
        <v>10</v>
      </c>
      <c r="O6" s="87">
        <v>13</v>
      </c>
      <c r="P6" s="28">
        <v>51</v>
      </c>
      <c r="Q6" s="28">
        <v>55</v>
      </c>
      <c r="R6" s="28">
        <v>66</v>
      </c>
      <c r="S6" s="98">
        <v>0.198376896212374</v>
      </c>
      <c r="T6" s="6">
        <v>31</v>
      </c>
      <c r="U6" s="41">
        <v>0.198376896212374</v>
      </c>
      <c r="V6" s="94">
        <v>31</v>
      </c>
      <c r="W6" s="97">
        <v>51</v>
      </c>
      <c r="X6" s="41">
        <v>7.3619682153792221E-2</v>
      </c>
      <c r="Y6" s="6">
        <v>130</v>
      </c>
      <c r="Z6" s="41">
        <v>7.3619682153792221E-2</v>
      </c>
      <c r="AA6" s="84">
        <v>130</v>
      </c>
      <c r="AB6" s="91">
        <v>55</v>
      </c>
      <c r="AC6" s="41">
        <v>0.19372443261581809</v>
      </c>
      <c r="AD6" s="6">
        <v>130</v>
      </c>
      <c r="AE6" s="41">
        <v>0.19372443261581809</v>
      </c>
      <c r="AF6" s="84">
        <v>130</v>
      </c>
      <c r="AG6" s="91">
        <v>66</v>
      </c>
      <c r="AH6" s="41">
        <v>0.37362639830440592</v>
      </c>
      <c r="AI6" s="6">
        <v>130</v>
      </c>
      <c r="AJ6" s="41">
        <v>0.37362639830440592</v>
      </c>
      <c r="AK6" s="84">
        <v>130</v>
      </c>
      <c r="AL6" s="93">
        <v>7</v>
      </c>
      <c r="AM6" s="41">
        <v>-0.2295549158862322</v>
      </c>
      <c r="AN6" s="6">
        <v>999</v>
      </c>
      <c r="AO6" s="41">
        <v>-0.2295549158862322</v>
      </c>
      <c r="AP6" s="84">
        <v>999</v>
      </c>
      <c r="AQ6" s="91">
        <v>10</v>
      </c>
      <c r="AR6" s="41">
        <v>-0.2674719690110608</v>
      </c>
      <c r="AS6" s="6">
        <v>999</v>
      </c>
      <c r="AT6" s="41">
        <v>-0.2674719690110608</v>
      </c>
      <c r="AU6" s="89">
        <v>999</v>
      </c>
      <c r="AV6" s="97">
        <v>13</v>
      </c>
      <c r="AW6" s="41">
        <v>-0.34530167145480872</v>
      </c>
      <c r="AX6" s="6">
        <v>999</v>
      </c>
      <c r="AY6" s="41">
        <v>-0.34530167145480872</v>
      </c>
      <c r="AZ6" s="94">
        <v>999</v>
      </c>
    </row>
    <row r="7" spans="1:52" x14ac:dyDescent="0.3">
      <c r="A7" t="s">
        <v>90</v>
      </c>
      <c r="B7" s="25" t="s">
        <v>242</v>
      </c>
      <c r="C7" s="25" t="s">
        <v>245</v>
      </c>
      <c r="D7" s="24">
        <v>44.799999237060547</v>
      </c>
      <c r="I7" s="17">
        <v>0.10535717189920241</v>
      </c>
      <c r="J7" s="18">
        <v>14</v>
      </c>
      <c r="K7" s="19">
        <v>-0.19687499654080179</v>
      </c>
      <c r="L7" s="18">
        <v>18</v>
      </c>
      <c r="M7" s="26">
        <v>14</v>
      </c>
      <c r="P7" s="28">
        <v>17</v>
      </c>
      <c r="S7" s="98">
        <v>-3.4326503986743528E-3</v>
      </c>
      <c r="T7" s="6">
        <v>999</v>
      </c>
      <c r="U7" s="41">
        <v>-3.4326503986743528E-3</v>
      </c>
      <c r="V7" s="94">
        <v>999</v>
      </c>
      <c r="W7" s="97">
        <v>17</v>
      </c>
      <c r="X7" s="41">
        <v>-2.2304836855850722E-2</v>
      </c>
      <c r="Y7" s="6">
        <v>999</v>
      </c>
      <c r="Z7" s="41">
        <v>-2.2304836855850722E-2</v>
      </c>
      <c r="AA7" s="84">
        <v>999</v>
      </c>
      <c r="AB7" s="91"/>
      <c r="AG7" s="91"/>
      <c r="AL7" s="93">
        <v>14</v>
      </c>
      <c r="AM7" s="41">
        <v>-0.16938611491806221</v>
      </c>
      <c r="AN7" s="6">
        <v>999</v>
      </c>
      <c r="AO7" s="41">
        <v>-0.16938611491806221</v>
      </c>
      <c r="AP7" s="84">
        <v>999</v>
      </c>
      <c r="AQ7" s="91"/>
      <c r="AV7" s="97"/>
    </row>
    <row r="8" spans="1:52" x14ac:dyDescent="0.3">
      <c r="A8" t="s">
        <v>290</v>
      </c>
      <c r="B8" s="25" t="s">
        <v>243</v>
      </c>
      <c r="C8" s="25" t="s">
        <v>244</v>
      </c>
      <c r="D8" s="24">
        <v>192.63359069824219</v>
      </c>
      <c r="E8" s="2">
        <v>0.1546836843713586</v>
      </c>
      <c r="F8" s="2">
        <v>0.115629354463106</v>
      </c>
      <c r="G8" s="15">
        <v>3.1504855464818959E-2</v>
      </c>
      <c r="H8" s="16">
        <v>6.9188759734594152E-2</v>
      </c>
      <c r="I8" s="17">
        <v>0.13156826424311241</v>
      </c>
      <c r="J8" s="18">
        <v>32</v>
      </c>
      <c r="K8" s="19">
        <v>-5.1092821183680533E-2</v>
      </c>
      <c r="L8" s="18">
        <v>102</v>
      </c>
      <c r="M8" s="26">
        <v>32</v>
      </c>
      <c r="S8" s="98">
        <v>5.4434183679155763E-2</v>
      </c>
      <c r="T8" s="6">
        <v>32</v>
      </c>
      <c r="U8" s="41">
        <v>5.4434183679155763E-2</v>
      </c>
      <c r="V8" s="94">
        <v>32</v>
      </c>
      <c r="W8" s="97"/>
      <c r="AB8" s="91"/>
      <c r="AG8" s="91"/>
      <c r="AL8" s="93">
        <v>32</v>
      </c>
      <c r="AM8" s="41">
        <v>-8.3271573684519345E-2</v>
      </c>
      <c r="AN8" s="6">
        <v>999</v>
      </c>
      <c r="AO8" s="41">
        <v>-8.3271573684519345E-2</v>
      </c>
      <c r="AP8" s="84">
        <v>999</v>
      </c>
      <c r="AQ8" s="91"/>
      <c r="AV8" s="97"/>
    </row>
    <row r="9" spans="1:52" x14ac:dyDescent="0.3">
      <c r="A9" t="s">
        <v>43</v>
      </c>
      <c r="B9" s="25" t="s">
        <v>257</v>
      </c>
      <c r="C9" s="25" t="s">
        <v>258</v>
      </c>
      <c r="D9" s="24">
        <v>5.5199999809265137</v>
      </c>
      <c r="E9" s="7">
        <v>-0.43563586012803968</v>
      </c>
      <c r="F9" s="7">
        <v>-0.16742083172769401</v>
      </c>
      <c r="G9" s="13">
        <v>-1.086955488892416E-2</v>
      </c>
      <c r="H9" s="14">
        <v>-5.0724675865189472E-2</v>
      </c>
      <c r="I9" s="20">
        <v>0.34601446630648769</v>
      </c>
      <c r="J9" s="21">
        <v>20</v>
      </c>
      <c r="K9" s="22">
        <v>-0.20652171565664579</v>
      </c>
      <c r="L9" s="21">
        <v>102</v>
      </c>
      <c r="M9" s="27">
        <v>1</v>
      </c>
      <c r="N9" s="29">
        <v>9</v>
      </c>
      <c r="O9" s="88">
        <v>16</v>
      </c>
      <c r="P9" s="29">
        <v>88</v>
      </c>
      <c r="Q9" s="29">
        <v>102</v>
      </c>
      <c r="R9" s="29"/>
      <c r="S9" s="98">
        <v>-0.2032257727107932</v>
      </c>
      <c r="T9" s="6">
        <v>88</v>
      </c>
      <c r="U9" s="41">
        <v>-6.1738324718731433E-2</v>
      </c>
      <c r="V9" s="94">
        <v>999</v>
      </c>
      <c r="W9" s="97">
        <v>88</v>
      </c>
      <c r="X9" s="41">
        <v>3.0974856970802319E-2</v>
      </c>
      <c r="Y9" s="6">
        <v>999</v>
      </c>
      <c r="Z9" s="41">
        <v>3.0974856970802319E-2</v>
      </c>
      <c r="AA9" s="84">
        <v>999</v>
      </c>
      <c r="AB9" s="91">
        <v>102</v>
      </c>
      <c r="AC9" s="41">
        <v>0.1884260195922168</v>
      </c>
      <c r="AD9" s="6">
        <v>999</v>
      </c>
      <c r="AE9" s="41">
        <v>0.1884260195922168</v>
      </c>
      <c r="AF9" s="84">
        <v>999</v>
      </c>
      <c r="AG9" s="91"/>
      <c r="AL9" s="93">
        <v>7</v>
      </c>
      <c r="AM9" s="41">
        <v>-6.1738324718731433E-2</v>
      </c>
      <c r="AN9" s="6">
        <v>999</v>
      </c>
      <c r="AO9" s="41">
        <v>-6.1738324718731433E-2</v>
      </c>
      <c r="AP9" s="84">
        <v>999</v>
      </c>
      <c r="AQ9" s="91">
        <v>9</v>
      </c>
      <c r="AR9" s="41">
        <v>-0.18062537975803411</v>
      </c>
      <c r="AS9" s="6">
        <v>999</v>
      </c>
      <c r="AT9" s="41">
        <v>-0.18062537975803411</v>
      </c>
      <c r="AU9" s="89">
        <v>999</v>
      </c>
      <c r="AV9" s="97">
        <v>16</v>
      </c>
      <c r="AW9" s="41">
        <v>-0.216168960077297</v>
      </c>
      <c r="AX9" s="6">
        <v>999</v>
      </c>
      <c r="AY9" s="41">
        <v>-0.216168960077297</v>
      </c>
      <c r="AZ9" s="94">
        <v>999</v>
      </c>
    </row>
    <row r="10" spans="1:52" x14ac:dyDescent="0.3">
      <c r="A10" t="s">
        <v>13</v>
      </c>
      <c r="B10" s="25" t="s">
        <v>234</v>
      </c>
      <c r="C10" s="25" t="s">
        <v>232</v>
      </c>
      <c r="D10" s="24">
        <v>6.6150000095367432</v>
      </c>
      <c r="E10" s="2">
        <v>-0.7138201356896664</v>
      </c>
      <c r="F10" s="2">
        <v>-0.61360983146815373</v>
      </c>
      <c r="G10" s="15">
        <v>0.10355255936667659</v>
      </c>
      <c r="I10" s="17">
        <v>0.16250945519786919</v>
      </c>
      <c r="J10" s="18">
        <v>58</v>
      </c>
      <c r="K10" s="19">
        <v>-9.2970522849600501E-2</v>
      </c>
      <c r="L10" s="18">
        <v>9</v>
      </c>
      <c r="M10" s="26">
        <v>50</v>
      </c>
      <c r="S10" s="98">
        <v>0.2034429135989706</v>
      </c>
      <c r="T10" s="6">
        <v>58</v>
      </c>
      <c r="U10" s="41">
        <v>0.2034429135989706</v>
      </c>
      <c r="V10" s="94">
        <v>58</v>
      </c>
      <c r="W10" s="97"/>
      <c r="AB10" s="91"/>
      <c r="AG10" s="91"/>
      <c r="AL10" s="93">
        <v>50</v>
      </c>
      <c r="AM10" s="41">
        <v>-4.6648569105325353E-2</v>
      </c>
      <c r="AN10" s="6">
        <v>999</v>
      </c>
      <c r="AO10" s="41">
        <v>-4.6648569105325353E-2</v>
      </c>
      <c r="AP10" s="84">
        <v>999</v>
      </c>
      <c r="AQ10" s="91"/>
      <c r="AV10" s="97"/>
    </row>
    <row r="11" spans="1:52" x14ac:dyDescent="0.3">
      <c r="A11" t="s">
        <v>96</v>
      </c>
      <c r="B11" s="25" t="s">
        <v>242</v>
      </c>
      <c r="C11" s="25" t="s">
        <v>245</v>
      </c>
      <c r="D11" s="24">
        <v>16.545000076293949</v>
      </c>
      <c r="E11" s="2">
        <v>6.5357396057634576E-2</v>
      </c>
      <c r="F11" s="2">
        <v>0.14498271935516011</v>
      </c>
      <c r="I11" s="17">
        <v>0.2257479959581965</v>
      </c>
      <c r="J11" s="18">
        <v>4</v>
      </c>
      <c r="K11" s="19">
        <v>0</v>
      </c>
      <c r="L11" s="18">
        <v>0</v>
      </c>
      <c r="M11" s="26">
        <v>2</v>
      </c>
      <c r="N11" s="28">
        <v>4</v>
      </c>
      <c r="S11" s="98">
        <v>-4.5805464251071362E-2</v>
      </c>
      <c r="T11" s="6">
        <v>999</v>
      </c>
      <c r="U11" s="41">
        <v>-4.5805464251071362E-2</v>
      </c>
      <c r="V11" s="94">
        <v>999</v>
      </c>
      <c r="AL11" s="95">
        <v>7</v>
      </c>
      <c r="AM11" s="41">
        <v>-4.5805464251071362E-2</v>
      </c>
      <c r="AN11" s="6">
        <v>999</v>
      </c>
      <c r="AO11" s="41">
        <v>-4.5805464251071362E-2</v>
      </c>
      <c r="AP11" s="84">
        <v>999</v>
      </c>
      <c r="AQ11" s="63">
        <v>7</v>
      </c>
      <c r="AR11" s="41">
        <v>-4.5805464251071362E-2</v>
      </c>
      <c r="AS11" s="6">
        <v>999</v>
      </c>
      <c r="AT11" s="41">
        <v>-4.5805464251071362E-2</v>
      </c>
      <c r="AU11" s="89">
        <v>999</v>
      </c>
    </row>
    <row r="12" spans="1:52" x14ac:dyDescent="0.3">
      <c r="A12" t="s">
        <v>364</v>
      </c>
      <c r="B12" s="25" t="s">
        <v>277</v>
      </c>
      <c r="C12" s="25" t="s">
        <v>271</v>
      </c>
      <c r="D12" s="24">
        <v>10.989999771118161</v>
      </c>
      <c r="E12" s="2">
        <v>-0.53550296525803964</v>
      </c>
      <c r="F12" s="2">
        <v>-0.2133142762311806</v>
      </c>
      <c r="G12" s="15">
        <v>-0.32029117872933072</v>
      </c>
      <c r="H12" s="16">
        <v>-0.2602365528881404</v>
      </c>
      <c r="I12" s="17">
        <v>0.26205643079352853</v>
      </c>
      <c r="J12" s="18">
        <v>25</v>
      </c>
      <c r="K12" s="19">
        <v>-0.42675156306269157</v>
      </c>
      <c r="L12" s="18">
        <v>118</v>
      </c>
      <c r="M12" s="26">
        <v>21</v>
      </c>
      <c r="N12" s="28">
        <v>25</v>
      </c>
      <c r="P12" s="28">
        <v>5</v>
      </c>
      <c r="Q12" s="28">
        <v>62</v>
      </c>
      <c r="R12" s="28">
        <v>70</v>
      </c>
      <c r="S12" s="98">
        <v>-0.20693279120824509</v>
      </c>
      <c r="T12" s="6">
        <v>70</v>
      </c>
      <c r="U12" s="41">
        <v>-0.32773111474504629</v>
      </c>
      <c r="V12" s="94">
        <v>79</v>
      </c>
      <c r="W12" s="97">
        <v>7</v>
      </c>
      <c r="X12" s="41">
        <v>-4.2213808130999231E-2</v>
      </c>
      <c r="Y12" s="6">
        <v>999</v>
      </c>
      <c r="Z12" s="41">
        <v>-4.2213808130999231E-2</v>
      </c>
      <c r="AA12" s="84">
        <v>999</v>
      </c>
      <c r="AB12" s="91">
        <v>62</v>
      </c>
      <c r="AC12" s="41">
        <v>0.1556064812319293</v>
      </c>
      <c r="AD12" s="6">
        <v>93</v>
      </c>
      <c r="AE12" s="41">
        <v>0.1556064812319293</v>
      </c>
      <c r="AF12" s="84">
        <v>93</v>
      </c>
      <c r="AG12" s="91">
        <v>70</v>
      </c>
      <c r="AH12" s="41">
        <v>4.6831795990257379E-2</v>
      </c>
      <c r="AI12" s="6">
        <v>999</v>
      </c>
      <c r="AJ12" s="41">
        <v>4.6831795990257379E-2</v>
      </c>
      <c r="AK12" s="84">
        <v>999</v>
      </c>
      <c r="AL12" s="93">
        <v>7</v>
      </c>
      <c r="AM12" s="41">
        <v>-4.2213808130999231E-2</v>
      </c>
      <c r="AN12" s="6">
        <v>999</v>
      </c>
      <c r="AO12" s="41">
        <v>-4.2213808130999231E-2</v>
      </c>
      <c r="AP12" s="84">
        <v>999</v>
      </c>
      <c r="AQ12" s="91">
        <v>25</v>
      </c>
      <c r="AR12" s="41">
        <v>-0.36188072555956441</v>
      </c>
      <c r="AS12" s="6">
        <v>999</v>
      </c>
      <c r="AT12" s="41">
        <v>-0.36188072555956441</v>
      </c>
      <c r="AU12" s="89">
        <v>999</v>
      </c>
      <c r="AV12" s="97">
        <v>70</v>
      </c>
      <c r="AW12" s="41">
        <v>4.6831795990257379E-2</v>
      </c>
      <c r="AX12" s="6">
        <v>999</v>
      </c>
      <c r="AY12" s="41">
        <v>4.6831795990257379E-2</v>
      </c>
      <c r="AZ12" s="94">
        <v>999</v>
      </c>
    </row>
    <row r="13" spans="1:52" x14ac:dyDescent="0.3">
      <c r="A13" t="s">
        <v>10</v>
      </c>
      <c r="B13" s="25" t="s">
        <v>231</v>
      </c>
      <c r="C13" s="25" t="s">
        <v>226</v>
      </c>
      <c r="D13" s="24">
        <v>45.57499885559082</v>
      </c>
      <c r="E13" s="2">
        <v>-5.1706251491728472E-2</v>
      </c>
      <c r="F13" s="2">
        <v>5.7915434505334318E-2</v>
      </c>
      <c r="G13" s="15">
        <v>-0.18902907268117961</v>
      </c>
      <c r="H13" s="16">
        <v>-0.32046077693855368</v>
      </c>
      <c r="I13" s="17">
        <v>7.3176106978929178E-2</v>
      </c>
      <c r="J13" s="18">
        <v>30</v>
      </c>
      <c r="K13" s="19">
        <v>-0.42929235585288189</v>
      </c>
      <c r="L13" s="18">
        <v>149</v>
      </c>
      <c r="P13" s="28">
        <v>5</v>
      </c>
      <c r="Q13" s="28">
        <v>127</v>
      </c>
      <c r="R13" s="28">
        <v>129</v>
      </c>
      <c r="S13" s="98">
        <v>0.1816864114195762</v>
      </c>
      <c r="T13" s="6">
        <v>30</v>
      </c>
      <c r="U13" s="41">
        <v>0.1816864114195762</v>
      </c>
      <c r="V13" s="94">
        <v>30</v>
      </c>
      <c r="W13" s="64">
        <v>7</v>
      </c>
      <c r="X13" s="41">
        <v>-1.5667350644016271E-2</v>
      </c>
      <c r="Y13" s="6">
        <v>999</v>
      </c>
      <c r="Z13" s="41">
        <v>-1.5667350644016271E-2</v>
      </c>
      <c r="AA13" s="84">
        <v>999</v>
      </c>
      <c r="AB13" s="63">
        <v>127</v>
      </c>
      <c r="AC13" s="41">
        <v>-0.10503153158102881</v>
      </c>
      <c r="AD13" s="6">
        <v>999</v>
      </c>
      <c r="AE13" s="41">
        <v>-0.10503153158102881</v>
      </c>
      <c r="AF13" s="84">
        <v>999</v>
      </c>
      <c r="AG13" s="63">
        <v>129</v>
      </c>
      <c r="AH13" s="41">
        <v>-5.3154629968879194E-3</v>
      </c>
      <c r="AI13" s="6">
        <v>999</v>
      </c>
      <c r="AJ13" s="41">
        <v>-5.3154629968879194E-3</v>
      </c>
      <c r="AK13" s="84">
        <v>999</v>
      </c>
      <c r="AL13" s="95">
        <v>7</v>
      </c>
      <c r="AM13" s="41">
        <v>-1.5667350644016271E-2</v>
      </c>
      <c r="AN13" s="6">
        <v>999</v>
      </c>
      <c r="AO13" s="41">
        <v>-1.5667350644016271E-2</v>
      </c>
      <c r="AP13" s="84">
        <v>999</v>
      </c>
      <c r="AQ13" s="63">
        <v>127</v>
      </c>
      <c r="AR13" s="41">
        <v>-0.10503153158102881</v>
      </c>
      <c r="AS13" s="6">
        <v>999</v>
      </c>
      <c r="AT13" s="41">
        <v>-0.10503153158102881</v>
      </c>
      <c r="AU13" s="89">
        <v>999</v>
      </c>
      <c r="AV13" s="64">
        <v>129</v>
      </c>
      <c r="AW13" s="41">
        <v>-5.3154629968879194E-3</v>
      </c>
      <c r="AX13" s="6">
        <v>999</v>
      </c>
      <c r="AY13" s="41">
        <v>-5.3154629968879194E-3</v>
      </c>
      <c r="AZ13" s="94">
        <v>999</v>
      </c>
    </row>
    <row r="14" spans="1:52" x14ac:dyDescent="0.3">
      <c r="A14" t="s">
        <v>18</v>
      </c>
      <c r="B14" s="25" t="s">
        <v>234</v>
      </c>
      <c r="C14" s="25" t="s">
        <v>232</v>
      </c>
      <c r="D14" s="24">
        <v>4.8650000095367432</v>
      </c>
      <c r="E14" s="2">
        <v>-0.40815086964769159</v>
      </c>
      <c r="F14" s="2">
        <v>-0.1023985348606667</v>
      </c>
      <c r="G14" s="15">
        <v>0.16135664630870949</v>
      </c>
      <c r="I14" s="17">
        <v>0.42651593907834401</v>
      </c>
      <c r="J14" s="18">
        <v>35</v>
      </c>
      <c r="K14" s="19">
        <v>-2.980477267437864E-2</v>
      </c>
      <c r="L14" s="18">
        <v>80</v>
      </c>
      <c r="M14" s="26">
        <v>20</v>
      </c>
      <c r="N14" s="28">
        <v>34</v>
      </c>
      <c r="O14" s="87">
        <v>34</v>
      </c>
      <c r="S14" s="98">
        <v>0.36078435039117013</v>
      </c>
      <c r="T14" s="6">
        <v>35</v>
      </c>
      <c r="U14" s="41">
        <v>0.36078435039117013</v>
      </c>
      <c r="V14" s="94">
        <v>35</v>
      </c>
      <c r="W14" s="97"/>
      <c r="AB14" s="91"/>
      <c r="AG14" s="91"/>
      <c r="AL14" s="93">
        <v>20</v>
      </c>
      <c r="AM14" s="41">
        <v>3.3762611120725559E-2</v>
      </c>
      <c r="AN14" s="6">
        <v>999</v>
      </c>
      <c r="AO14" s="41">
        <v>3.3762611120725559E-2</v>
      </c>
      <c r="AP14" s="84">
        <v>999</v>
      </c>
      <c r="AQ14" s="91">
        <v>34</v>
      </c>
      <c r="AR14" s="41">
        <v>-0.1639411151053094</v>
      </c>
      <c r="AS14" s="6">
        <v>999</v>
      </c>
      <c r="AT14" s="41">
        <v>-0.1639411151053094</v>
      </c>
      <c r="AU14" s="89">
        <v>999</v>
      </c>
      <c r="AV14" s="97">
        <v>34</v>
      </c>
      <c r="AW14" s="41">
        <v>-0.1639411151053094</v>
      </c>
      <c r="AX14" s="6">
        <v>999</v>
      </c>
      <c r="AY14" s="41">
        <v>-0.1639411151053094</v>
      </c>
      <c r="AZ14" s="94">
        <v>999</v>
      </c>
    </row>
    <row r="15" spans="1:52" x14ac:dyDescent="0.3">
      <c r="A15" t="s">
        <v>38</v>
      </c>
      <c r="B15" s="25" t="s">
        <v>242</v>
      </c>
      <c r="C15" s="25" t="s">
        <v>245</v>
      </c>
      <c r="D15" s="24">
        <v>1.274999976158143</v>
      </c>
      <c r="E15" s="2">
        <v>-0.64285714285714279</v>
      </c>
      <c r="F15" s="2">
        <v>-0.38106795554673878</v>
      </c>
      <c r="I15" s="17">
        <v>0</v>
      </c>
      <c r="J15" s="18">
        <v>0</v>
      </c>
      <c r="K15" s="19">
        <v>-0.160784256893687</v>
      </c>
      <c r="L15" s="18">
        <v>8</v>
      </c>
      <c r="P15" s="28">
        <v>6</v>
      </c>
      <c r="S15" s="98">
        <v>3.5493791900546107E-2</v>
      </c>
      <c r="T15" s="6">
        <v>999</v>
      </c>
      <c r="U15" s="41">
        <v>3.5493791900546107E-2</v>
      </c>
      <c r="V15" s="94">
        <v>999</v>
      </c>
      <c r="W15" s="97">
        <v>7</v>
      </c>
      <c r="X15" s="41">
        <v>3.5493791900546107E-2</v>
      </c>
      <c r="Y15" s="6">
        <v>999</v>
      </c>
      <c r="Z15" s="41">
        <v>3.5493791900546107E-2</v>
      </c>
      <c r="AA15" s="84">
        <v>999</v>
      </c>
      <c r="AB15" s="91"/>
      <c r="AG15" s="91"/>
      <c r="AL15" s="93">
        <v>7</v>
      </c>
      <c r="AM15" s="41">
        <v>3.5493791900546107E-2</v>
      </c>
      <c r="AN15" s="6">
        <v>999</v>
      </c>
      <c r="AO15" s="41">
        <v>3.5493791900546107E-2</v>
      </c>
      <c r="AP15" s="84">
        <v>999</v>
      </c>
      <c r="AQ15" s="91"/>
      <c r="AV15" s="97"/>
    </row>
    <row r="16" spans="1:52" x14ac:dyDescent="0.3">
      <c r="A16" t="s">
        <v>21</v>
      </c>
      <c r="B16" s="25" t="s">
        <v>229</v>
      </c>
      <c r="C16" s="25" t="s">
        <v>238</v>
      </c>
      <c r="D16" s="24">
        <v>17.27499961853027</v>
      </c>
      <c r="E16" s="2">
        <v>-0.36698427852740662</v>
      </c>
      <c r="F16" s="2">
        <v>-0.1987476787363088</v>
      </c>
      <c r="G16" s="15">
        <v>-0.19479015024166191</v>
      </c>
      <c r="H16" s="16">
        <v>-0.1102749507981331</v>
      </c>
      <c r="I16" s="17">
        <v>0.20173665338975361</v>
      </c>
      <c r="J16" s="18">
        <v>26</v>
      </c>
      <c r="K16" s="19">
        <v>-0.30188129169737471</v>
      </c>
      <c r="L16" s="18">
        <v>83</v>
      </c>
      <c r="M16" s="26">
        <v>25</v>
      </c>
      <c r="N16" s="28">
        <v>26</v>
      </c>
      <c r="P16" s="28">
        <v>5</v>
      </c>
      <c r="Q16" s="28">
        <v>63</v>
      </c>
      <c r="R16" s="28">
        <v>83</v>
      </c>
      <c r="S16" s="98">
        <v>0.38862879556801061</v>
      </c>
      <c r="T16" s="6">
        <v>26</v>
      </c>
      <c r="U16" s="45">
        <v>0.38862879556801061</v>
      </c>
      <c r="V16" s="94">
        <v>26</v>
      </c>
      <c r="W16" s="64">
        <v>7</v>
      </c>
      <c r="X16" s="41">
        <v>3.5607132148620782E-2</v>
      </c>
      <c r="Y16" s="6">
        <v>999</v>
      </c>
      <c r="Z16" s="45">
        <v>3.5607132148620782E-2</v>
      </c>
      <c r="AA16" s="84">
        <v>999</v>
      </c>
      <c r="AB16" s="63">
        <v>63</v>
      </c>
      <c r="AC16" s="41">
        <v>0.18201590153378369</v>
      </c>
      <c r="AD16" s="6">
        <v>146</v>
      </c>
      <c r="AE16" s="45">
        <v>0.18201590153378369</v>
      </c>
      <c r="AF16" s="84">
        <v>146</v>
      </c>
      <c r="AG16" s="63">
        <v>83</v>
      </c>
      <c r="AH16" s="41">
        <v>0.3515753457642592</v>
      </c>
      <c r="AI16" s="6">
        <v>146</v>
      </c>
      <c r="AJ16" s="45">
        <v>0.3515753457642592</v>
      </c>
      <c r="AK16" s="84">
        <v>146</v>
      </c>
      <c r="AL16" s="95">
        <v>7</v>
      </c>
      <c r="AM16" s="41">
        <v>3.5607132148620782E-2</v>
      </c>
      <c r="AN16" s="6">
        <v>999</v>
      </c>
      <c r="AO16" s="45">
        <v>3.5607132148620782E-2</v>
      </c>
      <c r="AP16" s="84">
        <v>999</v>
      </c>
      <c r="AQ16" s="63">
        <v>26</v>
      </c>
      <c r="AR16" s="41">
        <v>-0.26559923500253002</v>
      </c>
      <c r="AS16" s="6">
        <v>999</v>
      </c>
      <c r="AT16" s="45">
        <v>-0.26559923500253002</v>
      </c>
      <c r="AU16" s="89">
        <v>999</v>
      </c>
      <c r="AV16" s="64">
        <v>83</v>
      </c>
      <c r="AW16" s="41">
        <v>0.3515753457642592</v>
      </c>
      <c r="AX16" s="6">
        <v>146</v>
      </c>
      <c r="AY16" s="45">
        <v>0.3515753457642592</v>
      </c>
      <c r="AZ16" s="94">
        <v>146</v>
      </c>
    </row>
    <row r="17" spans="1:52" x14ac:dyDescent="0.3">
      <c r="A17" t="s">
        <v>78</v>
      </c>
      <c r="B17" s="25" t="s">
        <v>226</v>
      </c>
      <c r="C17" s="25" t="s">
        <v>227</v>
      </c>
      <c r="D17" s="24">
        <v>18.469999313354489</v>
      </c>
      <c r="E17" s="2">
        <v>9.0962727727057713E-2</v>
      </c>
      <c r="F17" s="2">
        <v>-5.1361070121563879E-2</v>
      </c>
      <c r="G17" s="15">
        <v>0.1180292575105599</v>
      </c>
      <c r="H17" s="16">
        <v>-0.17217105954098241</v>
      </c>
      <c r="I17" s="17">
        <v>0.2306443090012302</v>
      </c>
      <c r="J17" s="18">
        <v>93</v>
      </c>
      <c r="K17" s="19">
        <v>-0.25554951211837651</v>
      </c>
      <c r="L17" s="18">
        <v>129</v>
      </c>
      <c r="M17" s="26">
        <v>20</v>
      </c>
      <c r="N17" s="28">
        <v>43</v>
      </c>
      <c r="P17" s="28">
        <v>108</v>
      </c>
      <c r="Q17" s="28">
        <v>127</v>
      </c>
      <c r="S17" s="98">
        <v>0.23131097884806051</v>
      </c>
      <c r="T17" s="6">
        <v>93</v>
      </c>
      <c r="U17" s="41">
        <v>0.23131097884806051</v>
      </c>
      <c r="V17" s="94">
        <v>93</v>
      </c>
      <c r="W17" s="64">
        <v>108</v>
      </c>
      <c r="X17" s="41">
        <v>-4.3574745065884858E-2</v>
      </c>
      <c r="Y17" s="6">
        <v>999</v>
      </c>
      <c r="Z17" s="41">
        <v>-4.3574745065884858E-2</v>
      </c>
      <c r="AA17" s="84">
        <v>999</v>
      </c>
      <c r="AB17" s="63">
        <v>127</v>
      </c>
      <c r="AC17" s="41">
        <v>5.1142996022930959E-2</v>
      </c>
      <c r="AD17" s="6">
        <v>999</v>
      </c>
      <c r="AE17" s="41">
        <v>5.1142996022930959E-2</v>
      </c>
      <c r="AF17" s="84">
        <v>999</v>
      </c>
      <c r="AL17" s="95">
        <v>20</v>
      </c>
      <c r="AM17" s="41">
        <v>9.3314023149468683E-2</v>
      </c>
      <c r="AN17" s="6">
        <v>93</v>
      </c>
      <c r="AO17" s="41">
        <v>9.3314023149468683E-2</v>
      </c>
      <c r="AP17" s="84">
        <v>93</v>
      </c>
      <c r="AQ17" s="63">
        <v>43</v>
      </c>
      <c r="AR17" s="41">
        <v>1.745744794022586E-2</v>
      </c>
      <c r="AS17" s="6">
        <v>93</v>
      </c>
      <c r="AT17" s="41">
        <v>1.745744794022586E-2</v>
      </c>
      <c r="AU17" s="89">
        <v>93</v>
      </c>
    </row>
    <row r="18" spans="1:52" x14ac:dyDescent="0.3">
      <c r="A18" t="s">
        <v>162</v>
      </c>
      <c r="B18" s="25" t="s">
        <v>316</v>
      </c>
      <c r="C18" s="25" t="s">
        <v>317</v>
      </c>
      <c r="D18" s="24">
        <v>31.59004020690918</v>
      </c>
      <c r="E18" s="2">
        <v>-0.15641289088591859</v>
      </c>
      <c r="F18" s="2">
        <v>-7.2779326540771461E-2</v>
      </c>
      <c r="G18" s="15">
        <v>0.17892471199162879</v>
      </c>
      <c r="H18" s="16">
        <v>0.19283064848744561</v>
      </c>
      <c r="I18" s="17">
        <v>0.25154503193672811</v>
      </c>
      <c r="J18" s="18">
        <v>91</v>
      </c>
      <c r="K18" s="19">
        <v>-5.5624289386744567E-2</v>
      </c>
      <c r="L18" s="18">
        <v>32</v>
      </c>
      <c r="M18" s="26">
        <v>38</v>
      </c>
      <c r="N18" s="28">
        <v>42</v>
      </c>
      <c r="S18" s="98">
        <v>0.2480738896152308</v>
      </c>
      <c r="T18" s="6">
        <v>91</v>
      </c>
      <c r="U18" s="41">
        <v>0.2480738896152308</v>
      </c>
      <c r="V18" s="94">
        <v>91</v>
      </c>
      <c r="AL18" s="95">
        <v>38</v>
      </c>
      <c r="AM18" s="41">
        <v>9.4298817297453486E-2</v>
      </c>
      <c r="AN18" s="6">
        <v>91</v>
      </c>
      <c r="AO18" s="41">
        <v>9.4298817297453486E-2</v>
      </c>
      <c r="AP18" s="84">
        <v>91</v>
      </c>
      <c r="AQ18" s="63">
        <v>42</v>
      </c>
      <c r="AR18" s="41">
        <v>3.952769690002822E-2</v>
      </c>
      <c r="AS18" s="6">
        <v>91</v>
      </c>
      <c r="AT18" s="41">
        <v>3.952769690002822E-2</v>
      </c>
      <c r="AU18" s="89">
        <v>91</v>
      </c>
    </row>
    <row r="19" spans="1:52" x14ac:dyDescent="0.3">
      <c r="A19" t="s">
        <v>17</v>
      </c>
      <c r="B19" s="25" t="s">
        <v>229</v>
      </c>
      <c r="C19" s="25" t="s">
        <v>238</v>
      </c>
      <c r="D19" s="24">
        <v>8.875</v>
      </c>
      <c r="E19" s="2">
        <v>-0.21806170028949709</v>
      </c>
      <c r="F19" s="2">
        <v>-8.5993824394085316E-2</v>
      </c>
      <c r="G19" s="15">
        <v>0.20563378132564969</v>
      </c>
      <c r="H19" s="16">
        <v>-6.2535245653609128E-2</v>
      </c>
      <c r="I19" s="17">
        <v>0.3453520653953015</v>
      </c>
      <c r="J19" s="18">
        <v>108</v>
      </c>
      <c r="K19" s="19">
        <v>-7.9436611121808998E-2</v>
      </c>
      <c r="L19" s="18">
        <v>28</v>
      </c>
      <c r="M19" s="26">
        <v>30</v>
      </c>
      <c r="N19" s="28">
        <v>75</v>
      </c>
      <c r="O19" s="87">
        <v>99</v>
      </c>
      <c r="S19" s="98">
        <v>0.32962140189706868</v>
      </c>
      <c r="T19" s="6">
        <v>108</v>
      </c>
      <c r="U19" s="41">
        <v>0.32962140189706868</v>
      </c>
      <c r="V19" s="94">
        <v>108</v>
      </c>
      <c r="W19" s="97"/>
      <c r="AB19" s="91"/>
      <c r="AG19" s="91"/>
      <c r="AL19" s="93">
        <v>30</v>
      </c>
      <c r="AM19" s="41">
        <v>0.15473882052070989</v>
      </c>
      <c r="AN19" s="6">
        <v>108</v>
      </c>
      <c r="AO19" s="41">
        <v>0.15473882052070989</v>
      </c>
      <c r="AP19" s="84">
        <v>108</v>
      </c>
      <c r="AQ19" s="91">
        <v>75</v>
      </c>
      <c r="AR19" s="41">
        <v>0.115887831142244</v>
      </c>
      <c r="AS19" s="6">
        <v>108</v>
      </c>
      <c r="AT19" s="41">
        <v>0.115887831142244</v>
      </c>
      <c r="AU19" s="89">
        <v>108</v>
      </c>
      <c r="AV19" s="97">
        <v>99</v>
      </c>
      <c r="AW19" s="41">
        <v>-6.8481536595601217E-2</v>
      </c>
      <c r="AX19" s="6">
        <v>999</v>
      </c>
      <c r="AY19" s="41">
        <v>-6.8481536595601217E-2</v>
      </c>
      <c r="AZ19" s="94">
        <v>999</v>
      </c>
    </row>
    <row r="20" spans="1:52" x14ac:dyDescent="0.3">
      <c r="A20" t="s">
        <v>9</v>
      </c>
      <c r="B20" s="25" t="s">
        <v>226</v>
      </c>
      <c r="C20" s="25" t="s">
        <v>227</v>
      </c>
      <c r="D20" s="24">
        <v>14.47999954223633</v>
      </c>
      <c r="E20" s="2">
        <v>-0.37505397088663228</v>
      </c>
      <c r="F20" s="2">
        <v>-0.4617100465584516</v>
      </c>
      <c r="G20" s="15">
        <v>-0.58977898860464539</v>
      </c>
      <c r="H20" s="16">
        <v>-0.90676795120717524</v>
      </c>
      <c r="I20" s="17">
        <v>0.29903315335583991</v>
      </c>
      <c r="J20" s="18">
        <v>49</v>
      </c>
      <c r="K20" s="19">
        <v>-0.93191298232014219</v>
      </c>
      <c r="L20" s="18">
        <v>136</v>
      </c>
      <c r="M20" s="26">
        <v>1</v>
      </c>
      <c r="N20" s="28">
        <v>1</v>
      </c>
      <c r="P20" s="28">
        <v>55</v>
      </c>
      <c r="Q20" s="28">
        <v>56</v>
      </c>
      <c r="R20" s="28">
        <v>69</v>
      </c>
      <c r="S20" s="98">
        <v>0.1815326241079516</v>
      </c>
      <c r="T20" s="6">
        <v>49</v>
      </c>
      <c r="U20" s="41">
        <v>0.1815326241079516</v>
      </c>
      <c r="V20" s="94">
        <v>49</v>
      </c>
      <c r="W20" s="97">
        <v>55</v>
      </c>
      <c r="X20" s="41">
        <v>-0.62374362531556382</v>
      </c>
      <c r="Y20" s="6">
        <v>999</v>
      </c>
      <c r="Z20" s="41">
        <v>-0.62374362531556382</v>
      </c>
      <c r="AA20" s="84">
        <v>999</v>
      </c>
      <c r="AB20" s="91">
        <v>56</v>
      </c>
      <c r="AC20" s="41">
        <v>-0.60009590007077163</v>
      </c>
      <c r="AD20" s="6">
        <v>999</v>
      </c>
      <c r="AE20" s="41">
        <v>-0.60009590007077163</v>
      </c>
      <c r="AF20" s="84">
        <v>999</v>
      </c>
      <c r="AG20" s="91">
        <v>69</v>
      </c>
      <c r="AH20" s="41">
        <v>-0.50977691577312423</v>
      </c>
      <c r="AI20" s="6">
        <v>999</v>
      </c>
      <c r="AJ20" s="41">
        <v>-0.50977691577312423</v>
      </c>
      <c r="AK20" s="84">
        <v>999</v>
      </c>
      <c r="AL20" s="93">
        <v>7</v>
      </c>
      <c r="AM20" s="41">
        <v>0.1815326241079516</v>
      </c>
      <c r="AN20" s="6">
        <v>49</v>
      </c>
      <c r="AO20" s="41">
        <v>0.1815326241079516</v>
      </c>
      <c r="AP20" s="84">
        <v>49</v>
      </c>
      <c r="AQ20" s="91">
        <v>7</v>
      </c>
      <c r="AR20" s="41">
        <v>0.1815326241079516</v>
      </c>
      <c r="AS20" s="6">
        <v>49</v>
      </c>
      <c r="AT20" s="41">
        <v>0.1815326241079516</v>
      </c>
      <c r="AU20" s="89">
        <v>49</v>
      </c>
      <c r="AV20" s="97">
        <v>69</v>
      </c>
      <c r="AW20" s="41">
        <v>-0.50977691577312423</v>
      </c>
      <c r="AX20" s="6">
        <v>999</v>
      </c>
      <c r="AY20" s="41">
        <v>-0.50977691577312423</v>
      </c>
      <c r="AZ20" s="94">
        <v>999</v>
      </c>
    </row>
    <row r="21" spans="1:52" x14ac:dyDescent="0.3">
      <c r="A21" t="s">
        <v>20</v>
      </c>
      <c r="B21" s="25" t="s">
        <v>233</v>
      </c>
      <c r="C21" s="25" t="s">
        <v>242</v>
      </c>
      <c r="D21" s="24">
        <v>6.3299999237060547</v>
      </c>
      <c r="E21" s="2">
        <v>-0.37519064373902522</v>
      </c>
      <c r="F21" s="2">
        <v>-0.31649045556071592</v>
      </c>
      <c r="I21" s="17">
        <v>0.31595577000087077</v>
      </c>
      <c r="J21" s="18">
        <v>33</v>
      </c>
      <c r="K21" s="19">
        <v>-2.6856252502830191E-2</v>
      </c>
      <c r="L21" s="18">
        <v>2</v>
      </c>
      <c r="M21" s="26">
        <v>7</v>
      </c>
      <c r="N21" s="28">
        <v>17</v>
      </c>
      <c r="O21" s="87">
        <v>27</v>
      </c>
      <c r="S21" s="98">
        <v>0.19512197624858321</v>
      </c>
      <c r="T21" s="6">
        <v>33</v>
      </c>
      <c r="U21" s="41">
        <v>0.19512197624858321</v>
      </c>
      <c r="V21" s="94">
        <v>33</v>
      </c>
      <c r="W21" s="97"/>
      <c r="AB21" s="91"/>
      <c r="AG21" s="91"/>
      <c r="AL21" s="93">
        <v>7</v>
      </c>
      <c r="AM21" s="41">
        <v>0.19512197624858321</v>
      </c>
      <c r="AN21" s="6">
        <v>33</v>
      </c>
      <c r="AO21" s="41">
        <v>0.19512197624858321</v>
      </c>
      <c r="AP21" s="84">
        <v>33</v>
      </c>
      <c r="AQ21" s="91">
        <v>17</v>
      </c>
      <c r="AR21" s="41">
        <v>1.9974983524464519E-2</v>
      </c>
      <c r="AS21" s="6">
        <v>999</v>
      </c>
      <c r="AT21" s="41">
        <v>1.9974983524464519E-2</v>
      </c>
      <c r="AU21" s="89">
        <v>999</v>
      </c>
      <c r="AV21" s="97">
        <v>27</v>
      </c>
      <c r="AW21" s="41">
        <v>-3.5310493414375213E-2</v>
      </c>
      <c r="AX21" s="6">
        <v>999</v>
      </c>
      <c r="AY21" s="41">
        <v>-3.5310493414375213E-2</v>
      </c>
      <c r="AZ21" s="94">
        <v>999</v>
      </c>
    </row>
    <row r="22" spans="1:52" x14ac:dyDescent="0.3">
      <c r="A22" t="s">
        <v>52</v>
      </c>
      <c r="B22" s="25" t="s">
        <v>361</v>
      </c>
      <c r="C22" s="25" t="s">
        <v>321</v>
      </c>
      <c r="D22" s="24">
        <v>31.334048271179199</v>
      </c>
      <c r="E22" s="2">
        <v>-0.11091533250378401</v>
      </c>
      <c r="F22" s="2">
        <v>-7.2891263725933797E-3</v>
      </c>
      <c r="G22" s="15">
        <v>0.27965012070349982</v>
      </c>
      <c r="H22" s="16">
        <v>0.12118727551944559</v>
      </c>
      <c r="I22" s="17">
        <v>0.3274405315708051</v>
      </c>
      <c r="J22" s="18">
        <v>122</v>
      </c>
      <c r="K22" s="19">
        <v>-5.5460120974073268E-2</v>
      </c>
      <c r="L22" s="18">
        <v>19</v>
      </c>
      <c r="M22" s="26">
        <v>27</v>
      </c>
      <c r="N22" s="28">
        <v>34</v>
      </c>
      <c r="O22" s="87">
        <v>111</v>
      </c>
      <c r="S22" s="98">
        <v>0.36870931057465173</v>
      </c>
      <c r="T22" s="6">
        <v>122</v>
      </c>
      <c r="U22" s="41">
        <v>0.36870931057465173</v>
      </c>
      <c r="V22" s="94">
        <v>122</v>
      </c>
      <c r="W22" s="97"/>
      <c r="AB22" s="91"/>
      <c r="AG22" s="91"/>
      <c r="AL22" s="93">
        <v>27</v>
      </c>
      <c r="AM22" s="41">
        <v>0.2055827488946067</v>
      </c>
      <c r="AN22" s="6">
        <v>122</v>
      </c>
      <c r="AO22" s="41">
        <v>0.2055827488946067</v>
      </c>
      <c r="AP22" s="84">
        <v>122</v>
      </c>
      <c r="AQ22" s="91">
        <v>34</v>
      </c>
      <c r="AR22" s="41">
        <v>8.9352100833535841E-2</v>
      </c>
      <c r="AS22" s="6">
        <v>122</v>
      </c>
      <c r="AT22" s="41">
        <v>8.9352100833535841E-2</v>
      </c>
      <c r="AU22" s="89">
        <v>122</v>
      </c>
      <c r="AV22" s="97">
        <v>111</v>
      </c>
      <c r="AW22" s="41">
        <v>-5.1191600891290379E-2</v>
      </c>
      <c r="AX22" s="6">
        <v>999</v>
      </c>
      <c r="AY22" s="41">
        <v>-5.1191600891290379E-2</v>
      </c>
      <c r="AZ22" s="94">
        <v>999</v>
      </c>
    </row>
    <row r="23" spans="1:52" x14ac:dyDescent="0.3">
      <c r="A23" t="s">
        <v>80</v>
      </c>
      <c r="B23" s="25" t="s">
        <v>226</v>
      </c>
      <c r="C23" s="25" t="s">
        <v>227</v>
      </c>
      <c r="D23" s="24">
        <v>50.308662414550781</v>
      </c>
      <c r="E23" s="2">
        <v>-7.5986168498505258E-2</v>
      </c>
      <c r="F23" s="2">
        <v>6.4922656905767484E-2</v>
      </c>
      <c r="G23" s="15">
        <v>1.003593083893572E-2</v>
      </c>
      <c r="H23" s="16">
        <v>-0.12209562337723209</v>
      </c>
      <c r="I23" s="17">
        <v>9.9910116033270491E-2</v>
      </c>
      <c r="J23" s="18">
        <v>43</v>
      </c>
      <c r="K23" s="19">
        <v>-0.39478101266033938</v>
      </c>
      <c r="L23" s="18">
        <v>127</v>
      </c>
      <c r="P23" s="28">
        <v>56</v>
      </c>
      <c r="Q23" s="28">
        <v>126</v>
      </c>
      <c r="R23" s="28">
        <v>126</v>
      </c>
      <c r="S23" s="98">
        <v>0.14644813632054829</v>
      </c>
      <c r="T23" s="6">
        <v>43</v>
      </c>
      <c r="U23" s="41">
        <v>0.14644813632054829</v>
      </c>
      <c r="V23" s="94">
        <v>43</v>
      </c>
      <c r="W23" s="64">
        <v>56</v>
      </c>
      <c r="X23" s="41">
        <v>0.2081516154211189</v>
      </c>
      <c r="Y23" s="6">
        <v>94</v>
      </c>
      <c r="Z23" s="41">
        <v>0.2081516154211189</v>
      </c>
      <c r="AA23" s="84">
        <v>94</v>
      </c>
      <c r="AB23" s="63">
        <v>126</v>
      </c>
      <c r="AC23" s="41">
        <v>0.1245562850896324</v>
      </c>
      <c r="AD23" s="6">
        <v>999</v>
      </c>
      <c r="AE23" s="41">
        <v>0.1245562850896324</v>
      </c>
      <c r="AF23" s="84">
        <v>999</v>
      </c>
      <c r="AG23" s="63">
        <v>126</v>
      </c>
      <c r="AH23" s="41">
        <v>0.1245562850896324</v>
      </c>
      <c r="AI23" s="6">
        <v>999</v>
      </c>
      <c r="AJ23" s="41">
        <v>0.1245562850896324</v>
      </c>
      <c r="AK23" s="84">
        <v>999</v>
      </c>
      <c r="AL23" s="95">
        <v>56</v>
      </c>
      <c r="AM23" s="41">
        <v>0.2081516154211189</v>
      </c>
      <c r="AN23" s="6">
        <v>94</v>
      </c>
      <c r="AO23" s="41">
        <v>0.2081516154211189</v>
      </c>
      <c r="AP23" s="84">
        <v>94</v>
      </c>
      <c r="AQ23" s="63">
        <v>126</v>
      </c>
      <c r="AR23" s="41">
        <v>0.1245562850896324</v>
      </c>
      <c r="AS23" s="6">
        <v>999</v>
      </c>
      <c r="AT23" s="41">
        <v>0.1245562850896324</v>
      </c>
      <c r="AU23" s="89">
        <v>999</v>
      </c>
      <c r="AV23" s="64">
        <v>126</v>
      </c>
      <c r="AW23" s="41">
        <v>0.1245562850896324</v>
      </c>
      <c r="AX23" s="6">
        <v>999</v>
      </c>
      <c r="AY23" s="41">
        <v>0.1245562850896324</v>
      </c>
      <c r="AZ23" s="94">
        <v>999</v>
      </c>
    </row>
    <row r="24" spans="1:52" x14ac:dyDescent="0.3">
      <c r="A24" t="s">
        <v>75</v>
      </c>
      <c r="B24" s="25" t="s">
        <v>228</v>
      </c>
      <c r="C24" s="25" t="s">
        <v>229</v>
      </c>
      <c r="D24" s="24">
        <v>7.5174999237060547</v>
      </c>
      <c r="E24" s="2">
        <v>1.278030312827577</v>
      </c>
      <c r="F24" s="2">
        <v>1.713898908111757</v>
      </c>
      <c r="G24" s="15">
        <v>0.31426673956920692</v>
      </c>
      <c r="H24" s="16">
        <v>0.24110409290253171</v>
      </c>
      <c r="I24" s="17">
        <v>1.684403127366743</v>
      </c>
      <c r="J24" s="18">
        <v>23</v>
      </c>
      <c r="K24" s="19">
        <v>-9.0123016693582247E-2</v>
      </c>
      <c r="L24" s="18">
        <v>8</v>
      </c>
      <c r="M24" s="26">
        <v>4</v>
      </c>
      <c r="N24" s="28">
        <v>22</v>
      </c>
      <c r="O24" s="87">
        <v>22</v>
      </c>
      <c r="S24" s="98">
        <v>0.35521385125263771</v>
      </c>
      <c r="T24" s="6">
        <v>999</v>
      </c>
      <c r="U24" s="41">
        <v>0.35521385125263771</v>
      </c>
      <c r="V24" s="94">
        <v>999</v>
      </c>
      <c r="W24" s="97"/>
      <c r="AB24" s="91"/>
      <c r="AG24" s="91"/>
      <c r="AL24" s="93">
        <v>7</v>
      </c>
      <c r="AM24" s="41">
        <v>0.35521385125263771</v>
      </c>
      <c r="AN24" s="6">
        <v>999</v>
      </c>
      <c r="AO24" s="41">
        <v>0.35521385125263771</v>
      </c>
      <c r="AP24" s="84">
        <v>999</v>
      </c>
      <c r="AQ24" s="91">
        <v>22</v>
      </c>
      <c r="AR24" s="41">
        <v>-0.45570406996113533</v>
      </c>
      <c r="AS24" s="6">
        <v>999</v>
      </c>
      <c r="AT24" s="41">
        <v>-0.45570406996113533</v>
      </c>
      <c r="AU24" s="89">
        <v>999</v>
      </c>
      <c r="AV24" s="97">
        <v>22</v>
      </c>
      <c r="AW24" s="41">
        <v>-0.45570406996113533</v>
      </c>
      <c r="AX24" s="6">
        <v>999</v>
      </c>
      <c r="AY24" s="41">
        <v>-0.45570406996113533</v>
      </c>
      <c r="AZ24" s="94">
        <v>999</v>
      </c>
    </row>
    <row r="25" spans="1:52" x14ac:dyDescent="0.3">
      <c r="A25" t="s">
        <v>312</v>
      </c>
      <c r="B25" s="25" t="s">
        <v>332</v>
      </c>
      <c r="C25" s="25" t="s">
        <v>286</v>
      </c>
      <c r="D25" s="24">
        <v>38.740001678466797</v>
      </c>
      <c r="E25" s="2">
        <v>-0.61376297885996489</v>
      </c>
      <c r="F25" s="2">
        <v>-0.16056337166656229</v>
      </c>
      <c r="G25" s="15">
        <v>0.21812071714336079</v>
      </c>
      <c r="H25" s="16">
        <v>0.11409390752303759</v>
      </c>
      <c r="I25" s="17">
        <v>0.58389256458029126</v>
      </c>
      <c r="J25" s="18">
        <v>63</v>
      </c>
      <c r="K25" s="19">
        <v>-0.1107382738682713</v>
      </c>
      <c r="L25" s="18">
        <v>39</v>
      </c>
      <c r="M25" s="26">
        <v>4</v>
      </c>
      <c r="N25" s="28">
        <v>4</v>
      </c>
      <c r="O25" s="87">
        <v>13</v>
      </c>
      <c r="P25" s="28">
        <v>39</v>
      </c>
      <c r="S25" s="98">
        <v>-0.20977014426115331</v>
      </c>
      <c r="T25" s="6">
        <v>38</v>
      </c>
      <c r="U25" s="41">
        <v>0.35632180225045201</v>
      </c>
      <c r="V25" s="94">
        <v>63</v>
      </c>
      <c r="W25" s="97">
        <v>39</v>
      </c>
      <c r="X25" s="41">
        <v>0.34295819278550987</v>
      </c>
      <c r="Y25" s="6">
        <v>999</v>
      </c>
      <c r="Z25" s="41">
        <v>0.34295819278550987</v>
      </c>
      <c r="AA25" s="84">
        <v>999</v>
      </c>
      <c r="AB25" s="91"/>
      <c r="AG25" s="91"/>
      <c r="AL25" s="93">
        <v>7</v>
      </c>
      <c r="AM25" s="41">
        <v>0.35632180225045201</v>
      </c>
      <c r="AN25" s="6">
        <v>63</v>
      </c>
      <c r="AO25" s="41">
        <v>0.35632180225045201</v>
      </c>
      <c r="AP25" s="84">
        <v>63</v>
      </c>
      <c r="AQ25" s="91">
        <v>7</v>
      </c>
      <c r="AR25" s="41">
        <v>0.35632180225045201</v>
      </c>
      <c r="AS25" s="6">
        <v>63</v>
      </c>
      <c r="AT25" s="41">
        <v>0.35632180225045201</v>
      </c>
      <c r="AU25" s="89">
        <v>63</v>
      </c>
      <c r="AV25" s="97">
        <v>13</v>
      </c>
      <c r="AW25" s="41">
        <v>0.18891687434013349</v>
      </c>
      <c r="AX25" s="6">
        <v>63</v>
      </c>
      <c r="AY25" s="41">
        <v>0.18891687434013349</v>
      </c>
      <c r="AZ25" s="94">
        <v>63</v>
      </c>
    </row>
    <row r="26" spans="1:52" x14ac:dyDescent="0.3">
      <c r="A26" t="s">
        <v>77</v>
      </c>
      <c r="B26" s="25" t="s">
        <v>361</v>
      </c>
      <c r="C26" s="25" t="s">
        <v>321</v>
      </c>
      <c r="D26" s="24">
        <v>4.8611934185028076</v>
      </c>
      <c r="E26" s="2">
        <v>0.17442453878834269</v>
      </c>
      <c r="F26" s="2">
        <v>0.19407908029315221</v>
      </c>
      <c r="G26" s="15">
        <v>0.1081202647091324</v>
      </c>
      <c r="H26" s="16">
        <v>-0.23222507191631631</v>
      </c>
      <c r="I26" s="17">
        <v>0.2233492990424448</v>
      </c>
      <c r="J26" s="18">
        <v>71</v>
      </c>
      <c r="K26" s="19">
        <v>-0.27139728965007798</v>
      </c>
      <c r="L26" s="18">
        <v>145</v>
      </c>
      <c r="M26" s="26">
        <v>71</v>
      </c>
      <c r="N26" s="28">
        <v>71</v>
      </c>
      <c r="P26" s="28">
        <v>15</v>
      </c>
      <c r="Q26" s="28">
        <v>19</v>
      </c>
      <c r="S26" s="98">
        <v>0.33782477561113827</v>
      </c>
      <c r="T26" s="6">
        <v>71</v>
      </c>
      <c r="U26" s="41">
        <v>0.33782477561113827</v>
      </c>
      <c r="V26" s="94">
        <v>71</v>
      </c>
      <c r="W26" s="97">
        <v>15</v>
      </c>
      <c r="X26" s="41">
        <v>0.3747497362468335</v>
      </c>
      <c r="Y26" s="6">
        <v>71</v>
      </c>
      <c r="Z26" s="41">
        <v>0.3747497362468335</v>
      </c>
      <c r="AA26" s="84">
        <v>71</v>
      </c>
      <c r="AB26" s="91">
        <v>19</v>
      </c>
      <c r="AC26" s="41">
        <v>0.5831470596859738</v>
      </c>
      <c r="AD26" s="6">
        <v>71</v>
      </c>
      <c r="AE26" s="41">
        <v>0.5831470596859738</v>
      </c>
      <c r="AF26" s="84">
        <v>71</v>
      </c>
      <c r="AG26" s="91"/>
      <c r="AL26" s="93">
        <v>15</v>
      </c>
      <c r="AM26" s="41">
        <v>0.3747497362468335</v>
      </c>
      <c r="AN26" s="6">
        <v>71</v>
      </c>
      <c r="AO26" s="41">
        <v>0.3747497362468335</v>
      </c>
      <c r="AP26" s="84">
        <v>71</v>
      </c>
      <c r="AQ26" s="91">
        <v>19</v>
      </c>
      <c r="AR26" s="41">
        <v>0.5831470596859738</v>
      </c>
      <c r="AS26" s="6">
        <v>71</v>
      </c>
      <c r="AT26" s="41">
        <v>0.5831470596859738</v>
      </c>
      <c r="AU26" s="89">
        <v>71</v>
      </c>
      <c r="AV26" s="97"/>
    </row>
    <row r="27" spans="1:52" x14ac:dyDescent="0.3">
      <c r="A27" t="s">
        <v>366</v>
      </c>
      <c r="B27" s="25" t="s">
        <v>226</v>
      </c>
      <c r="C27" s="25" t="s">
        <v>227</v>
      </c>
      <c r="D27" s="24">
        <v>6.25</v>
      </c>
      <c r="E27" s="2">
        <v>-0.37934456907557063</v>
      </c>
      <c r="F27" s="2">
        <v>-0.26686213728212321</v>
      </c>
      <c r="G27" s="15">
        <v>4.319999694824217E-2</v>
      </c>
      <c r="H27" s="16">
        <v>-1.599998474121089E-2</v>
      </c>
      <c r="I27" s="17">
        <v>0.32160003662109382</v>
      </c>
      <c r="J27" s="18">
        <v>43</v>
      </c>
      <c r="K27" s="19">
        <v>-0.1183999633789062</v>
      </c>
      <c r="L27" s="18">
        <v>136</v>
      </c>
      <c r="M27" s="26">
        <v>11</v>
      </c>
      <c r="N27" s="28">
        <v>29</v>
      </c>
      <c r="O27" s="87">
        <v>39</v>
      </c>
      <c r="P27" s="28">
        <v>7</v>
      </c>
      <c r="S27" s="98">
        <v>0.49637685822879712</v>
      </c>
      <c r="T27" s="6">
        <v>43</v>
      </c>
      <c r="U27" s="41">
        <v>0.49637685822879712</v>
      </c>
      <c r="V27" s="94">
        <v>43</v>
      </c>
      <c r="W27" s="64">
        <v>7</v>
      </c>
      <c r="X27" s="41">
        <v>0.49637685822879712</v>
      </c>
      <c r="Y27" s="6">
        <v>43</v>
      </c>
      <c r="Z27" s="41">
        <v>0.49637685822879712</v>
      </c>
      <c r="AA27" s="84">
        <v>43</v>
      </c>
      <c r="AL27" s="95">
        <v>7</v>
      </c>
      <c r="AM27" s="41">
        <v>0.49637685822879712</v>
      </c>
      <c r="AN27" s="6">
        <v>43</v>
      </c>
      <c r="AO27" s="41">
        <v>0.49637685822879712</v>
      </c>
      <c r="AP27" s="84">
        <v>43</v>
      </c>
      <c r="AQ27" s="63">
        <v>29</v>
      </c>
      <c r="AR27" s="41">
        <v>-0.13392108638641631</v>
      </c>
      <c r="AS27" s="6">
        <v>999</v>
      </c>
      <c r="AT27" s="41">
        <v>-0.13392108638641631</v>
      </c>
      <c r="AU27" s="89">
        <v>999</v>
      </c>
      <c r="AV27" s="64">
        <v>39</v>
      </c>
      <c r="AW27" s="41">
        <v>-0.1943858843567938</v>
      </c>
      <c r="AX27" s="6">
        <v>999</v>
      </c>
      <c r="AY27" s="41">
        <v>-0.1943858843567938</v>
      </c>
      <c r="AZ27" s="94">
        <v>999</v>
      </c>
    </row>
    <row r="28" spans="1:52" ht="15" customHeight="1" x14ac:dyDescent="0.3">
      <c r="A28" t="s">
        <v>74</v>
      </c>
      <c r="B28" s="25" t="s">
        <v>229</v>
      </c>
      <c r="C28" s="25" t="s">
        <v>238</v>
      </c>
      <c r="D28" s="24">
        <v>11.11999988555908</v>
      </c>
      <c r="E28" s="2">
        <v>-6.2555583064484166E-3</v>
      </c>
      <c r="F28" s="2">
        <v>-0.25016858106765461</v>
      </c>
      <c r="G28" s="15">
        <v>7.374098050928124E-2</v>
      </c>
      <c r="H28" s="16">
        <v>0.93345325730810869</v>
      </c>
      <c r="I28" s="17">
        <v>1.017985680305554</v>
      </c>
      <c r="J28" s="18">
        <v>129</v>
      </c>
      <c r="K28" s="19">
        <v>-0.1798561169588937</v>
      </c>
      <c r="L28" s="18">
        <v>60</v>
      </c>
      <c r="M28" s="26">
        <v>5</v>
      </c>
      <c r="N28" s="28">
        <v>8</v>
      </c>
      <c r="O28" s="87">
        <v>86</v>
      </c>
      <c r="P28" s="28">
        <v>40</v>
      </c>
      <c r="S28" s="98">
        <v>-0.21621622976162741</v>
      </c>
      <c r="T28" s="6">
        <v>38</v>
      </c>
      <c r="U28" s="41">
        <v>-0.30255253943715471</v>
      </c>
      <c r="V28" s="94">
        <v>59</v>
      </c>
      <c r="W28" s="97">
        <v>40</v>
      </c>
      <c r="X28" s="41">
        <v>1.3062694336879741</v>
      </c>
      <c r="Y28" s="6">
        <v>129</v>
      </c>
      <c r="Z28" s="41">
        <v>1.3062694336879741</v>
      </c>
      <c r="AA28" s="84">
        <v>129</v>
      </c>
      <c r="AB28" s="91"/>
      <c r="AG28" s="91"/>
      <c r="AL28" s="93">
        <v>7</v>
      </c>
      <c r="AM28" s="41">
        <v>0.68468476337707251</v>
      </c>
      <c r="AN28" s="6">
        <v>129</v>
      </c>
      <c r="AO28" s="41">
        <v>0.68468476337707251</v>
      </c>
      <c r="AP28" s="84">
        <v>129</v>
      </c>
      <c r="AQ28" s="91">
        <v>8</v>
      </c>
      <c r="AR28" s="41">
        <v>0.66964294900801224</v>
      </c>
      <c r="AS28" s="6">
        <v>129</v>
      </c>
      <c r="AT28" s="41">
        <v>0.66964294900801224</v>
      </c>
      <c r="AU28" s="89">
        <v>129</v>
      </c>
      <c r="AV28" s="97">
        <v>86</v>
      </c>
      <c r="AW28" s="41">
        <v>0.24944330055440539</v>
      </c>
      <c r="AX28" s="6">
        <v>129</v>
      </c>
      <c r="AY28" s="41">
        <v>0.24944330055440539</v>
      </c>
      <c r="AZ28" s="94">
        <v>129</v>
      </c>
    </row>
    <row r="29" spans="1:52" x14ac:dyDescent="0.3">
      <c r="A29" t="s">
        <v>11</v>
      </c>
      <c r="B29" s="25" t="s">
        <v>227</v>
      </c>
      <c r="C29" s="25" t="s">
        <v>228</v>
      </c>
      <c r="D29" s="24">
        <v>8</v>
      </c>
      <c r="E29" s="2">
        <v>-0.70046774777070309</v>
      </c>
      <c r="F29" s="2">
        <v>-0.18116687562252379</v>
      </c>
      <c r="G29" s="15">
        <v>0.36249995231628368</v>
      </c>
      <c r="H29" s="16">
        <v>-0.59999999403953552</v>
      </c>
      <c r="I29" s="17">
        <v>1.037499904632569</v>
      </c>
      <c r="J29" s="18">
        <v>41</v>
      </c>
      <c r="K29" s="19">
        <v>-0.6887499988079071</v>
      </c>
      <c r="L29" s="18">
        <v>142</v>
      </c>
      <c r="M29" s="26">
        <v>2</v>
      </c>
      <c r="N29" s="28">
        <v>6</v>
      </c>
      <c r="O29" s="87">
        <v>18</v>
      </c>
      <c r="P29" s="28">
        <v>103</v>
      </c>
      <c r="Q29" s="28">
        <v>104</v>
      </c>
      <c r="R29" s="28">
        <v>104</v>
      </c>
      <c r="S29" s="98">
        <v>0.735889099157649</v>
      </c>
      <c r="T29" s="6">
        <v>41</v>
      </c>
      <c r="U29" s="41">
        <v>0.735889099157649</v>
      </c>
      <c r="V29" s="94">
        <v>41</v>
      </c>
      <c r="W29" s="97">
        <v>103</v>
      </c>
      <c r="X29" s="41">
        <v>2.396513527492283E-2</v>
      </c>
      <c r="Y29" s="6">
        <v>130</v>
      </c>
      <c r="Z29" s="41">
        <v>2.396513527492283E-2</v>
      </c>
      <c r="AA29" s="84">
        <v>130</v>
      </c>
      <c r="AB29" s="91">
        <v>104</v>
      </c>
      <c r="AC29" s="41">
        <v>0.29120881712072461</v>
      </c>
      <c r="AD29" s="6">
        <v>130</v>
      </c>
      <c r="AE29" s="41">
        <v>0.29120881712072461</v>
      </c>
      <c r="AF29" s="84">
        <v>130</v>
      </c>
      <c r="AG29" s="91">
        <v>104</v>
      </c>
      <c r="AH29" s="41">
        <v>0.29120881712072461</v>
      </c>
      <c r="AI29" s="6">
        <v>130</v>
      </c>
      <c r="AJ29" s="41">
        <v>0.29120881712072461</v>
      </c>
      <c r="AK29" s="84">
        <v>130</v>
      </c>
      <c r="AL29" s="93">
        <v>7</v>
      </c>
      <c r="AM29" s="41">
        <v>0.735889099157649</v>
      </c>
      <c r="AN29" s="6">
        <v>41</v>
      </c>
      <c r="AO29" s="41">
        <v>0.735889099157649</v>
      </c>
      <c r="AP29" s="84">
        <v>41</v>
      </c>
      <c r="AQ29" s="91">
        <v>7</v>
      </c>
      <c r="AR29" s="41">
        <v>0.735889099157649</v>
      </c>
      <c r="AS29" s="6">
        <v>41</v>
      </c>
      <c r="AT29" s="41">
        <v>0.735889099157649</v>
      </c>
      <c r="AU29" s="89">
        <v>41</v>
      </c>
      <c r="AV29" s="97">
        <v>18</v>
      </c>
      <c r="AW29" s="41">
        <v>-8.9827343594593309E-2</v>
      </c>
      <c r="AX29" s="6">
        <v>999</v>
      </c>
      <c r="AY29" s="41">
        <v>-8.9827343594593309E-2</v>
      </c>
      <c r="AZ29" s="94">
        <v>999</v>
      </c>
    </row>
    <row r="30" spans="1:52" x14ac:dyDescent="0.3">
      <c r="A30" t="s">
        <v>26</v>
      </c>
      <c r="B30" s="25" t="s">
        <v>238</v>
      </c>
      <c r="C30" s="25" t="s">
        <v>236</v>
      </c>
      <c r="D30" s="24">
        <v>3.689999938011169</v>
      </c>
      <c r="E30" s="2">
        <v>-0.28764477600481703</v>
      </c>
      <c r="F30" s="2">
        <v>-0.21321963902105839</v>
      </c>
      <c r="G30" s="15">
        <v>0.40650410417561078</v>
      </c>
      <c r="H30" s="16">
        <v>1.6260179673924121E-2</v>
      </c>
      <c r="I30" s="17">
        <v>0.5040651176070734</v>
      </c>
      <c r="J30" s="18">
        <v>74</v>
      </c>
      <c r="K30" s="19">
        <v>-0.26558263315104419</v>
      </c>
      <c r="L30" s="18">
        <v>127</v>
      </c>
      <c r="M30" s="26">
        <v>41</v>
      </c>
      <c r="N30" s="28">
        <v>41</v>
      </c>
      <c r="O30" s="87">
        <v>41</v>
      </c>
      <c r="P30" s="28">
        <v>27</v>
      </c>
      <c r="Q30" s="28">
        <v>126</v>
      </c>
      <c r="S30" s="98">
        <v>0.59942367290345411</v>
      </c>
      <c r="T30" s="6">
        <v>74</v>
      </c>
      <c r="U30" s="41">
        <v>0.59942367290345411</v>
      </c>
      <c r="V30" s="94">
        <v>74</v>
      </c>
      <c r="W30" s="64">
        <v>27</v>
      </c>
      <c r="X30" s="41">
        <v>0.77884628022681546</v>
      </c>
      <c r="Y30" s="6">
        <v>74</v>
      </c>
      <c r="Z30" s="41">
        <v>0.77884628022681546</v>
      </c>
      <c r="AA30" s="84">
        <v>74</v>
      </c>
      <c r="AB30" s="63">
        <v>126</v>
      </c>
      <c r="AC30" s="41">
        <v>0.22408160921833251</v>
      </c>
      <c r="AD30" s="6">
        <v>999</v>
      </c>
      <c r="AE30" s="41">
        <v>0.22408160921833251</v>
      </c>
      <c r="AF30" s="84">
        <v>999</v>
      </c>
      <c r="AL30" s="95">
        <v>27</v>
      </c>
      <c r="AM30" s="41">
        <v>0.77884628022681546</v>
      </c>
      <c r="AN30" s="6">
        <v>74</v>
      </c>
      <c r="AO30" s="41">
        <v>0.77884628022681546</v>
      </c>
      <c r="AP30" s="84">
        <v>74</v>
      </c>
      <c r="AQ30" s="63">
        <v>41</v>
      </c>
      <c r="AR30" s="41">
        <v>0.1122245381368452</v>
      </c>
      <c r="AS30" s="6">
        <v>74</v>
      </c>
      <c r="AT30" s="41">
        <v>0.1122245381368452</v>
      </c>
      <c r="AU30" s="89">
        <v>74</v>
      </c>
      <c r="AV30" s="64">
        <v>41</v>
      </c>
      <c r="AW30" s="41">
        <v>0.1122245381368452</v>
      </c>
      <c r="AX30" s="6">
        <v>74</v>
      </c>
      <c r="AY30" s="41">
        <v>0.1122245381368452</v>
      </c>
      <c r="AZ30" s="94">
        <v>74</v>
      </c>
    </row>
    <row r="31" spans="1:52" x14ac:dyDescent="0.3">
      <c r="A31" t="s">
        <v>24</v>
      </c>
      <c r="B31" s="25" t="s">
        <v>298</v>
      </c>
      <c r="C31" s="25" t="s">
        <v>287</v>
      </c>
      <c r="D31" s="24">
        <v>8.8249998092651367</v>
      </c>
      <c r="E31" s="2">
        <v>-0.14816601334757501</v>
      </c>
      <c r="F31" s="2">
        <v>-5.8164363175061677E-2</v>
      </c>
      <c r="G31" s="15">
        <v>0.86062327832064311</v>
      </c>
      <c r="H31" s="16">
        <v>0.9422096045434023</v>
      </c>
      <c r="I31" s="17">
        <v>0.97733723966986941</v>
      </c>
      <c r="J31" s="18">
        <v>87</v>
      </c>
      <c r="K31" s="19">
        <v>-3.2294600971310539E-2</v>
      </c>
      <c r="L31" s="18">
        <v>1</v>
      </c>
      <c r="M31" s="26">
        <v>10</v>
      </c>
      <c r="N31" s="28">
        <v>24</v>
      </c>
      <c r="O31" s="87">
        <v>31</v>
      </c>
      <c r="S31" s="98">
        <v>0.91547765319061614</v>
      </c>
      <c r="T31" s="6">
        <v>87</v>
      </c>
      <c r="U31" s="41">
        <v>0.91547765319061614</v>
      </c>
      <c r="V31" s="94">
        <v>87</v>
      </c>
      <c r="AL31" s="95">
        <v>10</v>
      </c>
      <c r="AM31" s="41">
        <v>0.79526751888387892</v>
      </c>
      <c r="AN31" s="6">
        <v>87</v>
      </c>
      <c r="AO31" s="41">
        <v>0.79526751888387892</v>
      </c>
      <c r="AP31" s="84">
        <v>87</v>
      </c>
      <c r="AQ31" s="63">
        <v>24</v>
      </c>
      <c r="AR31" s="41">
        <v>0.62779853808492003</v>
      </c>
      <c r="AS31" s="6">
        <v>87</v>
      </c>
      <c r="AT31" s="41">
        <v>0.62779853808492003</v>
      </c>
      <c r="AU31" s="89">
        <v>87</v>
      </c>
      <c r="AV31" s="64">
        <v>31</v>
      </c>
      <c r="AW31" s="41">
        <v>0.43621409965528007</v>
      </c>
      <c r="AX31" s="6">
        <v>87</v>
      </c>
      <c r="AY31" s="41">
        <v>0.43621409965528007</v>
      </c>
      <c r="AZ31" s="94">
        <v>87</v>
      </c>
    </row>
    <row r="32" spans="1:52" x14ac:dyDescent="0.3">
      <c r="A32" t="s">
        <v>50</v>
      </c>
      <c r="B32" s="25" t="s">
        <v>235</v>
      </c>
      <c r="C32" s="25" t="s">
        <v>234</v>
      </c>
      <c r="D32" s="24">
        <v>0.9100000262260437</v>
      </c>
      <c r="E32" s="2">
        <v>-0.79732737803694309</v>
      </c>
      <c r="F32" s="2">
        <v>-0.37671232708937968</v>
      </c>
      <c r="G32" s="15">
        <v>0.17582419957678039</v>
      </c>
      <c r="I32" s="17">
        <v>0.60439560007694948</v>
      </c>
      <c r="J32" s="18">
        <v>96</v>
      </c>
      <c r="K32" s="19">
        <v>-0.37362639953830629</v>
      </c>
      <c r="L32" s="18">
        <v>24</v>
      </c>
      <c r="M32" s="26">
        <v>71</v>
      </c>
      <c r="N32" s="28">
        <v>74</v>
      </c>
      <c r="O32" s="87">
        <v>78</v>
      </c>
      <c r="P32" s="28">
        <v>4</v>
      </c>
      <c r="Q32" s="28">
        <v>5</v>
      </c>
      <c r="R32" s="28">
        <v>10</v>
      </c>
      <c r="S32" s="98">
        <v>-0.21917811239116849</v>
      </c>
      <c r="T32" s="6">
        <v>11</v>
      </c>
      <c r="U32" s="41">
        <v>1</v>
      </c>
      <c r="V32" s="94">
        <v>96</v>
      </c>
      <c r="W32" s="97">
        <v>7</v>
      </c>
      <c r="X32" s="41">
        <v>1</v>
      </c>
      <c r="Y32" s="6">
        <v>96</v>
      </c>
      <c r="Z32" s="41">
        <v>1</v>
      </c>
      <c r="AA32" s="84">
        <v>96</v>
      </c>
      <c r="AB32" s="91">
        <v>7</v>
      </c>
      <c r="AC32" s="41">
        <v>1</v>
      </c>
      <c r="AD32" s="6">
        <v>96</v>
      </c>
      <c r="AE32" s="41">
        <v>1</v>
      </c>
      <c r="AF32" s="84">
        <v>96</v>
      </c>
      <c r="AG32" s="91">
        <v>10</v>
      </c>
      <c r="AH32" s="41">
        <v>1.474576445839531</v>
      </c>
      <c r="AI32" s="6">
        <v>96</v>
      </c>
      <c r="AJ32" s="41">
        <v>1.474576445839531</v>
      </c>
      <c r="AK32" s="84">
        <v>96</v>
      </c>
      <c r="AL32" s="93">
        <v>7</v>
      </c>
      <c r="AM32" s="41">
        <v>1</v>
      </c>
      <c r="AN32" s="6">
        <v>96</v>
      </c>
      <c r="AO32" s="41">
        <v>1</v>
      </c>
      <c r="AP32" s="84">
        <v>96</v>
      </c>
      <c r="AQ32" s="91">
        <v>7</v>
      </c>
      <c r="AR32" s="41">
        <v>1</v>
      </c>
      <c r="AS32" s="6">
        <v>96</v>
      </c>
      <c r="AT32" s="41">
        <v>1</v>
      </c>
      <c r="AU32" s="89">
        <v>96</v>
      </c>
      <c r="AV32" s="97">
        <v>10</v>
      </c>
      <c r="AW32" s="41">
        <v>1.474576445839531</v>
      </c>
      <c r="AX32" s="6">
        <v>96</v>
      </c>
      <c r="AY32" s="41">
        <v>1.474576445839531</v>
      </c>
      <c r="AZ32" s="94">
        <v>96</v>
      </c>
    </row>
    <row r="33" spans="1:52" x14ac:dyDescent="0.3">
      <c r="A33" t="s">
        <v>23</v>
      </c>
      <c r="B33" s="25" t="s">
        <v>241</v>
      </c>
      <c r="C33" s="25" t="s">
        <v>361</v>
      </c>
      <c r="D33" s="24">
        <v>37.639999389648438</v>
      </c>
      <c r="E33" s="2">
        <v>1.5432431692272499</v>
      </c>
      <c r="F33" s="2">
        <v>0.49543103995057991</v>
      </c>
      <c r="G33" s="15">
        <v>-4.3570653991547692E-2</v>
      </c>
      <c r="H33" s="16">
        <v>0.83581295416079704</v>
      </c>
      <c r="I33" s="17">
        <v>0.83581295416079704</v>
      </c>
      <c r="J33" s="18">
        <v>150</v>
      </c>
      <c r="K33" s="19">
        <v>-0.26647181035968032</v>
      </c>
      <c r="L33" s="18">
        <v>67</v>
      </c>
      <c r="M33" s="26">
        <v>82</v>
      </c>
      <c r="N33" s="28">
        <v>97</v>
      </c>
      <c r="O33" s="87">
        <v>132</v>
      </c>
      <c r="P33" s="28">
        <v>26</v>
      </c>
      <c r="Q33" s="28">
        <v>30</v>
      </c>
      <c r="S33" s="98">
        <v>-0.2124273759787387</v>
      </c>
      <c r="T33" s="6">
        <v>26</v>
      </c>
      <c r="U33" s="41">
        <v>-0.30260165435875169</v>
      </c>
      <c r="V33" s="94">
        <v>67</v>
      </c>
      <c r="W33" s="64">
        <v>26</v>
      </c>
      <c r="X33" s="41">
        <v>1.216164137196968</v>
      </c>
      <c r="Y33" s="6">
        <v>150</v>
      </c>
      <c r="Z33" s="41">
        <v>1.216164137196968</v>
      </c>
      <c r="AA33" s="84">
        <v>150</v>
      </c>
      <c r="AB33" s="63">
        <v>30</v>
      </c>
      <c r="AC33" s="41">
        <v>1.325033649750841</v>
      </c>
      <c r="AD33" s="6">
        <v>150</v>
      </c>
      <c r="AE33" s="41">
        <v>1.325033649750841</v>
      </c>
      <c r="AF33" s="84">
        <v>150</v>
      </c>
      <c r="AL33" s="95">
        <v>26</v>
      </c>
      <c r="AM33" s="41">
        <v>1.216164137196968</v>
      </c>
      <c r="AN33" s="6">
        <v>150</v>
      </c>
      <c r="AO33" s="41">
        <v>1.216164137196968</v>
      </c>
      <c r="AP33" s="84">
        <v>150</v>
      </c>
      <c r="AQ33" s="63">
        <v>30</v>
      </c>
      <c r="AR33" s="41">
        <v>1.325033649750841</v>
      </c>
      <c r="AS33" s="6">
        <v>150</v>
      </c>
      <c r="AT33" s="41">
        <v>1.325033649750841</v>
      </c>
      <c r="AU33" s="89">
        <v>150</v>
      </c>
      <c r="AV33" s="64">
        <v>132</v>
      </c>
      <c r="AW33" s="41">
        <v>7.31305884249112E-2</v>
      </c>
      <c r="AX33" s="6">
        <v>999</v>
      </c>
      <c r="AY33" s="41">
        <v>7.31305884249112E-2</v>
      </c>
      <c r="AZ33" s="94">
        <v>999</v>
      </c>
    </row>
    <row r="34" spans="1:52" x14ac:dyDescent="0.3">
      <c r="A34" t="s">
        <v>46</v>
      </c>
      <c r="B34" s="25" t="s">
        <v>235</v>
      </c>
      <c r="C34" s="25" t="s">
        <v>234</v>
      </c>
      <c r="D34" s="24">
        <v>6.0799999237060547</v>
      </c>
      <c r="E34" s="2">
        <v>-0.64444445683787266</v>
      </c>
      <c r="F34" s="2">
        <v>-0.28047336556865449</v>
      </c>
      <c r="G34" s="15">
        <v>0.29769736274540248</v>
      </c>
      <c r="I34" s="17">
        <v>0.91282899019378116</v>
      </c>
      <c r="J34" s="18">
        <v>87</v>
      </c>
      <c r="K34" s="19">
        <v>-0.33223684313719959</v>
      </c>
      <c r="L34" s="18">
        <v>16</v>
      </c>
      <c r="M34" s="26">
        <v>58</v>
      </c>
      <c r="N34" s="28">
        <v>70</v>
      </c>
      <c r="O34" s="87">
        <v>73</v>
      </c>
      <c r="P34" s="28">
        <v>7</v>
      </c>
      <c r="Q34" s="28">
        <v>9</v>
      </c>
      <c r="R34" s="28">
        <v>14</v>
      </c>
      <c r="S34" s="98">
        <v>-0.2177264165669581</v>
      </c>
      <c r="T34" s="6">
        <v>16</v>
      </c>
      <c r="U34" s="41">
        <v>1.2408477815450061</v>
      </c>
      <c r="V34" s="94">
        <v>87</v>
      </c>
      <c r="W34" s="97">
        <v>7</v>
      </c>
      <c r="X34" s="41">
        <v>1.2408477815450061</v>
      </c>
      <c r="Y34" s="6">
        <v>87</v>
      </c>
      <c r="Z34" s="41">
        <v>1.2408477815450061</v>
      </c>
      <c r="AA34" s="84">
        <v>87</v>
      </c>
      <c r="AB34" s="91">
        <v>9</v>
      </c>
      <c r="AC34" s="41">
        <v>1.4330543104530991</v>
      </c>
      <c r="AD34" s="6">
        <v>87</v>
      </c>
      <c r="AE34" s="41">
        <v>1.4330543104530991</v>
      </c>
      <c r="AF34" s="84">
        <v>87</v>
      </c>
      <c r="AG34" s="91">
        <v>14</v>
      </c>
      <c r="AH34" s="41">
        <v>1.7690477720463971</v>
      </c>
      <c r="AI34" s="6">
        <v>87</v>
      </c>
      <c r="AJ34" s="41">
        <v>1.7690477720463971</v>
      </c>
      <c r="AK34" s="84">
        <v>87</v>
      </c>
      <c r="AL34" s="93">
        <v>7</v>
      </c>
      <c r="AM34" s="41">
        <v>1.2408477815450061</v>
      </c>
      <c r="AN34" s="6">
        <v>87</v>
      </c>
      <c r="AO34" s="41">
        <v>1.2408477815450061</v>
      </c>
      <c r="AP34" s="84">
        <v>87</v>
      </c>
      <c r="AQ34" s="91">
        <v>9</v>
      </c>
      <c r="AR34" s="41">
        <v>1.4330543104530991</v>
      </c>
      <c r="AS34" s="6">
        <v>87</v>
      </c>
      <c r="AT34" s="41">
        <v>1.4330543104530991</v>
      </c>
      <c r="AU34" s="89">
        <v>87</v>
      </c>
      <c r="AV34" s="97">
        <v>14</v>
      </c>
      <c r="AW34" s="41">
        <v>1.7690477720463971</v>
      </c>
      <c r="AX34" s="6">
        <v>87</v>
      </c>
      <c r="AY34" s="41">
        <v>1.7690477720463971</v>
      </c>
      <c r="AZ34" s="94">
        <v>87</v>
      </c>
    </row>
    <row r="35" spans="1:52" x14ac:dyDescent="0.3">
      <c r="A35" t="s">
        <v>309</v>
      </c>
      <c r="B35" s="25" t="s">
        <v>305</v>
      </c>
      <c r="C35" s="25" t="s">
        <v>289</v>
      </c>
      <c r="D35" s="24">
        <v>1.279999971389771</v>
      </c>
      <c r="E35" s="2">
        <v>-0.32275133276302059</v>
      </c>
      <c r="F35" s="2">
        <v>-0.28888888594544931</v>
      </c>
      <c r="G35" s="15">
        <v>1.562498544808388E-2</v>
      </c>
      <c r="H35" s="16">
        <v>3.562500221189115</v>
      </c>
      <c r="I35" s="17">
        <v>4.1796877051820074</v>
      </c>
      <c r="J35" s="18">
        <v>129</v>
      </c>
      <c r="K35" s="19">
        <v>-0.22656247526174381</v>
      </c>
      <c r="L35" s="18">
        <v>99</v>
      </c>
      <c r="M35" s="26">
        <v>4</v>
      </c>
      <c r="N35" s="28">
        <v>7</v>
      </c>
      <c r="O35" s="87">
        <v>7</v>
      </c>
      <c r="P35" s="28">
        <v>93</v>
      </c>
      <c r="Q35" s="28">
        <v>99</v>
      </c>
      <c r="S35" s="98">
        <v>-0.2033898407821855</v>
      </c>
      <c r="T35" s="6">
        <v>41</v>
      </c>
      <c r="U35" s="41">
        <v>-0.31638415187236701</v>
      </c>
      <c r="V35" s="94">
        <v>58</v>
      </c>
      <c r="W35" s="97">
        <v>93</v>
      </c>
      <c r="X35" s="41">
        <v>4.8672567632019303</v>
      </c>
      <c r="Y35" s="6">
        <v>129</v>
      </c>
      <c r="Z35" s="41">
        <v>4.8672567632019303</v>
      </c>
      <c r="AA35" s="84">
        <v>129</v>
      </c>
      <c r="AB35" s="91">
        <v>99</v>
      </c>
      <c r="AC35" s="41">
        <v>5.6969697480541797</v>
      </c>
      <c r="AD35" s="6">
        <v>129</v>
      </c>
      <c r="AE35" s="41">
        <v>5.6969697480541797</v>
      </c>
      <c r="AF35" s="84">
        <v>129</v>
      </c>
      <c r="AG35" s="91"/>
      <c r="AL35" s="93">
        <v>7</v>
      </c>
      <c r="AM35" s="41">
        <v>2.7457628168845609</v>
      </c>
      <c r="AN35" s="6">
        <v>129</v>
      </c>
      <c r="AO35" s="41">
        <v>2.7457628168845609</v>
      </c>
      <c r="AP35" s="84">
        <v>129</v>
      </c>
      <c r="AQ35" s="91">
        <v>7</v>
      </c>
      <c r="AR35" s="41">
        <v>2.7457628168845609</v>
      </c>
      <c r="AS35" s="6">
        <v>129</v>
      </c>
      <c r="AT35" s="41">
        <v>2.7457628168845609</v>
      </c>
      <c r="AU35" s="89">
        <v>129</v>
      </c>
      <c r="AV35" s="97">
        <v>7</v>
      </c>
      <c r="AW35" s="41">
        <v>2.7457628168845609</v>
      </c>
      <c r="AX35" s="6">
        <v>129</v>
      </c>
      <c r="AY35" s="41">
        <v>2.7457628168845609</v>
      </c>
      <c r="AZ35" s="94">
        <v>129</v>
      </c>
    </row>
    <row r="36" spans="1:52" x14ac:dyDescent="0.3">
      <c r="A36" t="s">
        <v>14</v>
      </c>
      <c r="B36" s="25" t="s">
        <v>229</v>
      </c>
      <c r="C36" s="25" t="s">
        <v>238</v>
      </c>
      <c r="D36" s="24">
        <v>1.7250000238418579</v>
      </c>
      <c r="E36" s="7">
        <v>-0.13749998807907099</v>
      </c>
      <c r="F36" s="7">
        <v>0.1348684509787865</v>
      </c>
      <c r="G36" s="13">
        <v>0.80289846499210205</v>
      </c>
      <c r="H36" s="14">
        <v>1.4869564652518059</v>
      </c>
      <c r="I36" s="20">
        <v>3.3710144102260422</v>
      </c>
      <c r="J36" s="21">
        <v>113</v>
      </c>
      <c r="K36" s="22">
        <v>-1.4492739601511871E-2</v>
      </c>
      <c r="L36" s="21">
        <v>7</v>
      </c>
      <c r="M36" s="27">
        <v>1</v>
      </c>
      <c r="N36" s="29">
        <v>11</v>
      </c>
      <c r="O36" s="88">
        <v>13</v>
      </c>
      <c r="P36" s="29"/>
      <c r="Q36" s="29"/>
      <c r="R36" s="29"/>
      <c r="S36" s="98">
        <v>3.4352939708010171</v>
      </c>
      <c r="T36" s="6">
        <v>113</v>
      </c>
      <c r="U36" s="41">
        <v>3.4352939708010171</v>
      </c>
      <c r="V36" s="94">
        <v>113</v>
      </c>
      <c r="W36" s="97"/>
      <c r="AB36" s="91"/>
      <c r="AG36" s="91"/>
      <c r="AL36" s="93">
        <v>7</v>
      </c>
      <c r="AM36" s="41">
        <v>3.4352939708010171</v>
      </c>
      <c r="AN36" s="6">
        <v>113</v>
      </c>
      <c r="AO36" s="41">
        <v>3.4352939708010171</v>
      </c>
      <c r="AP36" s="84">
        <v>113</v>
      </c>
      <c r="AQ36" s="91">
        <v>11</v>
      </c>
      <c r="AR36" s="41">
        <v>2.490740584370537</v>
      </c>
      <c r="AS36" s="6">
        <v>113</v>
      </c>
      <c r="AT36" s="41">
        <v>2.490740584370537</v>
      </c>
      <c r="AU36" s="89">
        <v>113</v>
      </c>
      <c r="AV36" s="97">
        <v>13</v>
      </c>
      <c r="AW36" s="41">
        <v>2.3511110941569009</v>
      </c>
      <c r="AX36" s="6">
        <v>113</v>
      </c>
      <c r="AY36" s="41">
        <v>2.3511110941569009</v>
      </c>
      <c r="AZ36" s="94">
        <v>113</v>
      </c>
    </row>
    <row r="37" spans="1:52" x14ac:dyDescent="0.3">
      <c r="A37" t="s">
        <v>73</v>
      </c>
      <c r="B37" s="25" t="s">
        <v>226</v>
      </c>
      <c r="C37" s="25" t="s">
        <v>227</v>
      </c>
      <c r="J37" s="18">
        <v>67</v>
      </c>
      <c r="L37" s="18">
        <v>128</v>
      </c>
      <c r="T37" s="6">
        <v>67</v>
      </c>
      <c r="V37" s="94">
        <v>67</v>
      </c>
      <c r="W37" s="97"/>
      <c r="AB37" s="91"/>
      <c r="AG37" s="91"/>
      <c r="AL37" s="93"/>
      <c r="AQ37" s="91"/>
      <c r="AV37" s="97"/>
    </row>
    <row r="38" spans="1:52" x14ac:dyDescent="0.3">
      <c r="A38" t="s">
        <v>252</v>
      </c>
      <c r="B38" s="25" t="s">
        <v>228</v>
      </c>
      <c r="C38" s="25" t="s">
        <v>229</v>
      </c>
      <c r="T38" s="6">
        <v>999</v>
      </c>
      <c r="V38" s="94">
        <v>999</v>
      </c>
      <c r="W38" s="97"/>
      <c r="AB38" s="91"/>
      <c r="AG38" s="91"/>
      <c r="AL38" s="93"/>
      <c r="AQ38" s="91"/>
      <c r="AV38" s="97"/>
    </row>
    <row r="39" spans="1:52" x14ac:dyDescent="0.3">
      <c r="A39" t="s">
        <v>270</v>
      </c>
      <c r="B39" s="25" t="s">
        <v>321</v>
      </c>
      <c r="C39" s="25" t="s">
        <v>230</v>
      </c>
      <c r="T39" s="6">
        <v>999</v>
      </c>
      <c r="V39" s="94">
        <v>999</v>
      </c>
      <c r="W39" s="97"/>
      <c r="AB39" s="91"/>
      <c r="AG39" s="91"/>
      <c r="AL39" s="93"/>
      <c r="AQ39" s="91"/>
      <c r="AV39" s="97"/>
    </row>
    <row r="40" spans="1:52" x14ac:dyDescent="0.3">
      <c r="A40" t="s">
        <v>79</v>
      </c>
      <c r="B40" s="25" t="s">
        <v>321</v>
      </c>
      <c r="C40" s="25" t="s">
        <v>230</v>
      </c>
      <c r="T40" s="6">
        <v>999</v>
      </c>
      <c r="V40" s="94">
        <v>999</v>
      </c>
    </row>
    <row r="41" spans="1:52" x14ac:dyDescent="0.3">
      <c r="A41" t="s">
        <v>365</v>
      </c>
      <c r="B41" s="25" t="s">
        <v>321</v>
      </c>
      <c r="C41" s="25" t="s">
        <v>230</v>
      </c>
      <c r="T41" s="6">
        <v>999</v>
      </c>
      <c r="V41" s="94">
        <v>999</v>
      </c>
    </row>
  </sheetData>
  <autoFilter ref="A4:AZ72" xr:uid="{A63CA558-3F40-463D-93F5-3E4C2572FE45}">
    <sortState xmlns:xlrd2="http://schemas.microsoft.com/office/spreadsheetml/2017/richdata2" ref="A5:AZ41">
      <sortCondition ref="AM4:AM72"/>
    </sortState>
  </autoFilter>
  <mergeCells count="29">
    <mergeCell ref="A1:R1"/>
    <mergeCell ref="S1:AZ1"/>
    <mergeCell ref="B2:D2"/>
    <mergeCell ref="E2:F2"/>
    <mergeCell ref="G2:H2"/>
    <mergeCell ref="I2:L2"/>
    <mergeCell ref="M2:O2"/>
    <mergeCell ref="P2:R2"/>
    <mergeCell ref="S2:V2"/>
    <mergeCell ref="W2:AA2"/>
    <mergeCell ref="S3:T3"/>
    <mergeCell ref="U3:V3"/>
    <mergeCell ref="X3:Y3"/>
    <mergeCell ref="Z3:AA3"/>
    <mergeCell ref="AC3:AD3"/>
    <mergeCell ref="AB2:AF2"/>
    <mergeCell ref="AG2:AK2"/>
    <mergeCell ref="AL2:AP2"/>
    <mergeCell ref="AQ2:AU2"/>
    <mergeCell ref="AV2:AZ2"/>
    <mergeCell ref="AT3:AU3"/>
    <mergeCell ref="AW3:AX3"/>
    <mergeCell ref="AY3:AZ3"/>
    <mergeCell ref="AE3:AF3"/>
    <mergeCell ref="AH3:AI3"/>
    <mergeCell ref="AJ3:AK3"/>
    <mergeCell ref="AM3:AN3"/>
    <mergeCell ref="AO3:AP3"/>
    <mergeCell ref="AR3:A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E3E4-F11E-4854-A7ED-22221FE99BE8}">
  <dimension ref="A1:AZ120"/>
  <sheetViews>
    <sheetView zoomScale="85" zoomScaleNormal="85" workbookViewId="0">
      <pane xSplit="4" ySplit="4" topLeftCell="E8" activePane="bottomRight" state="frozen"/>
      <selection pane="topRight" activeCell="D1" sqref="D1"/>
      <selection pane="bottomLeft" activeCell="A2" sqref="A2"/>
      <selection pane="bottomRight" activeCell="Z12" sqref="Z12"/>
    </sheetView>
  </sheetViews>
  <sheetFormatPr defaultRowHeight="14.4" outlineLevelCol="1" x14ac:dyDescent="0.3"/>
  <cols>
    <col min="2" max="3" width="11" style="25" customWidth="1"/>
    <col min="4" max="4" width="12.6640625" style="24" bestFit="1" customWidth="1"/>
    <col min="5" max="6" width="9.88671875" style="2" hidden="1" customWidth="1" outlineLevel="1"/>
    <col min="7" max="7" width="9.88671875" style="15" hidden="1" customWidth="1" outlineLevel="1"/>
    <col min="8" max="8" width="9.88671875" style="16" hidden="1" customWidth="1" outlineLevel="1"/>
    <col min="9" max="9" width="6.88671875" style="17" hidden="1" customWidth="1" outlineLevel="1"/>
    <col min="10" max="10" width="12.33203125" style="18" hidden="1" customWidth="1" outlineLevel="1"/>
    <col min="11" max="11" width="6.6640625" style="19" hidden="1" customWidth="1" outlineLevel="1"/>
    <col min="12" max="12" width="12.109375" style="18" hidden="1" customWidth="1" outlineLevel="1"/>
    <col min="13" max="13" width="10.109375" style="26" hidden="1" customWidth="1" outlineLevel="1"/>
    <col min="14" max="14" width="10.109375" style="28" hidden="1" customWidth="1" outlineLevel="1"/>
    <col min="15" max="15" width="10.109375" style="87" hidden="1" customWidth="1" outlineLevel="1"/>
    <col min="16" max="18" width="10.109375" style="28" hidden="1" customWidth="1" outlineLevel="1"/>
    <col min="19" max="19" width="6.5546875" style="98" bestFit="1" customWidth="1" collapsed="1"/>
    <col min="20" max="20" width="5.5546875" style="6" bestFit="1" customWidth="1"/>
    <col min="21" max="21" width="6.5546875" style="41" bestFit="1" customWidth="1"/>
    <col min="22" max="22" width="5.5546875" style="94" bestFit="1" customWidth="1"/>
    <col min="23" max="23" width="9.44140625" style="64" bestFit="1" customWidth="1"/>
    <col min="24" max="24" width="6.5546875" style="41" bestFit="1" customWidth="1"/>
    <col min="25" max="25" width="5.5546875" style="6" bestFit="1" customWidth="1"/>
    <col min="26" max="26" width="6.5546875" style="41" bestFit="1" customWidth="1"/>
    <col min="27" max="27" width="5.5546875" style="84" bestFit="1" customWidth="1"/>
    <col min="28" max="28" width="9.44140625" style="63" bestFit="1" customWidth="1"/>
    <col min="29" max="29" width="6.5546875" style="41" bestFit="1" customWidth="1"/>
    <col min="30" max="30" width="5.5546875" style="6" bestFit="1" customWidth="1"/>
    <col min="31" max="31" width="6.5546875" style="41" bestFit="1" customWidth="1"/>
    <col min="32" max="32" width="5.5546875" style="84" bestFit="1" customWidth="1"/>
    <col min="33" max="33" width="9.44140625" style="63" bestFit="1" customWidth="1"/>
    <col min="34" max="34" width="6.5546875" style="41" bestFit="1" customWidth="1"/>
    <col min="35" max="35" width="5.5546875" style="6" bestFit="1" customWidth="1"/>
    <col min="36" max="36" width="6.5546875" style="41" bestFit="1" customWidth="1"/>
    <col min="37" max="37" width="5.5546875" style="84" bestFit="1" customWidth="1"/>
    <col min="38" max="38" width="9.44140625" style="95" bestFit="1" customWidth="1"/>
    <col min="39" max="39" width="6.5546875" style="41" bestFit="1" customWidth="1"/>
    <col min="40" max="40" width="5.5546875" style="6" bestFit="1" customWidth="1"/>
    <col min="41" max="41" width="6.5546875" style="41" bestFit="1" customWidth="1"/>
    <col min="42" max="42" width="5.5546875" style="84" bestFit="1" customWidth="1"/>
    <col min="43" max="43" width="9.44140625" style="63" bestFit="1" customWidth="1"/>
    <col min="44" max="44" width="6.5546875" style="41" bestFit="1" customWidth="1"/>
    <col min="45" max="45" width="5.5546875" style="6" bestFit="1" customWidth="1"/>
    <col min="46" max="46" width="6.5546875" style="41" bestFit="1" customWidth="1"/>
    <col min="47" max="47" width="5.5546875" style="89" bestFit="1" customWidth="1"/>
    <col min="48" max="48" width="9.44140625" style="64" bestFit="1" customWidth="1"/>
    <col min="49" max="49" width="6.5546875" style="41" bestFit="1" customWidth="1"/>
    <col min="50" max="50" width="5.5546875" style="6" bestFit="1" customWidth="1"/>
    <col min="51" max="51" width="6.5546875" style="41" bestFit="1" customWidth="1"/>
    <col min="52" max="52" width="5.5546875" style="94" bestFit="1" customWidth="1"/>
  </cols>
  <sheetData>
    <row r="1" spans="1:52" ht="15" thickBot="1" x14ac:dyDescent="0.35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6"/>
      <c r="Q1" s="135"/>
      <c r="R1" s="135"/>
      <c r="S1" s="137" t="s">
        <v>65</v>
      </c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8"/>
    </row>
    <row r="2" spans="1:52" s="34" customFormat="1" ht="30.6" customHeight="1" x14ac:dyDescent="0.3">
      <c r="B2" s="139" t="s">
        <v>37</v>
      </c>
      <c r="C2" s="139"/>
      <c r="D2" s="139"/>
      <c r="E2" s="140" t="s">
        <v>30</v>
      </c>
      <c r="F2" s="140"/>
      <c r="G2" s="141" t="s">
        <v>31</v>
      </c>
      <c r="H2" s="142"/>
      <c r="I2" s="141" t="s">
        <v>59</v>
      </c>
      <c r="J2" s="143"/>
      <c r="K2" s="142"/>
      <c r="L2" s="143"/>
      <c r="M2" s="144" t="s">
        <v>100</v>
      </c>
      <c r="N2" s="145"/>
      <c r="O2" s="146"/>
      <c r="P2" s="145" t="s">
        <v>101</v>
      </c>
      <c r="Q2" s="145"/>
      <c r="R2" s="146"/>
      <c r="S2" s="147" t="s">
        <v>98</v>
      </c>
      <c r="T2" s="148"/>
      <c r="U2" s="148"/>
      <c r="V2" s="149"/>
      <c r="W2" s="150" t="s">
        <v>102</v>
      </c>
      <c r="X2" s="151"/>
      <c r="Y2" s="151"/>
      <c r="Z2" s="151"/>
      <c r="AA2" s="152"/>
      <c r="AB2" s="120" t="s">
        <v>103</v>
      </c>
      <c r="AC2" s="121"/>
      <c r="AD2" s="121"/>
      <c r="AE2" s="121"/>
      <c r="AF2" s="122"/>
      <c r="AG2" s="123" t="s">
        <v>104</v>
      </c>
      <c r="AH2" s="124"/>
      <c r="AI2" s="124"/>
      <c r="AJ2" s="124"/>
      <c r="AK2" s="125"/>
      <c r="AL2" s="126" t="s">
        <v>107</v>
      </c>
      <c r="AM2" s="127"/>
      <c r="AN2" s="127"/>
      <c r="AO2" s="127"/>
      <c r="AP2" s="128"/>
      <c r="AQ2" s="129" t="s">
        <v>108</v>
      </c>
      <c r="AR2" s="130"/>
      <c r="AS2" s="130"/>
      <c r="AT2" s="130"/>
      <c r="AU2" s="131"/>
      <c r="AV2" s="132" t="s">
        <v>109</v>
      </c>
      <c r="AW2" s="132"/>
      <c r="AX2" s="132"/>
      <c r="AY2" s="132"/>
      <c r="AZ2" s="133"/>
    </row>
    <row r="3" spans="1:52" s="34" customFormat="1" ht="80.400000000000006" customHeight="1" x14ac:dyDescent="0.3">
      <c r="B3" s="79"/>
      <c r="C3" s="79"/>
      <c r="D3" s="79"/>
      <c r="E3" s="80"/>
      <c r="F3" s="80"/>
      <c r="G3" s="81"/>
      <c r="H3" s="82"/>
      <c r="I3" s="81"/>
      <c r="J3" s="33"/>
      <c r="K3" s="82"/>
      <c r="L3" s="33"/>
      <c r="M3" s="85"/>
      <c r="N3" s="83"/>
      <c r="O3" s="86"/>
      <c r="P3" s="83"/>
      <c r="Q3" s="83"/>
      <c r="R3" s="83"/>
      <c r="S3" s="134" t="s">
        <v>97</v>
      </c>
      <c r="T3" s="118"/>
      <c r="U3" s="116" t="s">
        <v>99</v>
      </c>
      <c r="V3" s="119"/>
      <c r="W3" s="96"/>
      <c r="X3" s="118" t="s">
        <v>97</v>
      </c>
      <c r="Y3" s="118"/>
      <c r="Z3" s="116" t="s">
        <v>99</v>
      </c>
      <c r="AA3" s="117"/>
      <c r="AB3" s="90"/>
      <c r="AC3" s="118" t="s">
        <v>97</v>
      </c>
      <c r="AD3" s="118"/>
      <c r="AE3" s="116" t="s">
        <v>99</v>
      </c>
      <c r="AF3" s="117"/>
      <c r="AG3" s="90"/>
      <c r="AH3" s="118" t="s">
        <v>97</v>
      </c>
      <c r="AI3" s="118"/>
      <c r="AJ3" s="116" t="s">
        <v>99</v>
      </c>
      <c r="AK3" s="119"/>
      <c r="AL3" s="92"/>
      <c r="AM3" s="118" t="s">
        <v>97</v>
      </c>
      <c r="AN3" s="118"/>
      <c r="AO3" s="116" t="s">
        <v>99</v>
      </c>
      <c r="AP3" s="116"/>
      <c r="AQ3" s="90"/>
      <c r="AR3" s="118" t="s">
        <v>97</v>
      </c>
      <c r="AS3" s="118"/>
      <c r="AT3" s="116" t="s">
        <v>99</v>
      </c>
      <c r="AU3" s="117"/>
      <c r="AV3" s="96"/>
      <c r="AW3" s="118" t="s">
        <v>97</v>
      </c>
      <c r="AX3" s="118"/>
      <c r="AY3" s="116" t="s">
        <v>99</v>
      </c>
      <c r="AZ3" s="119"/>
    </row>
    <row r="4" spans="1:52" s="100" customFormat="1" x14ac:dyDescent="0.3">
      <c r="A4" s="100" t="s">
        <v>1</v>
      </c>
      <c r="B4" s="101" t="s">
        <v>40</v>
      </c>
      <c r="C4" s="101" t="s">
        <v>41</v>
      </c>
      <c r="D4" s="102" t="s">
        <v>42</v>
      </c>
      <c r="E4" s="103" t="s">
        <v>32</v>
      </c>
      <c r="F4" s="103" t="s">
        <v>28</v>
      </c>
      <c r="G4" s="104" t="s">
        <v>33</v>
      </c>
      <c r="H4" s="104" t="s">
        <v>34</v>
      </c>
      <c r="I4" s="105" t="s">
        <v>2</v>
      </c>
      <c r="J4" s="106" t="s">
        <v>3</v>
      </c>
      <c r="K4" s="105" t="s">
        <v>4</v>
      </c>
      <c r="L4" s="106" t="s">
        <v>5</v>
      </c>
      <c r="M4" s="107">
        <v>0.1</v>
      </c>
      <c r="N4" s="107">
        <v>0.2</v>
      </c>
      <c r="O4" s="107">
        <v>0.3</v>
      </c>
      <c r="P4" s="107">
        <v>-0.1</v>
      </c>
      <c r="Q4" s="107">
        <v>-0.2</v>
      </c>
      <c r="R4" s="107">
        <v>-0.3</v>
      </c>
      <c r="S4" s="104" t="s">
        <v>105</v>
      </c>
      <c r="T4" s="108" t="s">
        <v>106</v>
      </c>
      <c r="U4" s="104" t="s">
        <v>105</v>
      </c>
      <c r="V4" s="108" t="s">
        <v>106</v>
      </c>
      <c r="W4" s="99" t="s">
        <v>68</v>
      </c>
      <c r="X4" s="104" t="s">
        <v>105</v>
      </c>
      <c r="Y4" s="108" t="s">
        <v>106</v>
      </c>
      <c r="Z4" s="104" t="s">
        <v>105</v>
      </c>
      <c r="AA4" s="108" t="s">
        <v>106</v>
      </c>
      <c r="AB4" s="99" t="s">
        <v>68</v>
      </c>
      <c r="AC4" s="104" t="s">
        <v>105</v>
      </c>
      <c r="AD4" s="108" t="s">
        <v>106</v>
      </c>
      <c r="AE4" s="104" t="s">
        <v>105</v>
      </c>
      <c r="AF4" s="108" t="s">
        <v>106</v>
      </c>
      <c r="AG4" s="99" t="s">
        <v>68</v>
      </c>
      <c r="AH4" s="104" t="s">
        <v>105</v>
      </c>
      <c r="AI4" s="108" t="s">
        <v>106</v>
      </c>
      <c r="AJ4" s="104" t="s">
        <v>105</v>
      </c>
      <c r="AK4" s="108" t="s">
        <v>106</v>
      </c>
      <c r="AL4" s="99" t="s">
        <v>68</v>
      </c>
      <c r="AM4" s="104" t="s">
        <v>105</v>
      </c>
      <c r="AN4" s="108" t="s">
        <v>106</v>
      </c>
      <c r="AO4" s="104" t="s">
        <v>105</v>
      </c>
      <c r="AP4" s="108" t="s">
        <v>106</v>
      </c>
      <c r="AQ4" s="99" t="s">
        <v>68</v>
      </c>
      <c r="AR4" s="104" t="s">
        <v>105</v>
      </c>
      <c r="AS4" s="108" t="s">
        <v>106</v>
      </c>
      <c r="AT4" s="104" t="s">
        <v>105</v>
      </c>
      <c r="AU4" s="108" t="s">
        <v>106</v>
      </c>
      <c r="AV4" s="99" t="s">
        <v>68</v>
      </c>
      <c r="AW4" s="104" t="s">
        <v>105</v>
      </c>
      <c r="AX4" s="108" t="s">
        <v>106</v>
      </c>
      <c r="AY4" s="104" t="s">
        <v>105</v>
      </c>
      <c r="AZ4" s="108" t="s">
        <v>106</v>
      </c>
    </row>
    <row r="5" spans="1:52" x14ac:dyDescent="0.3">
      <c r="A5" t="s">
        <v>43</v>
      </c>
      <c r="B5" s="25" t="s">
        <v>233</v>
      </c>
      <c r="C5" s="25" t="s">
        <v>242</v>
      </c>
      <c r="D5" s="24">
        <v>8.7600002288818359</v>
      </c>
      <c r="E5" s="2">
        <v>-0.21152110714810279</v>
      </c>
      <c r="F5" s="2">
        <v>0</v>
      </c>
      <c r="I5" s="17">
        <v>0.2111871437738029</v>
      </c>
      <c r="J5" s="18">
        <v>28</v>
      </c>
      <c r="K5" s="19">
        <v>-7.648402497581519E-2</v>
      </c>
      <c r="L5" s="18">
        <v>2</v>
      </c>
      <c r="M5" s="26">
        <v>23</v>
      </c>
      <c r="N5" s="28">
        <v>28</v>
      </c>
      <c r="S5" s="98">
        <v>0.16593397933063</v>
      </c>
      <c r="T5" s="6">
        <v>28</v>
      </c>
      <c r="U5" s="41">
        <v>0.16593397933063</v>
      </c>
      <c r="V5" s="94">
        <v>28</v>
      </c>
      <c r="W5" s="97"/>
      <c r="AB5" s="91"/>
      <c r="AG5" s="91"/>
      <c r="AL5" s="93">
        <v>23</v>
      </c>
      <c r="AM5" s="41">
        <v>6.6913894505023011E-3</v>
      </c>
      <c r="AN5" s="6">
        <v>999</v>
      </c>
      <c r="AO5" s="41">
        <v>6.6913894505023011E-3</v>
      </c>
      <c r="AP5" s="84">
        <v>999</v>
      </c>
      <c r="AQ5" s="91">
        <v>28</v>
      </c>
      <c r="AR5" s="41">
        <v>-9.5507362392926468E-2</v>
      </c>
      <c r="AS5" s="6">
        <v>999</v>
      </c>
      <c r="AT5" s="41">
        <v>-9.5507362392926468E-2</v>
      </c>
      <c r="AU5" s="89">
        <v>999</v>
      </c>
      <c r="AV5" s="97"/>
    </row>
    <row r="6" spans="1:52" x14ac:dyDescent="0.3">
      <c r="A6" t="s">
        <v>38</v>
      </c>
      <c r="B6" s="25" t="s">
        <v>229</v>
      </c>
      <c r="C6" s="25" t="s">
        <v>238</v>
      </c>
      <c r="D6" s="24">
        <v>1.9099999666213989</v>
      </c>
      <c r="E6" s="2">
        <v>-0.6894309045523217</v>
      </c>
      <c r="F6" s="2">
        <v>1.058200057031256E-2</v>
      </c>
      <c r="G6" s="15">
        <v>1.052356096753257</v>
      </c>
      <c r="H6" s="16">
        <v>-0.54816754410322499</v>
      </c>
      <c r="I6" s="17">
        <v>1.9738219516233719</v>
      </c>
      <c r="J6" s="18">
        <v>68</v>
      </c>
      <c r="K6" s="19">
        <v>-0.54816754410322499</v>
      </c>
      <c r="L6" s="18">
        <v>150</v>
      </c>
      <c r="M6" s="26">
        <v>3</v>
      </c>
      <c r="N6" s="28">
        <v>5</v>
      </c>
      <c r="O6" s="87">
        <v>6</v>
      </c>
      <c r="P6" s="28">
        <v>144</v>
      </c>
      <c r="Q6" s="28">
        <v>146</v>
      </c>
      <c r="R6" s="28">
        <v>146</v>
      </c>
      <c r="S6" s="98">
        <v>1.065454483032227</v>
      </c>
      <c r="T6" s="6">
        <v>68</v>
      </c>
      <c r="U6" s="41">
        <v>1.065454483032227</v>
      </c>
      <c r="V6" s="94">
        <v>68</v>
      </c>
      <c r="W6" s="97">
        <v>144</v>
      </c>
      <c r="X6" s="41">
        <v>-0.3363865669847298</v>
      </c>
      <c r="Y6" s="6">
        <v>999</v>
      </c>
      <c r="Z6" s="41">
        <v>-0.3363865669847298</v>
      </c>
      <c r="AA6" s="84">
        <v>999</v>
      </c>
      <c r="AB6" s="91">
        <v>146</v>
      </c>
      <c r="AC6" s="41">
        <v>-4.0909106302852603E-3</v>
      </c>
      <c r="AD6" s="6">
        <v>999</v>
      </c>
      <c r="AE6" s="41">
        <v>-4.0909106302852603E-3</v>
      </c>
      <c r="AF6" s="84">
        <v>999</v>
      </c>
      <c r="AG6" s="91">
        <v>146</v>
      </c>
      <c r="AH6" s="41">
        <v>-4.0909106302852603E-3</v>
      </c>
      <c r="AI6" s="6">
        <v>999</v>
      </c>
      <c r="AJ6" s="41">
        <v>-4.0909106302852603E-3</v>
      </c>
      <c r="AK6" s="84">
        <v>999</v>
      </c>
      <c r="AL6" s="93">
        <v>7</v>
      </c>
      <c r="AM6" s="41">
        <v>1.065454483032227</v>
      </c>
      <c r="AN6" s="6">
        <v>68</v>
      </c>
      <c r="AO6" s="41">
        <v>1.065454483032227</v>
      </c>
      <c r="AP6" s="84">
        <v>68</v>
      </c>
      <c r="AQ6" s="91">
        <v>7</v>
      </c>
      <c r="AR6" s="41">
        <v>1.065454483032227</v>
      </c>
      <c r="AS6" s="6">
        <v>68</v>
      </c>
      <c r="AT6" s="41">
        <v>1.065454483032227</v>
      </c>
      <c r="AU6" s="89">
        <v>68</v>
      </c>
      <c r="AV6" s="97">
        <v>7</v>
      </c>
      <c r="AW6" s="41">
        <v>1.065454483032227</v>
      </c>
      <c r="AX6" s="6">
        <v>68</v>
      </c>
      <c r="AY6" s="41">
        <v>1.065454483032227</v>
      </c>
      <c r="AZ6" s="94">
        <v>68</v>
      </c>
    </row>
    <row r="7" spans="1:52" x14ac:dyDescent="0.3">
      <c r="A7" t="s">
        <v>14</v>
      </c>
      <c r="B7" s="25" t="s">
        <v>226</v>
      </c>
      <c r="C7" s="25" t="s">
        <v>227</v>
      </c>
      <c r="D7" s="24">
        <v>2.809999942779541</v>
      </c>
      <c r="E7" s="2">
        <v>0.37073171128835242</v>
      </c>
      <c r="F7" s="2">
        <v>-0.24258762428933919</v>
      </c>
      <c r="G7" s="15">
        <v>-0.23131667978110301</v>
      </c>
      <c r="H7" s="16">
        <v>0.46975096033478381</v>
      </c>
      <c r="I7" s="17">
        <v>1.320284737969492</v>
      </c>
      <c r="J7" s="18">
        <v>92</v>
      </c>
      <c r="K7" s="19">
        <v>-0.56939499544968353</v>
      </c>
      <c r="L7" s="18">
        <v>35</v>
      </c>
      <c r="M7" s="26">
        <v>6</v>
      </c>
      <c r="N7" s="28">
        <v>8</v>
      </c>
      <c r="O7" s="87">
        <v>20</v>
      </c>
      <c r="P7" s="28">
        <v>27</v>
      </c>
      <c r="Q7" s="28">
        <v>27</v>
      </c>
      <c r="R7" s="28">
        <v>27</v>
      </c>
      <c r="S7" s="98">
        <v>-0.3952702909512098</v>
      </c>
      <c r="T7" s="6">
        <v>27</v>
      </c>
      <c r="U7" s="41">
        <v>-0.3952702909512098</v>
      </c>
      <c r="V7" s="94">
        <v>27</v>
      </c>
      <c r="W7" s="97">
        <v>27</v>
      </c>
      <c r="X7" s="41">
        <v>2.642458167528082</v>
      </c>
      <c r="Y7" s="6">
        <v>92</v>
      </c>
      <c r="Z7" s="41">
        <v>2.642458167528082</v>
      </c>
      <c r="AA7" s="84">
        <v>92</v>
      </c>
      <c r="AB7" s="91">
        <v>27</v>
      </c>
      <c r="AC7" s="41">
        <v>2.642458167528082</v>
      </c>
      <c r="AD7" s="6">
        <v>92</v>
      </c>
      <c r="AE7" s="41">
        <v>2.642458167528082</v>
      </c>
      <c r="AF7" s="84">
        <v>92</v>
      </c>
      <c r="AG7" s="91">
        <v>27</v>
      </c>
      <c r="AH7" s="41">
        <v>2.642458167528082</v>
      </c>
      <c r="AI7" s="6">
        <v>92</v>
      </c>
      <c r="AJ7" s="41">
        <v>2.642458167528082</v>
      </c>
      <c r="AK7" s="84">
        <v>92</v>
      </c>
      <c r="AL7" s="93">
        <v>7</v>
      </c>
      <c r="AM7" s="41">
        <v>1.202702667871647</v>
      </c>
      <c r="AN7" s="6">
        <v>92</v>
      </c>
      <c r="AO7" s="41">
        <v>1.202702667871647</v>
      </c>
      <c r="AP7" s="84">
        <v>92</v>
      </c>
      <c r="AQ7" s="91">
        <v>8</v>
      </c>
      <c r="AR7" s="41">
        <v>0.86819483183668167</v>
      </c>
      <c r="AS7" s="6">
        <v>92</v>
      </c>
      <c r="AT7" s="41">
        <v>0.86819483183668167</v>
      </c>
      <c r="AU7" s="89">
        <v>92</v>
      </c>
      <c r="AV7" s="97">
        <v>20</v>
      </c>
      <c r="AW7" s="41">
        <v>0.76216213429731772</v>
      </c>
      <c r="AX7" s="6">
        <v>92</v>
      </c>
      <c r="AY7" s="41">
        <v>0.76216213429731772</v>
      </c>
      <c r="AZ7" s="94">
        <v>92</v>
      </c>
    </row>
    <row r="8" spans="1:52" x14ac:dyDescent="0.3">
      <c r="A8" t="s">
        <v>246</v>
      </c>
      <c r="B8" s="25" t="s">
        <v>247</v>
      </c>
      <c r="C8" s="25" t="s">
        <v>243</v>
      </c>
      <c r="D8" s="24">
        <v>26.120000839233398</v>
      </c>
      <c r="E8" s="2">
        <v>0.11719425905988599</v>
      </c>
      <c r="F8" s="2">
        <v>0.66369434118203219</v>
      </c>
      <c r="G8" s="15">
        <v>7.2741177545307956E-2</v>
      </c>
      <c r="H8" s="16">
        <v>-8.1546745776358565E-2</v>
      </c>
      <c r="I8" s="17">
        <v>0.42993863989543718</v>
      </c>
      <c r="J8" s="18">
        <v>53</v>
      </c>
      <c r="K8" s="19">
        <v>-0.32197555453859489</v>
      </c>
      <c r="L8" s="18">
        <v>136</v>
      </c>
      <c r="M8" s="26">
        <v>6</v>
      </c>
      <c r="N8" s="28">
        <v>8</v>
      </c>
      <c r="O8" s="87">
        <v>51</v>
      </c>
      <c r="P8" s="28">
        <v>114</v>
      </c>
      <c r="Q8" s="28">
        <v>119</v>
      </c>
      <c r="R8" s="28">
        <v>136</v>
      </c>
      <c r="S8" s="98">
        <v>0.269976153277935</v>
      </c>
      <c r="T8" s="6">
        <v>53</v>
      </c>
      <c r="U8" s="41">
        <v>0.269976153277935</v>
      </c>
      <c r="V8" s="94">
        <v>53</v>
      </c>
      <c r="W8" s="64">
        <v>114</v>
      </c>
      <c r="X8" s="41">
        <v>0.10350727815058661</v>
      </c>
      <c r="Y8" s="6">
        <v>145</v>
      </c>
      <c r="Z8" s="41">
        <v>0.10350727815058661</v>
      </c>
      <c r="AA8" s="84">
        <v>145</v>
      </c>
      <c r="AB8" s="63">
        <v>119</v>
      </c>
      <c r="AC8" s="41">
        <v>0.25242712423774338</v>
      </c>
      <c r="AD8" s="6">
        <v>145</v>
      </c>
      <c r="AE8" s="41">
        <v>0.25242712423774338</v>
      </c>
      <c r="AF8" s="84">
        <v>145</v>
      </c>
      <c r="AG8" s="63">
        <v>136</v>
      </c>
      <c r="AH8" s="41">
        <v>0.31722197690790488</v>
      </c>
      <c r="AI8" s="6">
        <v>999</v>
      </c>
      <c r="AJ8" s="41">
        <v>0.31722197690790488</v>
      </c>
      <c r="AK8" s="84">
        <v>999</v>
      </c>
      <c r="AL8" s="95">
        <v>7</v>
      </c>
      <c r="AM8" s="41">
        <v>0.269976153277935</v>
      </c>
      <c r="AN8" s="6">
        <v>53</v>
      </c>
      <c r="AO8" s="41">
        <v>0.269976153277935</v>
      </c>
      <c r="AP8" s="84">
        <v>53</v>
      </c>
      <c r="AQ8" s="63">
        <v>8</v>
      </c>
      <c r="AR8" s="41">
        <v>0.15420265048367421</v>
      </c>
      <c r="AS8" s="6">
        <v>53</v>
      </c>
      <c r="AT8" s="41">
        <v>0.15420265048367421</v>
      </c>
      <c r="AU8" s="89">
        <v>53</v>
      </c>
      <c r="AV8" s="64">
        <v>51</v>
      </c>
      <c r="AW8" s="41">
        <v>-0.2407815738059452</v>
      </c>
      <c r="AX8" s="6">
        <v>999</v>
      </c>
      <c r="AY8" s="41">
        <v>-0.2407815738059452</v>
      </c>
      <c r="AZ8" s="94">
        <v>999</v>
      </c>
    </row>
    <row r="9" spans="1:52" x14ac:dyDescent="0.3">
      <c r="A9" t="s">
        <v>248</v>
      </c>
      <c r="B9" s="25" t="s">
        <v>249</v>
      </c>
      <c r="C9" s="25" t="s">
        <v>250</v>
      </c>
      <c r="T9" s="6">
        <v>999</v>
      </c>
      <c r="V9" s="94">
        <v>999</v>
      </c>
    </row>
    <row r="10" spans="1:52" x14ac:dyDescent="0.3">
      <c r="A10" t="s">
        <v>44</v>
      </c>
      <c r="B10" s="25" t="s">
        <v>231</v>
      </c>
      <c r="C10" s="25" t="s">
        <v>226</v>
      </c>
      <c r="D10" s="24">
        <v>167.3800048828125</v>
      </c>
      <c r="E10" s="2">
        <v>-0.1304483344266065</v>
      </c>
      <c r="F10" s="2">
        <v>-0.104392929373173</v>
      </c>
      <c r="G10" s="15">
        <v>3.1305951018723237E-2</v>
      </c>
      <c r="H10" s="16">
        <v>-3.9192241410116679E-2</v>
      </c>
      <c r="I10" s="17">
        <v>0.1127374511095212</v>
      </c>
      <c r="J10" s="18">
        <v>111</v>
      </c>
      <c r="K10" s="19">
        <v>-0.18395272820358</v>
      </c>
      <c r="L10" s="18">
        <v>147</v>
      </c>
      <c r="M10" s="26">
        <v>107</v>
      </c>
      <c r="P10" s="28">
        <v>22</v>
      </c>
      <c r="S10" s="98">
        <v>0.14425259637049531</v>
      </c>
      <c r="T10" s="6">
        <v>111</v>
      </c>
      <c r="U10" s="41">
        <v>0.14425259637049531</v>
      </c>
      <c r="V10" s="94">
        <v>111</v>
      </c>
      <c r="W10" s="64">
        <v>22</v>
      </c>
      <c r="X10" s="41">
        <v>0.2373770576226075</v>
      </c>
      <c r="Y10" s="6">
        <v>111</v>
      </c>
      <c r="Z10" s="41">
        <v>0.2373770576226075</v>
      </c>
      <c r="AA10" s="84">
        <v>111</v>
      </c>
      <c r="AL10" s="95">
        <v>22</v>
      </c>
      <c r="AM10" s="41">
        <v>0.2373770576226075</v>
      </c>
      <c r="AN10" s="6">
        <v>111</v>
      </c>
      <c r="AO10" s="41">
        <v>0.2373770576226075</v>
      </c>
      <c r="AP10" s="84">
        <v>111</v>
      </c>
    </row>
    <row r="11" spans="1:52" x14ac:dyDescent="0.3">
      <c r="A11" t="s">
        <v>251</v>
      </c>
      <c r="B11" s="25" t="s">
        <v>230</v>
      </c>
      <c r="C11" s="25" t="s">
        <v>231</v>
      </c>
      <c r="D11" s="24">
        <v>7.6399998664855957</v>
      </c>
      <c r="E11" s="2">
        <v>0.39670935274714442</v>
      </c>
      <c r="F11" s="2">
        <v>0.16463413614733161</v>
      </c>
      <c r="G11" s="15">
        <v>-0.31544501171839823</v>
      </c>
      <c r="H11" s="16">
        <v>-0.28141362996599539</v>
      </c>
      <c r="I11" s="17">
        <v>0</v>
      </c>
      <c r="J11" s="18">
        <v>0</v>
      </c>
      <c r="K11" s="19">
        <v>-0.4096858235998323</v>
      </c>
      <c r="L11" s="18">
        <v>131</v>
      </c>
      <c r="P11" s="28">
        <v>6</v>
      </c>
      <c r="Q11" s="28">
        <v>46</v>
      </c>
      <c r="R11" s="28">
        <v>74</v>
      </c>
      <c r="S11" s="98">
        <v>-0.2097701192736893</v>
      </c>
      <c r="T11" s="6">
        <v>70</v>
      </c>
      <c r="U11" s="41">
        <v>-0.30603449752394091</v>
      </c>
      <c r="V11" s="94">
        <v>109</v>
      </c>
      <c r="W11" s="64">
        <v>7</v>
      </c>
      <c r="X11" s="41">
        <v>-0.16456138809077281</v>
      </c>
      <c r="Y11" s="6">
        <v>999</v>
      </c>
      <c r="Z11" s="41">
        <v>-0.16456138809077281</v>
      </c>
      <c r="AA11" s="84">
        <v>999</v>
      </c>
      <c r="AB11" s="63">
        <v>46</v>
      </c>
      <c r="AC11" s="41">
        <v>-8.5041987659751614E-2</v>
      </c>
      <c r="AD11" s="6">
        <v>999</v>
      </c>
      <c r="AE11" s="41">
        <v>-8.5041987659751614E-2</v>
      </c>
      <c r="AF11" s="84">
        <v>999</v>
      </c>
      <c r="AG11" s="63">
        <v>74</v>
      </c>
      <c r="AH11" s="41">
        <v>0.1257035808413447</v>
      </c>
      <c r="AI11" s="6">
        <v>147</v>
      </c>
      <c r="AJ11" s="41">
        <v>0.1257035808413447</v>
      </c>
      <c r="AK11" s="84">
        <v>147</v>
      </c>
      <c r="AL11" s="95">
        <v>7</v>
      </c>
      <c r="AM11" s="41">
        <v>-0.16456138809077281</v>
      </c>
      <c r="AN11" s="6">
        <v>999</v>
      </c>
      <c r="AO11" s="41">
        <v>-0.16456138809077281</v>
      </c>
      <c r="AP11" s="84">
        <v>999</v>
      </c>
      <c r="AQ11" s="63">
        <v>46</v>
      </c>
      <c r="AR11" s="41">
        <v>-8.5041987659751614E-2</v>
      </c>
      <c r="AS11" s="6">
        <v>999</v>
      </c>
      <c r="AT11" s="41">
        <v>-8.5041987659751614E-2</v>
      </c>
      <c r="AU11" s="89">
        <v>999</v>
      </c>
      <c r="AV11" s="64">
        <v>74</v>
      </c>
      <c r="AW11" s="41">
        <v>0.1257035808413447</v>
      </c>
      <c r="AX11" s="6">
        <v>147</v>
      </c>
      <c r="AY11" s="41">
        <v>0.1257035808413447</v>
      </c>
      <c r="AZ11" s="94">
        <v>147</v>
      </c>
    </row>
    <row r="12" spans="1:52" x14ac:dyDescent="0.3">
      <c r="A12" t="s">
        <v>252</v>
      </c>
      <c r="B12" s="25" t="s">
        <v>253</v>
      </c>
      <c r="C12" s="25" t="s">
        <v>254</v>
      </c>
      <c r="T12" s="6">
        <v>999</v>
      </c>
      <c r="V12" s="94">
        <v>999</v>
      </c>
    </row>
    <row r="13" spans="1:52" x14ac:dyDescent="0.3">
      <c r="A13" t="s">
        <v>255</v>
      </c>
      <c r="B13" s="25" t="s">
        <v>233</v>
      </c>
      <c r="C13" s="25" t="s">
        <v>242</v>
      </c>
      <c r="D13" s="24">
        <v>7.7600002288818359</v>
      </c>
      <c r="E13" s="2">
        <v>-0.2458697514431856</v>
      </c>
      <c r="F13" s="2">
        <v>-5.1282001121667484E-3</v>
      </c>
      <c r="I13" s="17">
        <v>5.0257651822857463E-2</v>
      </c>
      <c r="J13" s="18">
        <v>28</v>
      </c>
      <c r="K13" s="19">
        <v>-3.9948506504279828E-2</v>
      </c>
      <c r="L13" s="18">
        <v>16</v>
      </c>
      <c r="S13" s="98">
        <v>6.5359413977736258E-2</v>
      </c>
      <c r="T13" s="6">
        <v>28</v>
      </c>
      <c r="U13" s="41">
        <v>6.5359413977736258E-2</v>
      </c>
      <c r="V13" s="94">
        <v>28</v>
      </c>
    </row>
    <row r="14" spans="1:52" x14ac:dyDescent="0.3">
      <c r="A14" t="s">
        <v>256</v>
      </c>
      <c r="B14" s="25" t="s">
        <v>257</v>
      </c>
      <c r="C14" s="25" t="s">
        <v>258</v>
      </c>
      <c r="D14" s="24">
        <v>542414</v>
      </c>
      <c r="E14" s="2">
        <v>6.563799105704482E-2</v>
      </c>
      <c r="F14" s="2">
        <v>6.3296250918892349E-2</v>
      </c>
      <c r="G14" s="15">
        <v>0.1524315375340608</v>
      </c>
      <c r="H14" s="16">
        <v>0.14765843064522671</v>
      </c>
      <c r="I14" s="17">
        <v>0.16966007514555301</v>
      </c>
      <c r="J14" s="18">
        <v>80</v>
      </c>
      <c r="K14" s="19">
        <v>-1.3262932003967441E-2</v>
      </c>
      <c r="L14" s="18">
        <v>3</v>
      </c>
      <c r="M14" s="26">
        <v>45</v>
      </c>
      <c r="S14" s="98">
        <v>0.1551234433034738</v>
      </c>
      <c r="T14" s="6">
        <v>80</v>
      </c>
      <c r="U14" s="41">
        <v>0.1551234433034738</v>
      </c>
      <c r="V14" s="94">
        <v>80</v>
      </c>
      <c r="AL14" s="95">
        <v>45</v>
      </c>
      <c r="AM14" s="41">
        <v>5.8635074253295498E-2</v>
      </c>
      <c r="AN14" s="6">
        <v>80</v>
      </c>
      <c r="AO14" s="41">
        <v>5.8635074253295498E-2</v>
      </c>
      <c r="AP14" s="84">
        <v>80</v>
      </c>
    </row>
    <row r="15" spans="1:52" x14ac:dyDescent="0.3">
      <c r="A15" t="s">
        <v>259</v>
      </c>
      <c r="B15" s="25" t="s">
        <v>260</v>
      </c>
      <c r="C15" s="25" t="s">
        <v>261</v>
      </c>
      <c r="D15" s="24">
        <v>4.7891407012939453</v>
      </c>
      <c r="E15" s="2">
        <v>0.27377249397264908</v>
      </c>
      <c r="F15" s="2">
        <v>0.38018596643089292</v>
      </c>
      <c r="G15" s="15">
        <v>0.29281770321189038</v>
      </c>
      <c r="H15" s="16">
        <v>0.52558187558271174</v>
      </c>
      <c r="I15" s="17">
        <v>0.71853554657334517</v>
      </c>
      <c r="J15" s="18">
        <v>131</v>
      </c>
      <c r="K15" s="19">
        <v>0</v>
      </c>
      <c r="L15" s="18">
        <v>0</v>
      </c>
      <c r="M15" s="26">
        <v>6</v>
      </c>
      <c r="N15" s="28">
        <v>12</v>
      </c>
      <c r="O15" s="87">
        <v>12</v>
      </c>
      <c r="S15" s="98">
        <v>0.53178427377039195</v>
      </c>
      <c r="T15" s="6">
        <v>131</v>
      </c>
      <c r="U15" s="41">
        <v>0.53178427377039195</v>
      </c>
      <c r="V15" s="94">
        <v>131</v>
      </c>
      <c r="AL15" s="95">
        <v>7</v>
      </c>
      <c r="AM15" s="41">
        <v>0.53178427377039195</v>
      </c>
      <c r="AN15" s="6">
        <v>131</v>
      </c>
      <c r="AO15" s="41">
        <v>0.53178427377039195</v>
      </c>
      <c r="AP15" s="84">
        <v>131</v>
      </c>
      <c r="AQ15" s="63">
        <v>12</v>
      </c>
      <c r="AR15" s="41">
        <v>0.28275161323022702</v>
      </c>
      <c r="AS15" s="6">
        <v>131</v>
      </c>
      <c r="AT15" s="41">
        <v>0.28275161323022702</v>
      </c>
      <c r="AU15" s="89">
        <v>131</v>
      </c>
      <c r="AV15" s="64">
        <v>12</v>
      </c>
      <c r="AW15" s="41">
        <v>0.28275161323022702</v>
      </c>
      <c r="AX15" s="6">
        <v>131</v>
      </c>
      <c r="AY15" s="41">
        <v>0.28275161323022702</v>
      </c>
      <c r="AZ15" s="94">
        <v>131</v>
      </c>
    </row>
    <row r="16" spans="1:52" x14ac:dyDescent="0.3">
      <c r="A16" t="s">
        <v>262</v>
      </c>
      <c r="B16" s="25" t="s">
        <v>305</v>
      </c>
      <c r="C16" s="25" t="s">
        <v>289</v>
      </c>
      <c r="D16" s="24">
        <v>4.5999999046325684</v>
      </c>
      <c r="E16" s="2">
        <v>6.5644927449282084E-3</v>
      </c>
      <c r="F16" s="2">
        <v>-0.12878793146874959</v>
      </c>
      <c r="G16" s="15">
        <v>0.35434785831177451</v>
      </c>
      <c r="H16" s="16">
        <v>1.0717391153364411</v>
      </c>
      <c r="I16" s="17">
        <v>1.1847826954547771</v>
      </c>
      <c r="J16" s="18">
        <v>146</v>
      </c>
      <c r="K16" s="19">
        <v>-0.1391304086421967</v>
      </c>
      <c r="L16" s="18">
        <v>63</v>
      </c>
      <c r="M16" s="26">
        <v>22</v>
      </c>
      <c r="N16" s="28">
        <v>24</v>
      </c>
      <c r="O16" s="87">
        <v>71</v>
      </c>
      <c r="P16" s="28">
        <v>58</v>
      </c>
      <c r="S16" s="98">
        <v>1.1943232223031519</v>
      </c>
      <c r="T16" s="6">
        <v>146</v>
      </c>
      <c r="U16" s="45">
        <v>1.1943232223031519</v>
      </c>
      <c r="V16" s="94">
        <v>146</v>
      </c>
      <c r="W16" s="64">
        <v>58</v>
      </c>
      <c r="X16" s="41">
        <v>1.469287412003337</v>
      </c>
      <c r="Y16" s="6">
        <v>146</v>
      </c>
      <c r="Z16" s="45">
        <v>1.469287412003337</v>
      </c>
      <c r="AA16" s="84">
        <v>146</v>
      </c>
      <c r="AE16" s="45"/>
      <c r="AJ16" s="45"/>
      <c r="AL16" s="95">
        <v>22</v>
      </c>
      <c r="AM16" s="41">
        <v>0.96673188417765643</v>
      </c>
      <c r="AN16" s="6">
        <v>146</v>
      </c>
      <c r="AO16" s="45">
        <v>0.96673188417765643</v>
      </c>
      <c r="AP16" s="84">
        <v>146</v>
      </c>
      <c r="AQ16" s="63">
        <v>24</v>
      </c>
      <c r="AR16" s="41">
        <v>0.82065221475743577</v>
      </c>
      <c r="AS16" s="6">
        <v>146</v>
      </c>
      <c r="AT16" s="45">
        <v>0.82065221475743577</v>
      </c>
      <c r="AU16" s="89">
        <v>146</v>
      </c>
      <c r="AV16" s="64">
        <v>71</v>
      </c>
      <c r="AW16" s="41">
        <v>0.67779642316393751</v>
      </c>
      <c r="AX16" s="6">
        <v>146</v>
      </c>
      <c r="AY16" s="45">
        <v>0.67779642316393751</v>
      </c>
      <c r="AZ16" s="94">
        <v>146</v>
      </c>
    </row>
    <row r="17" spans="1:52" x14ac:dyDescent="0.3">
      <c r="A17" t="s">
        <v>265</v>
      </c>
      <c r="B17" s="25" t="s">
        <v>266</v>
      </c>
      <c r="C17" s="25" t="s">
        <v>267</v>
      </c>
      <c r="D17" s="24">
        <v>48.589145660400391</v>
      </c>
      <c r="E17" s="2">
        <v>0.40676629540124848</v>
      </c>
      <c r="F17" s="2">
        <v>-7.4534088381761232E-2</v>
      </c>
      <c r="G17" s="15">
        <v>-0.19705444294430721</v>
      </c>
      <c r="H17" s="16">
        <v>-0.32587626330211611</v>
      </c>
      <c r="I17" s="17">
        <v>2.5540628417851211E-2</v>
      </c>
      <c r="J17" s="18">
        <v>17</v>
      </c>
      <c r="K17" s="19">
        <v>-0.34862054934019648</v>
      </c>
      <c r="L17" s="18">
        <v>146</v>
      </c>
      <c r="P17" s="28">
        <v>11</v>
      </c>
      <c r="Q17" s="28">
        <v>26</v>
      </c>
      <c r="R17" s="28">
        <v>106</v>
      </c>
      <c r="S17" s="98">
        <v>-0.20112804110355581</v>
      </c>
      <c r="T17" s="6">
        <v>26</v>
      </c>
      <c r="U17" s="41">
        <v>-0.30751904178883133</v>
      </c>
      <c r="V17" s="94">
        <v>106</v>
      </c>
      <c r="W17" s="64">
        <v>11</v>
      </c>
      <c r="X17" s="41">
        <v>-8.9373983117930628E-2</v>
      </c>
      <c r="Y17" s="6">
        <v>999</v>
      </c>
      <c r="Z17" s="41">
        <v>-8.9373983117930628E-2</v>
      </c>
      <c r="AA17" s="84">
        <v>999</v>
      </c>
      <c r="AB17" s="63">
        <v>26</v>
      </c>
      <c r="AC17" s="41">
        <v>0.17223540752085209</v>
      </c>
      <c r="AD17" s="6">
        <v>60</v>
      </c>
      <c r="AE17" s="41">
        <v>0.17223540752085209</v>
      </c>
      <c r="AF17" s="84">
        <v>60</v>
      </c>
      <c r="AG17" s="63">
        <v>106</v>
      </c>
      <c r="AH17" s="41">
        <v>4.3732822152497047E-2</v>
      </c>
      <c r="AI17" s="6">
        <v>999</v>
      </c>
      <c r="AJ17" s="41">
        <v>4.3732822152497047E-2</v>
      </c>
      <c r="AK17" s="84">
        <v>999</v>
      </c>
      <c r="AL17" s="95">
        <v>11</v>
      </c>
      <c r="AM17" s="41">
        <v>-8.9373983117930628E-2</v>
      </c>
      <c r="AN17" s="6">
        <v>999</v>
      </c>
      <c r="AO17" s="41">
        <v>-8.9373983117930628E-2</v>
      </c>
      <c r="AP17" s="84">
        <v>999</v>
      </c>
      <c r="AQ17" s="63">
        <v>26</v>
      </c>
      <c r="AR17" s="41">
        <v>0.17223540752085209</v>
      </c>
      <c r="AS17" s="6">
        <v>60</v>
      </c>
      <c r="AT17" s="41">
        <v>0.17223540752085209</v>
      </c>
      <c r="AU17" s="89">
        <v>60</v>
      </c>
      <c r="AV17" s="64">
        <v>106</v>
      </c>
      <c r="AW17" s="41">
        <v>4.3732822152497047E-2</v>
      </c>
      <c r="AX17" s="6">
        <v>999</v>
      </c>
      <c r="AY17" s="41">
        <v>4.3732822152497047E-2</v>
      </c>
      <c r="AZ17" s="94">
        <v>999</v>
      </c>
    </row>
    <row r="18" spans="1:52" x14ac:dyDescent="0.3">
      <c r="A18" t="s">
        <v>15</v>
      </c>
      <c r="B18" s="25" t="s">
        <v>227</v>
      </c>
      <c r="C18" s="25" t="s">
        <v>228</v>
      </c>
      <c r="D18" s="24">
        <v>6.3299999237060547</v>
      </c>
      <c r="E18" s="2">
        <v>0.35250915174318659</v>
      </c>
      <c r="F18" s="2">
        <v>0.19886357427546719</v>
      </c>
      <c r="G18" s="15">
        <v>-0.50868879422118551</v>
      </c>
      <c r="H18" s="16">
        <v>-0.48815165109199482</v>
      </c>
      <c r="I18" s="17">
        <v>1.579815008272645E-3</v>
      </c>
      <c r="J18" s="18">
        <v>3</v>
      </c>
      <c r="K18" s="19">
        <v>-0.6413902040622006</v>
      </c>
      <c r="L18" s="18">
        <v>110</v>
      </c>
      <c r="P18" s="28">
        <v>14</v>
      </c>
      <c r="Q18" s="28">
        <v>14</v>
      </c>
      <c r="R18" s="28">
        <v>15</v>
      </c>
      <c r="S18" s="98">
        <v>-0.38474575326005078</v>
      </c>
      <c r="T18" s="6">
        <v>15</v>
      </c>
      <c r="U18" s="41">
        <v>-0.38474575326005078</v>
      </c>
      <c r="V18" s="94">
        <v>15</v>
      </c>
      <c r="W18" s="97">
        <v>14</v>
      </c>
      <c r="X18" s="41">
        <v>-0.36868672522988338</v>
      </c>
      <c r="Y18" s="6">
        <v>999</v>
      </c>
      <c r="Z18" s="41">
        <v>-0.36868672522988338</v>
      </c>
      <c r="AA18" s="84">
        <v>999</v>
      </c>
      <c r="AB18" s="91">
        <v>14</v>
      </c>
      <c r="AC18" s="41">
        <v>-0.36868672522988338</v>
      </c>
      <c r="AD18" s="6">
        <v>999</v>
      </c>
      <c r="AE18" s="41">
        <v>-0.36868672522988338</v>
      </c>
      <c r="AF18" s="84">
        <v>999</v>
      </c>
      <c r="AG18" s="91">
        <v>15</v>
      </c>
      <c r="AH18" s="41">
        <v>-0.14108332044072641</v>
      </c>
      <c r="AI18" s="6">
        <v>999</v>
      </c>
      <c r="AJ18" s="41">
        <v>-0.14108332044072641</v>
      </c>
      <c r="AK18" s="84">
        <v>999</v>
      </c>
      <c r="AL18" s="93">
        <v>14</v>
      </c>
      <c r="AM18" s="41">
        <v>-0.36868672522988338</v>
      </c>
      <c r="AN18" s="6">
        <v>999</v>
      </c>
      <c r="AO18" s="41">
        <v>-0.36868672522988338</v>
      </c>
      <c r="AP18" s="84">
        <v>999</v>
      </c>
      <c r="AQ18" s="91">
        <v>14</v>
      </c>
      <c r="AR18" s="41">
        <v>-0.36868672522988338</v>
      </c>
      <c r="AS18" s="6">
        <v>999</v>
      </c>
      <c r="AT18" s="41">
        <v>-0.36868672522988338</v>
      </c>
      <c r="AU18" s="89">
        <v>999</v>
      </c>
      <c r="AV18" s="97">
        <v>15</v>
      </c>
      <c r="AW18" s="41">
        <v>-0.14108332044072641</v>
      </c>
      <c r="AX18" s="6">
        <v>999</v>
      </c>
      <c r="AY18" s="41">
        <v>-0.14108332044072641</v>
      </c>
      <c r="AZ18" s="94">
        <v>999</v>
      </c>
    </row>
    <row r="19" spans="1:52" x14ac:dyDescent="0.3">
      <c r="A19" t="s">
        <v>268</v>
      </c>
      <c r="B19" s="25" t="s">
        <v>250</v>
      </c>
      <c r="C19" s="25" t="s">
        <v>269</v>
      </c>
      <c r="T19" s="6">
        <v>999</v>
      </c>
      <c r="V19" s="94">
        <v>999</v>
      </c>
      <c r="W19" s="97"/>
      <c r="AB19" s="91"/>
      <c r="AG19" s="91"/>
      <c r="AL19" s="93"/>
      <c r="AQ19" s="91"/>
      <c r="AV19" s="97"/>
    </row>
    <row r="20" spans="1:52" x14ac:dyDescent="0.3">
      <c r="A20" t="s">
        <v>270</v>
      </c>
      <c r="B20" s="25" t="s">
        <v>271</v>
      </c>
      <c r="C20" s="25" t="s">
        <v>272</v>
      </c>
      <c r="T20" s="6">
        <v>999</v>
      </c>
      <c r="V20" s="94">
        <v>999</v>
      </c>
    </row>
    <row r="21" spans="1:52" x14ac:dyDescent="0.3">
      <c r="A21" t="s">
        <v>120</v>
      </c>
      <c r="B21" s="25" t="s">
        <v>249</v>
      </c>
      <c r="C21" s="25" t="s">
        <v>250</v>
      </c>
      <c r="T21" s="6">
        <v>999</v>
      </c>
      <c r="V21" s="94">
        <v>999</v>
      </c>
      <c r="W21" s="97"/>
      <c r="AB21" s="91"/>
      <c r="AG21" s="91"/>
      <c r="AL21" s="93"/>
      <c r="AQ21" s="91"/>
      <c r="AV21" s="97"/>
    </row>
    <row r="22" spans="1:52" x14ac:dyDescent="0.3">
      <c r="A22" t="s">
        <v>74</v>
      </c>
      <c r="B22" s="25" t="s">
        <v>240</v>
      </c>
      <c r="C22" s="25" t="s">
        <v>241</v>
      </c>
      <c r="D22" s="24">
        <v>15.560000419616699</v>
      </c>
      <c r="E22" s="2">
        <v>-0.41402564449000312</v>
      </c>
      <c r="F22" s="2">
        <v>-0.28917978853287318</v>
      </c>
      <c r="G22" s="15">
        <v>-0.18894604465120199</v>
      </c>
      <c r="H22" s="16">
        <v>-0.22557841479597501</v>
      </c>
      <c r="I22" s="17">
        <v>0</v>
      </c>
      <c r="J22" s="18">
        <v>0</v>
      </c>
      <c r="K22" s="19">
        <v>-0.50064268821414859</v>
      </c>
      <c r="L22" s="18">
        <v>112</v>
      </c>
      <c r="P22" s="28">
        <v>5</v>
      </c>
      <c r="Q22" s="28">
        <v>22</v>
      </c>
      <c r="R22" s="28">
        <v>61</v>
      </c>
      <c r="S22" s="98">
        <v>-0.2024233932031908</v>
      </c>
      <c r="T22" s="6">
        <v>54</v>
      </c>
      <c r="U22" s="41">
        <v>-0.30933715147468432</v>
      </c>
      <c r="V22" s="94">
        <v>94</v>
      </c>
      <c r="W22" s="97">
        <v>7</v>
      </c>
      <c r="X22" s="41">
        <v>-0.16022707574446801</v>
      </c>
      <c r="Y22" s="6">
        <v>999</v>
      </c>
      <c r="Z22" s="41">
        <v>-0.16022707574446801</v>
      </c>
      <c r="AA22" s="84">
        <v>999</v>
      </c>
      <c r="AB22" s="91">
        <v>22</v>
      </c>
      <c r="AC22" s="41">
        <v>0.1399177626595762</v>
      </c>
      <c r="AD22" s="6">
        <v>146</v>
      </c>
      <c r="AE22" s="41">
        <v>0.1399177626595762</v>
      </c>
      <c r="AF22" s="84">
        <v>146</v>
      </c>
      <c r="AG22" s="91">
        <v>61</v>
      </c>
      <c r="AH22" s="41">
        <v>0.3078375998026015</v>
      </c>
      <c r="AI22" s="6">
        <v>146</v>
      </c>
      <c r="AJ22" s="41">
        <v>0.3078375998026015</v>
      </c>
      <c r="AK22" s="84">
        <v>146</v>
      </c>
      <c r="AL22" s="93">
        <v>7</v>
      </c>
      <c r="AM22" s="41">
        <v>-0.16022707574446801</v>
      </c>
      <c r="AN22" s="6">
        <v>999</v>
      </c>
      <c r="AO22" s="41">
        <v>-0.16022707574446801</v>
      </c>
      <c r="AP22" s="84">
        <v>999</v>
      </c>
      <c r="AQ22" s="91">
        <v>22</v>
      </c>
      <c r="AR22" s="41">
        <v>0.1399177626595762</v>
      </c>
      <c r="AS22" s="6">
        <v>146</v>
      </c>
      <c r="AT22" s="41">
        <v>0.1399177626595762</v>
      </c>
      <c r="AU22" s="89">
        <v>146</v>
      </c>
      <c r="AV22" s="97">
        <v>61</v>
      </c>
      <c r="AW22" s="41">
        <v>0.3078375998026015</v>
      </c>
      <c r="AX22" s="6">
        <v>146</v>
      </c>
      <c r="AY22" s="41">
        <v>0.3078375998026015</v>
      </c>
      <c r="AZ22" s="94">
        <v>146</v>
      </c>
    </row>
    <row r="23" spans="1:52" x14ac:dyDescent="0.3">
      <c r="A23" t="s">
        <v>273</v>
      </c>
      <c r="B23" s="25" t="s">
        <v>229</v>
      </c>
      <c r="C23" s="25" t="s">
        <v>238</v>
      </c>
      <c r="D23" s="24">
        <v>4.0299999713897714</v>
      </c>
      <c r="E23" s="2">
        <v>0.15472778234310261</v>
      </c>
      <c r="F23" s="2">
        <v>7.7540096554424398E-2</v>
      </c>
      <c r="G23" s="15">
        <v>-0.48387098300927422</v>
      </c>
      <c r="H23" s="16">
        <v>-0.36972705213764739</v>
      </c>
      <c r="I23" s="17">
        <v>9.677422026623006E-2</v>
      </c>
      <c r="J23" s="18">
        <v>24</v>
      </c>
      <c r="K23" s="19">
        <v>-0.5111662425320409</v>
      </c>
      <c r="L23" s="18">
        <v>73</v>
      </c>
      <c r="P23" s="28">
        <v>36</v>
      </c>
      <c r="Q23" s="28">
        <v>44</v>
      </c>
      <c r="R23" s="28">
        <v>58</v>
      </c>
      <c r="S23" s="98">
        <v>-0.21914360647554471</v>
      </c>
      <c r="T23" s="6">
        <v>44</v>
      </c>
      <c r="U23" s="41">
        <v>-0.31989923722270103</v>
      </c>
      <c r="V23" s="94">
        <v>59</v>
      </c>
      <c r="W23" s="64">
        <v>36</v>
      </c>
      <c r="X23" s="41">
        <v>-0.28132848229449148</v>
      </c>
      <c r="Y23" s="6">
        <v>999</v>
      </c>
      <c r="Z23" s="41">
        <v>-0.28132848229449148</v>
      </c>
      <c r="AA23" s="84">
        <v>999</v>
      </c>
      <c r="AB23" s="63">
        <v>44</v>
      </c>
      <c r="AC23" s="41">
        <v>-0.18531803049134929</v>
      </c>
      <c r="AD23" s="6">
        <v>999</v>
      </c>
      <c r="AE23" s="41">
        <v>-0.18531803049134929</v>
      </c>
      <c r="AF23" s="84">
        <v>999</v>
      </c>
      <c r="AG23" s="63">
        <v>58</v>
      </c>
      <c r="AH23" s="41">
        <v>1.7985594543473479E-2</v>
      </c>
      <c r="AI23" s="6">
        <v>137</v>
      </c>
      <c r="AJ23" s="41">
        <v>1.7985594543473479E-2</v>
      </c>
      <c r="AK23" s="84">
        <v>137</v>
      </c>
      <c r="AL23" s="95">
        <v>36</v>
      </c>
      <c r="AM23" s="41">
        <v>-0.28132848229449148</v>
      </c>
      <c r="AN23" s="6">
        <v>999</v>
      </c>
      <c r="AO23" s="41">
        <v>-0.28132848229449148</v>
      </c>
      <c r="AP23" s="84">
        <v>999</v>
      </c>
      <c r="AQ23" s="63">
        <v>44</v>
      </c>
      <c r="AR23" s="41">
        <v>-0.18531803049134929</v>
      </c>
      <c r="AS23" s="6">
        <v>999</v>
      </c>
      <c r="AT23" s="41">
        <v>-0.18531803049134929</v>
      </c>
      <c r="AU23" s="89">
        <v>999</v>
      </c>
      <c r="AV23" s="64">
        <v>58</v>
      </c>
      <c r="AW23" s="41">
        <v>1.7985594543473479E-2</v>
      </c>
      <c r="AX23" s="6">
        <v>137</v>
      </c>
      <c r="AY23" s="41">
        <v>1.7985594543473479E-2</v>
      </c>
      <c r="AZ23" s="94">
        <v>137</v>
      </c>
    </row>
    <row r="24" spans="1:52" x14ac:dyDescent="0.3">
      <c r="A24" t="s">
        <v>274</v>
      </c>
      <c r="B24" s="25" t="s">
        <v>260</v>
      </c>
      <c r="C24" s="25" t="s">
        <v>261</v>
      </c>
      <c r="D24" s="24">
        <v>8.1800003051757813</v>
      </c>
      <c r="E24" s="2">
        <v>-5.433518313083463E-2</v>
      </c>
      <c r="F24" s="2">
        <v>-0.13347450542538669</v>
      </c>
      <c r="G24" s="15">
        <v>5.012222886503892E-2</v>
      </c>
      <c r="H24" s="16">
        <v>-0.11002445743161759</v>
      </c>
      <c r="I24" s="17">
        <v>0.33985325541029421</v>
      </c>
      <c r="J24" s="18">
        <v>31</v>
      </c>
      <c r="K24" s="19">
        <v>-0.11002445743161759</v>
      </c>
      <c r="L24" s="18">
        <v>150</v>
      </c>
      <c r="M24" s="26">
        <v>23</v>
      </c>
      <c r="N24" s="28">
        <v>26</v>
      </c>
      <c r="O24" s="87">
        <v>26</v>
      </c>
      <c r="P24" s="28">
        <v>107</v>
      </c>
      <c r="S24" s="98">
        <v>0.42522756262611128</v>
      </c>
      <c r="T24" s="6">
        <v>31</v>
      </c>
      <c r="U24" s="41">
        <v>0.42522756262611128</v>
      </c>
      <c r="V24" s="94">
        <v>31</v>
      </c>
      <c r="W24" s="64">
        <v>107</v>
      </c>
      <c r="X24" s="41">
        <v>0.14894869318808829</v>
      </c>
      <c r="Y24" s="6">
        <v>999</v>
      </c>
      <c r="Z24" s="41">
        <v>0.14894869318808829</v>
      </c>
      <c r="AA24" s="84">
        <v>999</v>
      </c>
      <c r="AL24" s="95">
        <v>23</v>
      </c>
      <c r="AM24" s="41">
        <v>9.6496878301835128E-3</v>
      </c>
      <c r="AN24" s="6">
        <v>999</v>
      </c>
      <c r="AO24" s="41">
        <v>9.6496878301835128E-3</v>
      </c>
      <c r="AP24" s="84">
        <v>999</v>
      </c>
      <c r="AQ24" s="63">
        <v>26</v>
      </c>
      <c r="AR24" s="41">
        <v>-0.14039285281289779</v>
      </c>
      <c r="AS24" s="6">
        <v>999</v>
      </c>
      <c r="AT24" s="41">
        <v>-0.14039285281289779</v>
      </c>
      <c r="AU24" s="89">
        <v>999</v>
      </c>
      <c r="AV24" s="64">
        <v>26</v>
      </c>
      <c r="AW24" s="41">
        <v>-0.14039285281289779</v>
      </c>
      <c r="AX24" s="6">
        <v>999</v>
      </c>
      <c r="AY24" s="41">
        <v>-0.14039285281289779</v>
      </c>
      <c r="AZ24" s="94">
        <v>999</v>
      </c>
    </row>
    <row r="25" spans="1:52" x14ac:dyDescent="0.3">
      <c r="A25" t="s">
        <v>275</v>
      </c>
      <c r="B25" s="25" t="s">
        <v>260</v>
      </c>
      <c r="C25" s="25" t="s">
        <v>261</v>
      </c>
      <c r="T25" s="6">
        <v>999</v>
      </c>
      <c r="V25" s="94">
        <v>999</v>
      </c>
    </row>
    <row r="26" spans="1:52" x14ac:dyDescent="0.3">
      <c r="A26" t="s">
        <v>276</v>
      </c>
      <c r="B26" s="25" t="s">
        <v>277</v>
      </c>
      <c r="C26" s="25" t="s">
        <v>271</v>
      </c>
      <c r="J26" s="18">
        <v>83</v>
      </c>
      <c r="L26" s="18">
        <v>117</v>
      </c>
      <c r="T26" s="6">
        <v>83</v>
      </c>
      <c r="V26" s="94">
        <v>83</v>
      </c>
    </row>
    <row r="27" spans="1:52" x14ac:dyDescent="0.3">
      <c r="A27" t="s">
        <v>75</v>
      </c>
      <c r="B27" s="25" t="s">
        <v>228</v>
      </c>
      <c r="C27" s="25" t="s">
        <v>229</v>
      </c>
      <c r="D27" s="24">
        <v>7.5174999237060547</v>
      </c>
      <c r="E27" s="2">
        <v>1.278030312827577</v>
      </c>
      <c r="F27" s="2">
        <v>1.713898908111757</v>
      </c>
      <c r="G27" s="15">
        <v>0.31426673956920692</v>
      </c>
      <c r="H27" s="16">
        <v>0.24110409290253171</v>
      </c>
      <c r="I27" s="17">
        <v>1.684403127366743</v>
      </c>
      <c r="J27" s="18">
        <v>23</v>
      </c>
      <c r="K27" s="19">
        <v>-9.0123016693582247E-2</v>
      </c>
      <c r="L27" s="18">
        <v>8</v>
      </c>
      <c r="M27" s="26">
        <v>4</v>
      </c>
      <c r="N27" s="28">
        <v>22</v>
      </c>
      <c r="O27" s="87">
        <v>22</v>
      </c>
      <c r="S27" s="98">
        <v>0.35521385125263771</v>
      </c>
      <c r="T27" s="6">
        <v>999</v>
      </c>
      <c r="U27" s="41">
        <v>0.35521385125263771</v>
      </c>
      <c r="V27" s="94">
        <v>999</v>
      </c>
      <c r="AL27" s="95">
        <v>7</v>
      </c>
      <c r="AM27" s="41">
        <v>0.35521385125263771</v>
      </c>
      <c r="AN27" s="6">
        <v>999</v>
      </c>
      <c r="AO27" s="41">
        <v>0.35521385125263771</v>
      </c>
      <c r="AP27" s="84">
        <v>999</v>
      </c>
      <c r="AQ27" s="63">
        <v>22</v>
      </c>
      <c r="AR27" s="41">
        <v>-0.45570406996113533</v>
      </c>
      <c r="AS27" s="6">
        <v>999</v>
      </c>
      <c r="AT27" s="41">
        <v>-0.45570406996113533</v>
      </c>
      <c r="AU27" s="89">
        <v>999</v>
      </c>
      <c r="AV27" s="64">
        <v>22</v>
      </c>
      <c r="AW27" s="41">
        <v>-0.45570406996113533</v>
      </c>
      <c r="AX27" s="6">
        <v>999</v>
      </c>
      <c r="AY27" s="41">
        <v>-0.45570406996113533</v>
      </c>
      <c r="AZ27" s="94">
        <v>999</v>
      </c>
    </row>
    <row r="28" spans="1:52" x14ac:dyDescent="0.3">
      <c r="A28" t="s">
        <v>279</v>
      </c>
      <c r="B28" s="25" t="s">
        <v>266</v>
      </c>
      <c r="C28" s="25" t="s">
        <v>267</v>
      </c>
      <c r="D28" s="24">
        <v>37.965457916259773</v>
      </c>
      <c r="E28" s="2">
        <v>0.22814170275847709</v>
      </c>
      <c r="F28" s="2">
        <v>-0.1131620853825525</v>
      </c>
      <c r="G28" s="15">
        <v>-0.1767999672843292</v>
      </c>
      <c r="H28" s="16">
        <v>-0.25447526967569811</v>
      </c>
      <c r="I28" s="17">
        <v>0</v>
      </c>
      <c r="J28" s="18">
        <v>0</v>
      </c>
      <c r="K28" s="19">
        <v>-0.31081806560155201</v>
      </c>
      <c r="L28" s="18">
        <v>105</v>
      </c>
      <c r="P28" s="28">
        <v>11</v>
      </c>
      <c r="Q28" s="28">
        <v>47</v>
      </c>
      <c r="R28" s="28">
        <v>105</v>
      </c>
      <c r="S28" s="98">
        <v>-0.228319411878634</v>
      </c>
      <c r="T28" s="6">
        <v>103</v>
      </c>
      <c r="U28" s="41">
        <v>-0.14400978663138131</v>
      </c>
      <c r="V28" s="94">
        <v>999</v>
      </c>
      <c r="W28" s="97">
        <v>11</v>
      </c>
      <c r="X28" s="41">
        <v>-7.5841049328907867E-2</v>
      </c>
      <c r="Y28" s="6">
        <v>999</v>
      </c>
      <c r="Z28" s="41">
        <v>-7.5841049328907867E-2</v>
      </c>
      <c r="AA28" s="84">
        <v>999</v>
      </c>
      <c r="AB28" s="91">
        <v>47</v>
      </c>
      <c r="AC28" s="41">
        <v>8.4988708275193892E-2</v>
      </c>
      <c r="AD28" s="6">
        <v>94</v>
      </c>
      <c r="AE28" s="41">
        <v>8.4988708275193892E-2</v>
      </c>
      <c r="AF28" s="84">
        <v>94</v>
      </c>
      <c r="AG28" s="91">
        <v>105</v>
      </c>
      <c r="AH28" s="41">
        <v>0.20451227331694041</v>
      </c>
      <c r="AI28" s="6">
        <v>136</v>
      </c>
      <c r="AJ28" s="41">
        <v>0.20451227331694041</v>
      </c>
      <c r="AK28" s="84">
        <v>136</v>
      </c>
      <c r="AL28" s="93">
        <v>11</v>
      </c>
      <c r="AM28" s="41">
        <v>-7.5841049328907867E-2</v>
      </c>
      <c r="AN28" s="6">
        <v>999</v>
      </c>
      <c r="AO28" s="41">
        <v>-7.5841049328907867E-2</v>
      </c>
      <c r="AP28" s="84">
        <v>999</v>
      </c>
      <c r="AQ28" s="91">
        <v>47</v>
      </c>
      <c r="AR28" s="41">
        <v>8.4988708275193892E-2</v>
      </c>
      <c r="AS28" s="6">
        <v>94</v>
      </c>
      <c r="AT28" s="41">
        <v>8.4988708275193892E-2</v>
      </c>
      <c r="AU28" s="89">
        <v>94</v>
      </c>
      <c r="AV28" s="97">
        <v>105</v>
      </c>
      <c r="AW28" s="41">
        <v>0.20451227331694041</v>
      </c>
      <c r="AX28" s="6">
        <v>136</v>
      </c>
      <c r="AY28" s="41">
        <v>0.20451227331694041</v>
      </c>
      <c r="AZ28" s="94">
        <v>136</v>
      </c>
    </row>
    <row r="29" spans="1:52" x14ac:dyDescent="0.3">
      <c r="A29" t="s">
        <v>280</v>
      </c>
      <c r="B29" s="25" t="s">
        <v>243</v>
      </c>
      <c r="C29" s="25" t="s">
        <v>244</v>
      </c>
      <c r="T29" s="6">
        <v>999</v>
      </c>
      <c r="V29" s="94">
        <v>999</v>
      </c>
    </row>
    <row r="30" spans="1:52" x14ac:dyDescent="0.3">
      <c r="A30" t="s">
        <v>281</v>
      </c>
      <c r="B30" s="25" t="s">
        <v>282</v>
      </c>
      <c r="C30" s="25" t="s">
        <v>283</v>
      </c>
      <c r="D30" s="24">
        <v>5.6212491989135742</v>
      </c>
      <c r="E30" s="2">
        <v>0.224409303655037</v>
      </c>
      <c r="F30" s="2">
        <v>5.6027265368660428E-2</v>
      </c>
      <c r="G30" s="15">
        <v>0.27059635678969562</v>
      </c>
      <c r="H30" s="16">
        <v>0.41267794500693639</v>
      </c>
      <c r="I30" s="17">
        <v>0.67876478099970017</v>
      </c>
      <c r="J30" s="18">
        <v>93</v>
      </c>
      <c r="K30" s="19">
        <v>-4.8230436589068448E-3</v>
      </c>
      <c r="L30" s="18">
        <v>1</v>
      </c>
      <c r="M30" s="26">
        <v>10</v>
      </c>
      <c r="N30" s="28">
        <v>16</v>
      </c>
      <c r="O30" s="87">
        <v>23</v>
      </c>
      <c r="S30" s="98">
        <v>0.56316143539730334</v>
      </c>
      <c r="T30" s="6">
        <v>93</v>
      </c>
      <c r="U30" s="41">
        <v>0.56316143539730334</v>
      </c>
      <c r="V30" s="94">
        <v>93</v>
      </c>
      <c r="AL30" s="95">
        <v>10</v>
      </c>
      <c r="AM30" s="41">
        <v>0.50459891434891224</v>
      </c>
      <c r="AN30" s="6">
        <v>93</v>
      </c>
      <c r="AO30" s="41">
        <v>0.50459891434891224</v>
      </c>
      <c r="AP30" s="84">
        <v>93</v>
      </c>
      <c r="AQ30" s="63">
        <v>16</v>
      </c>
      <c r="AR30" s="41">
        <v>0.37213081644526058</v>
      </c>
      <c r="AS30" s="6">
        <v>93</v>
      </c>
      <c r="AT30" s="41">
        <v>0.37213081644526058</v>
      </c>
      <c r="AU30" s="89">
        <v>93</v>
      </c>
      <c r="AV30" s="64">
        <v>23</v>
      </c>
      <c r="AW30" s="41">
        <v>0.27185349402694498</v>
      </c>
      <c r="AX30" s="6">
        <v>93</v>
      </c>
      <c r="AY30" s="41">
        <v>0.27185349402694498</v>
      </c>
      <c r="AZ30" s="94">
        <v>93</v>
      </c>
    </row>
    <row r="31" spans="1:52" x14ac:dyDescent="0.3">
      <c r="A31" t="s">
        <v>284</v>
      </c>
      <c r="B31" s="25" t="s">
        <v>253</v>
      </c>
      <c r="C31" s="25" t="s">
        <v>254</v>
      </c>
      <c r="D31" s="24">
        <v>80.800003051757813</v>
      </c>
      <c r="E31" s="2">
        <v>-0.1307153770349225</v>
      </c>
      <c r="F31" s="2">
        <v>-0.14179498946106331</v>
      </c>
      <c r="G31" s="15">
        <v>-0.39814357386887161</v>
      </c>
      <c r="H31" s="16">
        <v>-0.43972773826796507</v>
      </c>
      <c r="I31" s="17">
        <v>7.5123755761939526E-2</v>
      </c>
      <c r="J31" s="18">
        <v>6</v>
      </c>
      <c r="K31" s="19">
        <v>-0.56200497459166221</v>
      </c>
      <c r="L31" s="18">
        <v>112</v>
      </c>
      <c r="P31" s="28">
        <v>23</v>
      </c>
      <c r="Q31" s="28">
        <v>59</v>
      </c>
      <c r="R31" s="28">
        <v>67</v>
      </c>
      <c r="S31" s="98">
        <v>-0.20245109191025701</v>
      </c>
      <c r="T31" s="6">
        <v>47</v>
      </c>
      <c r="U31" s="41">
        <v>-0.30685625802226579</v>
      </c>
      <c r="V31" s="94">
        <v>66</v>
      </c>
      <c r="W31" s="64">
        <v>23</v>
      </c>
      <c r="X31" s="41">
        <v>-0.21493461413205669</v>
      </c>
      <c r="Y31" s="6">
        <v>999</v>
      </c>
      <c r="Z31" s="41">
        <v>-0.21493461413205669</v>
      </c>
      <c r="AA31" s="84">
        <v>999</v>
      </c>
      <c r="AB31" s="63">
        <v>59</v>
      </c>
      <c r="AC31" s="41">
        <v>-0.26527163125913927</v>
      </c>
      <c r="AD31" s="6">
        <v>999</v>
      </c>
      <c r="AE31" s="41">
        <v>-0.26527163125913927</v>
      </c>
      <c r="AF31" s="84">
        <v>999</v>
      </c>
      <c r="AG31" s="63">
        <v>67</v>
      </c>
      <c r="AH31" s="41">
        <v>-0.1426975281657471</v>
      </c>
      <c r="AI31" s="6">
        <v>999</v>
      </c>
      <c r="AJ31" s="41">
        <v>-0.1426975281657471</v>
      </c>
      <c r="AK31" s="84">
        <v>999</v>
      </c>
      <c r="AL31" s="95">
        <v>23</v>
      </c>
      <c r="AM31" s="41">
        <v>-0.21493461413205669</v>
      </c>
      <c r="AN31" s="6">
        <v>999</v>
      </c>
      <c r="AO31" s="41">
        <v>-0.21493461413205669</v>
      </c>
      <c r="AP31" s="84">
        <v>999</v>
      </c>
      <c r="AQ31" s="63">
        <v>59</v>
      </c>
      <c r="AR31" s="41">
        <v>-0.26527163125913927</v>
      </c>
      <c r="AS31" s="6">
        <v>999</v>
      </c>
      <c r="AT31" s="41">
        <v>-0.26527163125913927</v>
      </c>
      <c r="AU31" s="89">
        <v>999</v>
      </c>
      <c r="AV31" s="64">
        <v>67</v>
      </c>
      <c r="AW31" s="41">
        <v>-0.1426975281657471</v>
      </c>
      <c r="AX31" s="6">
        <v>999</v>
      </c>
      <c r="AY31" s="41">
        <v>-0.1426975281657471</v>
      </c>
      <c r="AZ31" s="94">
        <v>999</v>
      </c>
    </row>
    <row r="32" spans="1:52" x14ac:dyDescent="0.3">
      <c r="A32" t="s">
        <v>285</v>
      </c>
      <c r="B32" s="25" t="s">
        <v>286</v>
      </c>
      <c r="C32" s="25" t="s">
        <v>263</v>
      </c>
      <c r="D32" s="24">
        <v>34.524250030517578</v>
      </c>
      <c r="E32" s="2">
        <v>7.4032014903246957E-3</v>
      </c>
      <c r="F32" s="2">
        <v>4.3657689341823902E-2</v>
      </c>
      <c r="G32" s="15">
        <v>-7.3770334214517286E-2</v>
      </c>
      <c r="H32" s="16">
        <v>0.37535337128777152</v>
      </c>
      <c r="I32" s="17">
        <v>0.37535337128777152</v>
      </c>
      <c r="J32" s="18">
        <v>150</v>
      </c>
      <c r="K32" s="19">
        <v>-0.1071225618969486</v>
      </c>
      <c r="L32" s="18">
        <v>77</v>
      </c>
      <c r="M32" s="26">
        <v>28</v>
      </c>
      <c r="N32" s="28">
        <v>134</v>
      </c>
      <c r="O32" s="87">
        <v>141</v>
      </c>
      <c r="P32" s="28">
        <v>77</v>
      </c>
      <c r="S32" s="98">
        <v>0.39948236423726019</v>
      </c>
      <c r="T32" s="6">
        <v>150</v>
      </c>
      <c r="U32" s="41">
        <v>0.39948236423726019</v>
      </c>
      <c r="V32" s="94">
        <v>150</v>
      </c>
      <c r="W32" s="97">
        <v>77</v>
      </c>
      <c r="X32" s="41">
        <v>0.54036076240178788</v>
      </c>
      <c r="Y32" s="6">
        <v>150</v>
      </c>
      <c r="Z32" s="41">
        <v>0.54036076240178788</v>
      </c>
      <c r="AA32" s="84">
        <v>150</v>
      </c>
      <c r="AB32" s="91"/>
      <c r="AG32" s="91"/>
      <c r="AL32" s="93">
        <v>28</v>
      </c>
      <c r="AM32" s="41">
        <v>0.22878786742029661</v>
      </c>
      <c r="AN32" s="6">
        <v>150</v>
      </c>
      <c r="AO32" s="41">
        <v>0.22878786742029661</v>
      </c>
      <c r="AP32" s="84">
        <v>150</v>
      </c>
      <c r="AQ32" s="91">
        <v>134</v>
      </c>
      <c r="AR32" s="41">
        <v>6.3624846922154199E-2</v>
      </c>
      <c r="AS32" s="6">
        <v>999</v>
      </c>
      <c r="AT32" s="41">
        <v>6.3624846922154199E-2</v>
      </c>
      <c r="AU32" s="89">
        <v>999</v>
      </c>
      <c r="AV32" s="97">
        <v>141</v>
      </c>
      <c r="AW32" s="41">
        <v>3.1590330807148882E-2</v>
      </c>
      <c r="AX32" s="6">
        <v>999</v>
      </c>
      <c r="AY32" s="41">
        <v>3.1590330807148882E-2</v>
      </c>
      <c r="AZ32" s="94">
        <v>999</v>
      </c>
    </row>
    <row r="33" spans="1:52" x14ac:dyDescent="0.3">
      <c r="A33" t="s">
        <v>125</v>
      </c>
      <c r="B33" s="25" t="s">
        <v>233</v>
      </c>
      <c r="C33" s="25" t="s">
        <v>242</v>
      </c>
      <c r="D33" s="24">
        <v>3.440000057220459</v>
      </c>
      <c r="E33" s="2">
        <v>-0.59766840510963481</v>
      </c>
      <c r="F33" s="2">
        <v>0.2883894977243977</v>
      </c>
      <c r="I33" s="17">
        <v>8.430231308988656E-2</v>
      </c>
      <c r="J33" s="18">
        <v>17</v>
      </c>
      <c r="K33" s="19">
        <v>-0.1279069912504541</v>
      </c>
      <c r="L33" s="18">
        <v>27</v>
      </c>
      <c r="P33" s="28">
        <v>5</v>
      </c>
      <c r="S33" s="98">
        <v>2.2750181472491238E-2</v>
      </c>
      <c r="T33" s="6">
        <v>999</v>
      </c>
      <c r="U33" s="41">
        <v>2.2750181472491238E-2</v>
      </c>
      <c r="V33" s="94">
        <v>999</v>
      </c>
      <c r="W33" s="64">
        <v>7</v>
      </c>
      <c r="X33" s="41">
        <v>2.2750181472491238E-2</v>
      </c>
      <c r="Y33" s="6">
        <v>999</v>
      </c>
      <c r="Z33" s="41">
        <v>2.2750181472491238E-2</v>
      </c>
      <c r="AA33" s="84">
        <v>999</v>
      </c>
      <c r="AL33" s="95">
        <v>7</v>
      </c>
      <c r="AM33" s="41">
        <v>2.2750181472491238E-2</v>
      </c>
      <c r="AN33" s="6">
        <v>999</v>
      </c>
      <c r="AO33" s="41">
        <v>2.2750181472491238E-2</v>
      </c>
      <c r="AP33" s="84">
        <v>999</v>
      </c>
    </row>
    <row r="34" spans="1:52" x14ac:dyDescent="0.3">
      <c r="A34" t="s">
        <v>94</v>
      </c>
      <c r="B34" s="25" t="s">
        <v>286</v>
      </c>
      <c r="C34" s="25" t="s">
        <v>263</v>
      </c>
      <c r="D34" s="24">
        <v>11.810000419616699</v>
      </c>
      <c r="E34" s="2">
        <v>-0.60514876362867875</v>
      </c>
      <c r="F34" s="2">
        <v>-0.44371169692579959</v>
      </c>
      <c r="G34" s="15">
        <v>-0.3403895270898003</v>
      </c>
      <c r="H34" s="16">
        <v>-0.38357324715111007</v>
      </c>
      <c r="I34" s="17">
        <v>0.37933957127294021</v>
      </c>
      <c r="J34" s="18">
        <v>53</v>
      </c>
      <c r="K34" s="19">
        <v>-0.41405589920220021</v>
      </c>
      <c r="L34" s="18">
        <v>147</v>
      </c>
      <c r="M34" s="26">
        <v>24</v>
      </c>
      <c r="N34" s="28">
        <v>42</v>
      </c>
      <c r="O34" s="87">
        <v>53</v>
      </c>
      <c r="P34" s="28">
        <v>65</v>
      </c>
      <c r="Q34" s="28">
        <v>72</v>
      </c>
      <c r="R34" s="28">
        <v>72</v>
      </c>
      <c r="S34" s="98">
        <v>0.36775828079182959</v>
      </c>
      <c r="T34" s="6">
        <v>53</v>
      </c>
      <c r="U34" s="41">
        <v>0.36775828079182959</v>
      </c>
      <c r="V34" s="94">
        <v>53</v>
      </c>
      <c r="W34" s="64">
        <v>65</v>
      </c>
      <c r="X34" s="41">
        <v>-0.1205819889818813</v>
      </c>
      <c r="Y34" s="6">
        <v>999</v>
      </c>
      <c r="Z34" s="41">
        <v>-0.1205819889818813</v>
      </c>
      <c r="AA34" s="84">
        <v>999</v>
      </c>
      <c r="AB34" s="63">
        <v>72</v>
      </c>
      <c r="AC34" s="41">
        <v>0.1130822651908529</v>
      </c>
      <c r="AD34" s="6">
        <v>999</v>
      </c>
      <c r="AE34" s="41">
        <v>0.1130822651908529</v>
      </c>
      <c r="AF34" s="84">
        <v>999</v>
      </c>
      <c r="AG34" s="63">
        <v>72</v>
      </c>
      <c r="AH34" s="41">
        <v>0.1130822651908529</v>
      </c>
      <c r="AI34" s="6">
        <v>999</v>
      </c>
      <c r="AJ34" s="41">
        <v>0.1130822651908529</v>
      </c>
      <c r="AK34" s="84">
        <v>999</v>
      </c>
      <c r="AL34" s="95">
        <v>24</v>
      </c>
      <c r="AM34" s="41">
        <v>0.2013274639697844</v>
      </c>
      <c r="AN34" s="6">
        <v>53</v>
      </c>
      <c r="AO34" s="41">
        <v>0.2013274639697844</v>
      </c>
      <c r="AP34" s="84">
        <v>53</v>
      </c>
      <c r="AQ34" s="63">
        <v>42</v>
      </c>
      <c r="AR34" s="41">
        <v>-0.31258867718070321</v>
      </c>
      <c r="AS34" s="6">
        <v>999</v>
      </c>
      <c r="AT34" s="41">
        <v>-0.31258867718070321</v>
      </c>
      <c r="AU34" s="89">
        <v>999</v>
      </c>
      <c r="AV34" s="64">
        <v>53</v>
      </c>
      <c r="AW34" s="41">
        <v>-0.41207830717928162</v>
      </c>
      <c r="AX34" s="6">
        <v>999</v>
      </c>
      <c r="AY34" s="41">
        <v>-0.41207830717928162</v>
      </c>
      <c r="AZ34" s="94">
        <v>999</v>
      </c>
    </row>
    <row r="35" spans="1:52" x14ac:dyDescent="0.3">
      <c r="A35" t="s">
        <v>128</v>
      </c>
      <c r="B35" s="25" t="s">
        <v>287</v>
      </c>
      <c r="C35" s="25" t="s">
        <v>257</v>
      </c>
      <c r="D35" s="24">
        <v>7.2800002098083496</v>
      </c>
      <c r="E35" s="2">
        <v>-0.43124999208375803</v>
      </c>
      <c r="F35" s="2">
        <v>-0.38252754594036859</v>
      </c>
      <c r="G35" s="15">
        <v>0.27747251685583268</v>
      </c>
      <c r="H35" s="16">
        <v>0.26236254334190923</v>
      </c>
      <c r="I35" s="17">
        <v>0.60027462675539711</v>
      </c>
      <c r="J35" s="18">
        <v>101</v>
      </c>
      <c r="K35" s="19">
        <v>0</v>
      </c>
      <c r="L35" s="18">
        <v>0</v>
      </c>
      <c r="M35" s="26">
        <v>2</v>
      </c>
      <c r="N35" s="28">
        <v>5</v>
      </c>
      <c r="O35" s="87">
        <v>5</v>
      </c>
      <c r="S35" s="98">
        <v>0.25268810533322311</v>
      </c>
      <c r="T35" s="6">
        <v>101</v>
      </c>
      <c r="U35" s="41">
        <v>0.25268810533322311</v>
      </c>
      <c r="V35" s="94">
        <v>101</v>
      </c>
      <c r="AL35" s="95">
        <v>7</v>
      </c>
      <c r="AM35" s="41">
        <v>0.25268810533322311</v>
      </c>
      <c r="AN35" s="6">
        <v>101</v>
      </c>
      <c r="AO35" s="41">
        <v>0.25268810533322311</v>
      </c>
      <c r="AP35" s="84">
        <v>101</v>
      </c>
      <c r="AQ35" s="63">
        <v>7</v>
      </c>
      <c r="AR35" s="41">
        <v>0.25268810533322311</v>
      </c>
      <c r="AS35" s="6">
        <v>101</v>
      </c>
      <c r="AT35" s="41">
        <v>0.25268810533322311</v>
      </c>
      <c r="AU35" s="89">
        <v>101</v>
      </c>
      <c r="AV35" s="64">
        <v>7</v>
      </c>
      <c r="AW35" s="41">
        <v>0.25268810533322311</v>
      </c>
      <c r="AX35" s="6">
        <v>101</v>
      </c>
      <c r="AY35" s="41">
        <v>0.25268810533322311</v>
      </c>
      <c r="AZ35" s="94">
        <v>101</v>
      </c>
    </row>
    <row r="36" spans="1:52" x14ac:dyDescent="0.3">
      <c r="A36" t="s">
        <v>288</v>
      </c>
      <c r="B36" s="25" t="s">
        <v>289</v>
      </c>
      <c r="C36" s="25" t="s">
        <v>240</v>
      </c>
      <c r="T36" s="6">
        <v>999</v>
      </c>
      <c r="V36" s="94">
        <v>999</v>
      </c>
    </row>
    <row r="37" spans="1:52" x14ac:dyDescent="0.3">
      <c r="A37" t="s">
        <v>290</v>
      </c>
      <c r="B37" s="25" t="s">
        <v>264</v>
      </c>
      <c r="C37" s="25" t="s">
        <v>291</v>
      </c>
      <c r="D37" s="24">
        <v>167.46075439453119</v>
      </c>
      <c r="E37" s="2">
        <v>-0.29454602394917678</v>
      </c>
      <c r="F37" s="2">
        <v>6.8788859907538136E-3</v>
      </c>
      <c r="G37" s="15">
        <v>0.212861153116785</v>
      </c>
      <c r="H37" s="16">
        <v>0.16619367002748531</v>
      </c>
      <c r="I37" s="17">
        <v>0.30166643158068579</v>
      </c>
      <c r="J37" s="18">
        <v>115</v>
      </c>
      <c r="K37" s="19">
        <v>-4.7999910339299838E-2</v>
      </c>
      <c r="L37" s="18">
        <v>11</v>
      </c>
      <c r="M37" s="26">
        <v>62</v>
      </c>
      <c r="N37" s="28">
        <v>74</v>
      </c>
      <c r="O37" s="87">
        <v>115</v>
      </c>
      <c r="S37" s="98">
        <v>0.3578019958405021</v>
      </c>
      <c r="T37" s="6">
        <v>115</v>
      </c>
      <c r="U37" s="41">
        <v>0.3578019958405021</v>
      </c>
      <c r="V37" s="94">
        <v>115</v>
      </c>
      <c r="AL37" s="95">
        <v>62</v>
      </c>
      <c r="AM37" s="41">
        <v>0.1608189125587505</v>
      </c>
      <c r="AN37" s="6">
        <v>115</v>
      </c>
      <c r="AO37" s="41">
        <v>0.1608189125587505</v>
      </c>
      <c r="AP37" s="84">
        <v>115</v>
      </c>
      <c r="AQ37" s="63">
        <v>74</v>
      </c>
      <c r="AR37" s="41">
        <v>7.0738043061700173E-2</v>
      </c>
      <c r="AS37" s="6">
        <v>115</v>
      </c>
      <c r="AT37" s="41">
        <v>7.0738043061700173E-2</v>
      </c>
      <c r="AU37" s="89">
        <v>115</v>
      </c>
      <c r="AV37" s="64">
        <v>115</v>
      </c>
      <c r="AW37" s="41">
        <v>-7.4089050505231624E-2</v>
      </c>
      <c r="AX37" s="6">
        <v>999</v>
      </c>
      <c r="AY37" s="41">
        <v>-7.4089050505231624E-2</v>
      </c>
      <c r="AZ37" s="94">
        <v>999</v>
      </c>
    </row>
    <row r="38" spans="1:52" x14ac:dyDescent="0.3">
      <c r="A38" t="s">
        <v>292</v>
      </c>
      <c r="B38" s="25" t="s">
        <v>232</v>
      </c>
      <c r="C38" s="25" t="s">
        <v>233</v>
      </c>
      <c r="D38" s="24">
        <v>4.690000057220459</v>
      </c>
      <c r="E38" s="2">
        <v>-0.66547789557144132</v>
      </c>
      <c r="F38" s="2">
        <v>0.19948847935231129</v>
      </c>
      <c r="I38" s="17">
        <v>3.6247350579926563E-2</v>
      </c>
      <c r="J38" s="18">
        <v>2</v>
      </c>
      <c r="K38" s="19">
        <v>-0.4754797424021997</v>
      </c>
      <c r="L38" s="18">
        <v>27</v>
      </c>
      <c r="P38" s="28">
        <v>19</v>
      </c>
      <c r="Q38" s="28">
        <v>22</v>
      </c>
      <c r="R38" s="28">
        <v>27</v>
      </c>
      <c r="S38" s="98">
        <v>-0.2109890629280399</v>
      </c>
      <c r="T38" s="6">
        <v>22</v>
      </c>
      <c r="U38" s="41">
        <v>-0.45934067362101311</v>
      </c>
      <c r="V38" s="94">
        <v>27</v>
      </c>
      <c r="W38" s="64">
        <v>19</v>
      </c>
      <c r="X38" s="41">
        <v>5.555550203847881E-2</v>
      </c>
      <c r="Y38" s="6">
        <v>59</v>
      </c>
      <c r="Z38" s="41">
        <v>5.555550203847881E-2</v>
      </c>
      <c r="AA38" s="84">
        <v>59</v>
      </c>
      <c r="AB38" s="63">
        <v>22</v>
      </c>
      <c r="AC38" s="41">
        <v>0.16434538392066519</v>
      </c>
      <c r="AD38" s="6">
        <v>59</v>
      </c>
      <c r="AE38" s="41">
        <v>0.16434538392066519</v>
      </c>
      <c r="AF38" s="84">
        <v>59</v>
      </c>
      <c r="AG38" s="63">
        <v>27</v>
      </c>
      <c r="AH38" s="41">
        <v>0.69918689573975046</v>
      </c>
      <c r="AI38" s="6">
        <v>59</v>
      </c>
      <c r="AJ38" s="41">
        <v>0.69918689573975046</v>
      </c>
      <c r="AK38" s="84">
        <v>59</v>
      </c>
      <c r="AL38" s="95">
        <v>19</v>
      </c>
      <c r="AM38" s="41">
        <v>5.555550203847881E-2</v>
      </c>
      <c r="AN38" s="6">
        <v>59</v>
      </c>
      <c r="AO38" s="41">
        <v>5.555550203847881E-2</v>
      </c>
      <c r="AP38" s="84">
        <v>59</v>
      </c>
      <c r="AQ38" s="63">
        <v>22</v>
      </c>
      <c r="AR38" s="41">
        <v>0.16434538392066519</v>
      </c>
      <c r="AS38" s="6">
        <v>59</v>
      </c>
      <c r="AT38" s="41">
        <v>0.16434538392066519</v>
      </c>
      <c r="AU38" s="89">
        <v>59</v>
      </c>
      <c r="AV38" s="64">
        <v>27</v>
      </c>
      <c r="AW38" s="41">
        <v>0.69918689573975046</v>
      </c>
      <c r="AX38" s="6">
        <v>59</v>
      </c>
      <c r="AY38" s="41">
        <v>0.69918689573975046</v>
      </c>
      <c r="AZ38" s="94">
        <v>59</v>
      </c>
    </row>
    <row r="39" spans="1:52" x14ac:dyDescent="0.3">
      <c r="A39" t="s">
        <v>293</v>
      </c>
      <c r="B39" s="25" t="s">
        <v>277</v>
      </c>
      <c r="C39" s="25" t="s">
        <v>271</v>
      </c>
      <c r="T39" s="6">
        <v>999</v>
      </c>
      <c r="V39" s="94">
        <v>999</v>
      </c>
    </row>
    <row r="40" spans="1:52" x14ac:dyDescent="0.3">
      <c r="A40" t="s">
        <v>46</v>
      </c>
      <c r="B40" s="25" t="s">
        <v>237</v>
      </c>
      <c r="C40" s="25" t="s">
        <v>235</v>
      </c>
      <c r="D40" s="24">
        <v>7.0500001907348633</v>
      </c>
      <c r="E40" s="2">
        <v>-0.6178861843249237</v>
      </c>
      <c r="F40" s="2">
        <v>-0.52073418270208538</v>
      </c>
      <c r="G40" s="15">
        <v>-0.33900713172514541</v>
      </c>
      <c r="I40" s="17">
        <v>0.64964536167319675</v>
      </c>
      <c r="J40" s="18">
        <v>108</v>
      </c>
      <c r="K40" s="19">
        <v>-0.42411349887405558</v>
      </c>
      <c r="L40" s="18">
        <v>37</v>
      </c>
      <c r="M40" s="26">
        <v>92</v>
      </c>
      <c r="N40" s="28">
        <v>100</v>
      </c>
      <c r="O40" s="87">
        <v>103</v>
      </c>
      <c r="P40" s="28">
        <v>4</v>
      </c>
      <c r="Q40" s="28">
        <v>7</v>
      </c>
      <c r="R40" s="28">
        <v>10</v>
      </c>
      <c r="S40" s="98">
        <v>-0.22072938329122341</v>
      </c>
      <c r="T40" s="6">
        <v>37</v>
      </c>
      <c r="U40" s="41">
        <v>1.23224568700336</v>
      </c>
      <c r="V40" s="94">
        <v>108</v>
      </c>
      <c r="W40" s="64">
        <v>7</v>
      </c>
      <c r="X40" s="41">
        <v>1.23224568700336</v>
      </c>
      <c r="Y40" s="6">
        <v>108</v>
      </c>
      <c r="Z40" s="41">
        <v>1.23224568700336</v>
      </c>
      <c r="AA40" s="84">
        <v>108</v>
      </c>
      <c r="AB40" s="63">
        <v>7</v>
      </c>
      <c r="AC40" s="41">
        <v>1.23224568700336</v>
      </c>
      <c r="AD40" s="6">
        <v>108</v>
      </c>
      <c r="AE40" s="41">
        <v>1.23224568700336</v>
      </c>
      <c r="AF40" s="84">
        <v>108</v>
      </c>
      <c r="AG40" s="63">
        <v>10</v>
      </c>
      <c r="AH40" s="41">
        <v>1.3930040730330051</v>
      </c>
      <c r="AI40" s="6">
        <v>108</v>
      </c>
      <c r="AJ40" s="41">
        <v>1.3930040730330051</v>
      </c>
      <c r="AK40" s="84">
        <v>108</v>
      </c>
      <c r="AL40" s="95">
        <v>7</v>
      </c>
      <c r="AM40" s="41">
        <v>1.23224568700336</v>
      </c>
      <c r="AN40" s="6">
        <v>108</v>
      </c>
      <c r="AO40" s="41">
        <v>1.23224568700336</v>
      </c>
      <c r="AP40" s="84">
        <v>108</v>
      </c>
      <c r="AQ40" s="63">
        <v>7</v>
      </c>
      <c r="AR40" s="41">
        <v>1.23224568700336</v>
      </c>
      <c r="AS40" s="6">
        <v>108</v>
      </c>
      <c r="AT40" s="41">
        <v>1.23224568700336</v>
      </c>
      <c r="AU40" s="89">
        <v>108</v>
      </c>
      <c r="AV40" s="64">
        <v>10</v>
      </c>
      <c r="AW40" s="41">
        <v>1.3930040730330051</v>
      </c>
      <c r="AX40" s="6">
        <v>108</v>
      </c>
      <c r="AY40" s="41">
        <v>1.3930040730330051</v>
      </c>
      <c r="AZ40" s="94">
        <v>108</v>
      </c>
    </row>
    <row r="41" spans="1:52" x14ac:dyDescent="0.3">
      <c r="A41" t="s">
        <v>294</v>
      </c>
      <c r="B41" s="25" t="s">
        <v>295</v>
      </c>
      <c r="C41" s="25" t="s">
        <v>253</v>
      </c>
      <c r="D41" s="24">
        <v>47.484479904174798</v>
      </c>
      <c r="E41" s="2">
        <v>0.15358124602777279</v>
      </c>
      <c r="F41" s="2">
        <v>1.392250795338601E-2</v>
      </c>
      <c r="G41" s="15">
        <v>9.2338335420119266E-2</v>
      </c>
      <c r="H41" s="16">
        <v>-0.1482587867233908</v>
      </c>
      <c r="I41" s="17">
        <v>0.22686562811664701</v>
      </c>
      <c r="J41" s="18">
        <v>28</v>
      </c>
      <c r="K41" s="19">
        <v>-0.2199003652983188</v>
      </c>
      <c r="L41" s="18">
        <v>118</v>
      </c>
      <c r="M41" s="26">
        <v>20</v>
      </c>
      <c r="N41" s="28">
        <v>28</v>
      </c>
      <c r="P41" s="28">
        <v>95</v>
      </c>
      <c r="Q41" s="28">
        <v>114</v>
      </c>
      <c r="S41" s="98">
        <v>0.31114415736879342</v>
      </c>
      <c r="T41" s="6">
        <v>28</v>
      </c>
      <c r="U41" s="41">
        <v>0.31114415736879342</v>
      </c>
      <c r="V41" s="94">
        <v>28</v>
      </c>
      <c r="W41" s="97">
        <v>95</v>
      </c>
      <c r="X41" s="41">
        <v>-3.9771394281917623E-2</v>
      </c>
      <c r="Y41" s="6">
        <v>999</v>
      </c>
      <c r="Z41" s="41">
        <v>-3.9771394281917623E-2</v>
      </c>
      <c r="AA41" s="84">
        <v>999</v>
      </c>
      <c r="AB41" s="91">
        <v>114</v>
      </c>
      <c r="AC41" s="41">
        <v>5.3457272080961522E-2</v>
      </c>
      <c r="AD41" s="6">
        <v>999</v>
      </c>
      <c r="AE41" s="41">
        <v>5.3457272080961522E-2</v>
      </c>
      <c r="AF41" s="84">
        <v>999</v>
      </c>
      <c r="AG41" s="91"/>
      <c r="AL41" s="93">
        <v>20</v>
      </c>
      <c r="AM41" s="41">
        <v>-0.1164891640384743</v>
      </c>
      <c r="AN41" s="6">
        <v>999</v>
      </c>
      <c r="AO41" s="41">
        <v>-0.1164891640384743</v>
      </c>
      <c r="AP41" s="84">
        <v>999</v>
      </c>
      <c r="AQ41" s="91">
        <v>28</v>
      </c>
      <c r="AR41" s="41">
        <v>-0.20360414198178289</v>
      </c>
      <c r="AS41" s="6">
        <v>999</v>
      </c>
      <c r="AT41" s="41">
        <v>-0.20360414198178289</v>
      </c>
      <c r="AU41" s="89">
        <v>999</v>
      </c>
      <c r="AV41" s="97"/>
    </row>
    <row r="42" spans="1:52" x14ac:dyDescent="0.3">
      <c r="A42" t="s">
        <v>296</v>
      </c>
      <c r="B42" s="25" t="s">
        <v>267</v>
      </c>
      <c r="C42" s="25" t="s">
        <v>297</v>
      </c>
      <c r="D42" s="24">
        <v>68.240001678466797</v>
      </c>
      <c r="F42" s="2">
        <v>5.618326936733764E-2</v>
      </c>
      <c r="G42" s="15">
        <v>0.18405628757852649</v>
      </c>
      <c r="H42" s="16">
        <v>0.1563599314360731</v>
      </c>
      <c r="I42" s="17">
        <v>0.28751463143758799</v>
      </c>
      <c r="J42" s="18">
        <v>49</v>
      </c>
      <c r="K42" s="19">
        <v>-0.100820646232285</v>
      </c>
      <c r="L42" s="18">
        <v>140</v>
      </c>
      <c r="M42" s="26">
        <v>31</v>
      </c>
      <c r="N42" s="28">
        <v>39</v>
      </c>
      <c r="P42" s="28">
        <v>140</v>
      </c>
      <c r="S42" s="98">
        <v>0.32239610749315828</v>
      </c>
      <c r="T42" s="6">
        <v>49</v>
      </c>
      <c r="U42" s="41">
        <v>0.32239610749315828</v>
      </c>
      <c r="V42" s="94">
        <v>49</v>
      </c>
      <c r="W42" s="64">
        <v>140</v>
      </c>
      <c r="X42" s="41">
        <v>0.13233376615851741</v>
      </c>
      <c r="Y42" s="6">
        <v>999</v>
      </c>
      <c r="Z42" s="41">
        <v>0.13233376615851741</v>
      </c>
      <c r="AA42" s="84">
        <v>999</v>
      </c>
      <c r="AL42" s="95">
        <v>31</v>
      </c>
      <c r="AM42" s="41">
        <v>-2.2359457926488649E-2</v>
      </c>
      <c r="AN42" s="6">
        <v>999</v>
      </c>
      <c r="AO42" s="41">
        <v>-2.2359457926488649E-2</v>
      </c>
      <c r="AP42" s="84">
        <v>999</v>
      </c>
      <c r="AQ42" s="63">
        <v>39</v>
      </c>
      <c r="AR42" s="41">
        <v>-9.9563389014488468E-2</v>
      </c>
      <c r="AS42" s="6">
        <v>999</v>
      </c>
      <c r="AT42" s="41">
        <v>-9.9563389014488468E-2</v>
      </c>
      <c r="AU42" s="89">
        <v>999</v>
      </c>
    </row>
    <row r="43" spans="1:52" x14ac:dyDescent="0.3">
      <c r="A43" t="s">
        <v>47</v>
      </c>
      <c r="B43" s="25" t="s">
        <v>231</v>
      </c>
      <c r="C43" s="25" t="s">
        <v>226</v>
      </c>
      <c r="D43" s="24">
        <v>4.5928504467010498</v>
      </c>
      <c r="E43" s="2">
        <v>-0.11856888481031851</v>
      </c>
      <c r="F43" s="2">
        <v>-0.22299380873585531</v>
      </c>
      <c r="G43" s="15">
        <v>-0.32518357868025188</v>
      </c>
      <c r="H43" s="16">
        <v>-0.22375946275635691</v>
      </c>
      <c r="I43" s="17">
        <v>0.20268964432842501</v>
      </c>
      <c r="J43" s="18">
        <v>46</v>
      </c>
      <c r="K43" s="19">
        <v>-0.38709329114576552</v>
      </c>
      <c r="L43" s="18">
        <v>82</v>
      </c>
      <c r="M43" s="26">
        <v>28</v>
      </c>
      <c r="N43" s="28">
        <v>46</v>
      </c>
      <c r="P43" s="28">
        <v>6</v>
      </c>
      <c r="Q43" s="28">
        <v>71</v>
      </c>
      <c r="R43" s="28">
        <v>74</v>
      </c>
      <c r="S43" s="98">
        <v>0.31929025553420209</v>
      </c>
      <c r="T43" s="6">
        <v>46</v>
      </c>
      <c r="U43" s="41">
        <v>0.31929025553420209</v>
      </c>
      <c r="V43" s="94">
        <v>46</v>
      </c>
      <c r="W43" s="64">
        <v>7</v>
      </c>
      <c r="X43" s="41">
        <v>0.31929025553420209</v>
      </c>
      <c r="Y43" s="6">
        <v>46</v>
      </c>
      <c r="Z43" s="41">
        <v>0.31929025553420209</v>
      </c>
      <c r="AA43" s="84">
        <v>46</v>
      </c>
      <c r="AB43" s="63">
        <v>71</v>
      </c>
      <c r="AC43" s="41">
        <v>0.38495604241905879</v>
      </c>
      <c r="AD43" s="6">
        <v>136</v>
      </c>
      <c r="AE43" s="41">
        <v>0.38495604241905879</v>
      </c>
      <c r="AF43" s="84">
        <v>136</v>
      </c>
      <c r="AG43" s="63">
        <v>74</v>
      </c>
      <c r="AH43" s="41">
        <v>0.60806462613016699</v>
      </c>
      <c r="AI43" s="6">
        <v>136</v>
      </c>
      <c r="AJ43" s="41">
        <v>0.60806462613016699</v>
      </c>
      <c r="AK43" s="84">
        <v>136</v>
      </c>
      <c r="AL43" s="95">
        <v>7</v>
      </c>
      <c r="AM43" s="41">
        <v>0.31929025553420209</v>
      </c>
      <c r="AN43" s="6">
        <v>46</v>
      </c>
      <c r="AO43" s="41">
        <v>0.31929025553420209</v>
      </c>
      <c r="AP43" s="84">
        <v>46</v>
      </c>
      <c r="AQ43" s="63">
        <v>46</v>
      </c>
      <c r="AR43" s="41">
        <v>-0.32101111731263787</v>
      </c>
      <c r="AS43" s="6">
        <v>999</v>
      </c>
      <c r="AT43" s="41">
        <v>-0.32101111731263787</v>
      </c>
      <c r="AU43" s="89">
        <v>999</v>
      </c>
      <c r="AV43" s="64">
        <v>74</v>
      </c>
      <c r="AW43" s="41">
        <v>0.60806462613016699</v>
      </c>
      <c r="AX43" s="6">
        <v>136</v>
      </c>
      <c r="AY43" s="41">
        <v>0.60806462613016699</v>
      </c>
      <c r="AZ43" s="94">
        <v>136</v>
      </c>
    </row>
    <row r="44" spans="1:52" x14ac:dyDescent="0.3">
      <c r="A44" t="s">
        <v>12</v>
      </c>
      <c r="B44" s="25" t="s">
        <v>298</v>
      </c>
      <c r="C44" s="25" t="s">
        <v>287</v>
      </c>
      <c r="D44" s="24">
        <v>10.304999828338619</v>
      </c>
      <c r="E44" s="2">
        <v>-0.4029548266694194</v>
      </c>
      <c r="F44" s="2">
        <v>-0.14267891548351311</v>
      </c>
      <c r="G44" s="15">
        <v>-2.377480958788325E-2</v>
      </c>
      <c r="H44" s="16">
        <v>-0.35371179443427131</v>
      </c>
      <c r="I44" s="17">
        <v>0.14701600113756139</v>
      </c>
      <c r="J44" s="18">
        <v>26</v>
      </c>
      <c r="K44" s="19">
        <v>-0.44104800341268252</v>
      </c>
      <c r="L44" s="18">
        <v>136</v>
      </c>
      <c r="M44" s="26">
        <v>23</v>
      </c>
      <c r="P44" s="28">
        <v>105</v>
      </c>
      <c r="Q44" s="28">
        <v>119</v>
      </c>
      <c r="R44" s="28">
        <v>126</v>
      </c>
      <c r="S44" s="98">
        <v>0.13218392432064199</v>
      </c>
      <c r="T44" s="6">
        <v>26</v>
      </c>
      <c r="U44" s="41">
        <v>0.13218392432064199</v>
      </c>
      <c r="V44" s="94">
        <v>26</v>
      </c>
      <c r="W44" s="64">
        <v>105</v>
      </c>
      <c r="X44" s="41">
        <v>-0.20606448226459281</v>
      </c>
      <c r="Y44" s="6">
        <v>999</v>
      </c>
      <c r="Z44" s="41">
        <v>-0.20606448226459281</v>
      </c>
      <c r="AA44" s="84">
        <v>999</v>
      </c>
      <c r="AB44" s="63">
        <v>119</v>
      </c>
      <c r="AC44" s="41">
        <v>-0.17750775272427061</v>
      </c>
      <c r="AD44" s="6">
        <v>999</v>
      </c>
      <c r="AE44" s="41">
        <v>-0.17750775272427061</v>
      </c>
      <c r="AF44" s="84">
        <v>999</v>
      </c>
      <c r="AG44" s="63">
        <v>126</v>
      </c>
      <c r="AH44" s="41">
        <v>-9.380887442218358E-2</v>
      </c>
      <c r="AI44" s="6">
        <v>999</v>
      </c>
      <c r="AJ44" s="41">
        <v>-9.380887442218358E-2</v>
      </c>
      <c r="AK44" s="84">
        <v>999</v>
      </c>
      <c r="AL44" s="95">
        <v>23</v>
      </c>
      <c r="AM44" s="41">
        <v>-0.18869364380651929</v>
      </c>
      <c r="AN44" s="6">
        <v>999</v>
      </c>
      <c r="AO44" s="41">
        <v>-0.18869364380651929</v>
      </c>
      <c r="AP44" s="84">
        <v>999</v>
      </c>
      <c r="AQ44" s="63">
        <v>119</v>
      </c>
      <c r="AR44" s="41">
        <v>-0.17750775272427061</v>
      </c>
      <c r="AS44" s="6">
        <v>999</v>
      </c>
      <c r="AT44" s="41">
        <v>-0.17750775272427061</v>
      </c>
      <c r="AU44" s="89">
        <v>999</v>
      </c>
      <c r="AV44" s="64">
        <v>126</v>
      </c>
      <c r="AW44" s="41">
        <v>-9.380887442218358E-2</v>
      </c>
      <c r="AX44" s="6">
        <v>999</v>
      </c>
      <c r="AY44" s="41">
        <v>-9.380887442218358E-2</v>
      </c>
      <c r="AZ44" s="94">
        <v>999</v>
      </c>
    </row>
    <row r="45" spans="1:52" x14ac:dyDescent="0.3">
      <c r="A45" t="s">
        <v>136</v>
      </c>
      <c r="B45" s="25" t="s">
        <v>298</v>
      </c>
      <c r="C45" s="25" t="s">
        <v>287</v>
      </c>
      <c r="D45" s="24">
        <v>3.899999976158143</v>
      </c>
      <c r="E45" s="2">
        <v>-0.22000000476837139</v>
      </c>
      <c r="F45" s="2">
        <v>-0.2292490078535834</v>
      </c>
      <c r="G45" s="15">
        <v>3.5897432448909188E-2</v>
      </c>
      <c r="H45" s="16">
        <v>0.15128199963252961</v>
      </c>
      <c r="I45" s="17">
        <v>0.48717954517743228</v>
      </c>
      <c r="J45" s="18">
        <v>123</v>
      </c>
      <c r="K45" s="19">
        <v>-6.6666634062416463E-2</v>
      </c>
      <c r="L45" s="18">
        <v>42</v>
      </c>
      <c r="M45" s="26">
        <v>11</v>
      </c>
      <c r="N45" s="28">
        <v>84</v>
      </c>
      <c r="O45" s="87">
        <v>101</v>
      </c>
      <c r="S45" s="98">
        <v>0.45728647310033432</v>
      </c>
      <c r="T45" s="6">
        <v>123</v>
      </c>
      <c r="U45" s="41">
        <v>0.45728647310033432</v>
      </c>
      <c r="V45" s="94">
        <v>123</v>
      </c>
      <c r="AL45" s="95">
        <v>11</v>
      </c>
      <c r="AM45" s="41">
        <v>0.30337088524340028</v>
      </c>
      <c r="AN45" s="6">
        <v>123</v>
      </c>
      <c r="AO45" s="41">
        <v>0.30337088524340028</v>
      </c>
      <c r="AP45" s="84">
        <v>123</v>
      </c>
      <c r="AQ45" s="63">
        <v>84</v>
      </c>
      <c r="AR45" s="41">
        <v>0.22362879130828439</v>
      </c>
      <c r="AS45" s="6">
        <v>123</v>
      </c>
      <c r="AT45" s="41">
        <v>0.22362879130828439</v>
      </c>
      <c r="AU45" s="89">
        <v>123</v>
      </c>
      <c r="AV45" s="64">
        <v>101</v>
      </c>
      <c r="AW45" s="41">
        <v>-9.9221521572568135E-3</v>
      </c>
      <c r="AX45" s="6">
        <v>999</v>
      </c>
      <c r="AY45" s="41">
        <v>-9.9221521572568135E-3</v>
      </c>
      <c r="AZ45" s="94">
        <v>999</v>
      </c>
    </row>
    <row r="46" spans="1:52" x14ac:dyDescent="0.3">
      <c r="A46" t="s">
        <v>76</v>
      </c>
      <c r="B46" s="25" t="s">
        <v>264</v>
      </c>
      <c r="C46" s="25" t="s">
        <v>291</v>
      </c>
      <c r="D46" s="24">
        <v>3.0199999809265141</v>
      </c>
      <c r="E46" s="2">
        <v>-9.3093078042636446E-2</v>
      </c>
      <c r="F46" s="2">
        <v>0.1062270915116876</v>
      </c>
      <c r="G46" s="15">
        <v>0.9039735219587457</v>
      </c>
      <c r="H46" s="16">
        <v>0.45695368316444268</v>
      </c>
      <c r="I46" s="17">
        <v>1.0397350616943599</v>
      </c>
      <c r="J46" s="18">
        <v>65</v>
      </c>
      <c r="K46" s="19">
        <v>-0.1887417009413114</v>
      </c>
      <c r="L46" s="18">
        <v>23</v>
      </c>
      <c r="M46" s="26">
        <v>37</v>
      </c>
      <c r="N46" s="28">
        <v>38</v>
      </c>
      <c r="O46" s="87">
        <v>40</v>
      </c>
      <c r="P46" s="28">
        <v>20</v>
      </c>
      <c r="S46" s="98">
        <v>-0.21562501466833031</v>
      </c>
      <c r="T46" s="6">
        <v>22</v>
      </c>
      <c r="U46" s="41">
        <v>0.92499992363155004</v>
      </c>
      <c r="V46" s="94">
        <v>65</v>
      </c>
      <c r="W46" s="64">
        <v>20</v>
      </c>
      <c r="X46" s="41">
        <v>1.324528160652011</v>
      </c>
      <c r="Y46" s="6">
        <v>65</v>
      </c>
      <c r="Z46" s="41">
        <v>1.324528160652011</v>
      </c>
      <c r="AA46" s="84">
        <v>65</v>
      </c>
      <c r="AL46" s="95">
        <v>20</v>
      </c>
      <c r="AM46" s="41">
        <v>1.324528160652011</v>
      </c>
      <c r="AN46" s="6">
        <v>65</v>
      </c>
      <c r="AO46" s="41">
        <v>1.324528160652011</v>
      </c>
      <c r="AP46" s="84">
        <v>65</v>
      </c>
      <c r="AQ46" s="63">
        <v>38</v>
      </c>
      <c r="AR46" s="41">
        <v>0.64266662597656254</v>
      </c>
      <c r="AS46" s="6">
        <v>65</v>
      </c>
      <c r="AT46" s="41">
        <v>0.64266662597656254</v>
      </c>
      <c r="AU46" s="89">
        <v>65</v>
      </c>
      <c r="AV46" s="64">
        <v>40</v>
      </c>
      <c r="AW46" s="41">
        <v>0.4597156762257455</v>
      </c>
      <c r="AX46" s="6">
        <v>65</v>
      </c>
      <c r="AY46" s="41">
        <v>0.4597156762257455</v>
      </c>
      <c r="AZ46" s="94">
        <v>65</v>
      </c>
    </row>
    <row r="47" spans="1:52" x14ac:dyDescent="0.3">
      <c r="A47" t="s">
        <v>48</v>
      </c>
      <c r="B47" s="25" t="s">
        <v>241</v>
      </c>
      <c r="C47" s="25" t="s">
        <v>361</v>
      </c>
      <c r="D47" s="24">
        <v>10.239999771118161</v>
      </c>
      <c r="E47" s="2">
        <v>-0.26542323677483243</v>
      </c>
      <c r="F47" s="2">
        <v>-5.7090230677667053E-2</v>
      </c>
      <c r="G47" s="15">
        <v>0.19335942775069451</v>
      </c>
      <c r="H47" s="16">
        <v>-9.7658487356966361E-4</v>
      </c>
      <c r="I47" s="17">
        <v>0.70996099807234936</v>
      </c>
      <c r="J47" s="18">
        <v>54</v>
      </c>
      <c r="K47" s="19">
        <v>-0.2441406304569681</v>
      </c>
      <c r="L47" s="18">
        <v>45</v>
      </c>
      <c r="M47" s="26">
        <v>10</v>
      </c>
      <c r="N47" s="28">
        <v>52</v>
      </c>
      <c r="O47" s="87">
        <v>54</v>
      </c>
      <c r="P47" s="28">
        <v>37</v>
      </c>
      <c r="Q47" s="28">
        <v>41</v>
      </c>
      <c r="S47" s="98">
        <v>-0.22522523038538181</v>
      </c>
      <c r="T47" s="6">
        <v>45</v>
      </c>
      <c r="U47" s="41">
        <v>0.75275281582133347</v>
      </c>
      <c r="V47" s="94">
        <v>54</v>
      </c>
      <c r="W47" s="64">
        <v>37</v>
      </c>
      <c r="X47" s="41">
        <v>0.25121726146104872</v>
      </c>
      <c r="Y47" s="6">
        <v>999</v>
      </c>
      <c r="Z47" s="41">
        <v>0.25121726146104872</v>
      </c>
      <c r="AA47" s="84">
        <v>999</v>
      </c>
      <c r="AB47" s="63">
        <v>41</v>
      </c>
      <c r="AC47" s="41">
        <v>0.39903306670022087</v>
      </c>
      <c r="AD47" s="6">
        <v>999</v>
      </c>
      <c r="AE47" s="41">
        <v>0.39903306670022087</v>
      </c>
      <c r="AF47" s="84">
        <v>999</v>
      </c>
      <c r="AL47" s="95">
        <v>10</v>
      </c>
      <c r="AM47" s="41">
        <v>0.54681984990581212</v>
      </c>
      <c r="AN47" s="6">
        <v>54</v>
      </c>
      <c r="AO47" s="41">
        <v>0.54681984990581212</v>
      </c>
      <c r="AP47" s="84">
        <v>54</v>
      </c>
      <c r="AQ47" s="63">
        <v>41</v>
      </c>
      <c r="AR47" s="41">
        <v>0.39903306670022087</v>
      </c>
      <c r="AS47" s="6">
        <v>999</v>
      </c>
      <c r="AT47" s="41">
        <v>0.39903306670022087</v>
      </c>
      <c r="AU47" s="89">
        <v>999</v>
      </c>
      <c r="AV47" s="64">
        <v>54</v>
      </c>
      <c r="AW47" s="41">
        <v>-0.3351310382475004</v>
      </c>
      <c r="AX47" s="6">
        <v>999</v>
      </c>
      <c r="AY47" s="41">
        <v>-0.3351310382475004</v>
      </c>
      <c r="AZ47" s="94">
        <v>999</v>
      </c>
    </row>
    <row r="48" spans="1:52" x14ac:dyDescent="0.3">
      <c r="A48" t="s">
        <v>300</v>
      </c>
      <c r="B48" s="25" t="s">
        <v>291</v>
      </c>
      <c r="C48" s="25" t="s">
        <v>278</v>
      </c>
      <c r="D48" s="24">
        <v>2.1500000953674321</v>
      </c>
      <c r="E48" s="2">
        <v>-0.62543550851943541</v>
      </c>
      <c r="F48" s="2">
        <v>-0.29042900472989408</v>
      </c>
      <c r="G48" s="15">
        <v>0.65581385342736076</v>
      </c>
      <c r="H48" s="16">
        <v>1.2372091764756501</v>
      </c>
      <c r="I48" s="17">
        <v>2.6744184860221289</v>
      </c>
      <c r="J48" s="18">
        <v>113</v>
      </c>
      <c r="K48" s="19">
        <v>-7.9069799420121933E-2</v>
      </c>
      <c r="L48" s="18">
        <v>5</v>
      </c>
      <c r="M48" s="26">
        <v>6</v>
      </c>
      <c r="N48" s="28">
        <v>6</v>
      </c>
      <c r="O48" s="87">
        <v>7</v>
      </c>
      <c r="S48" s="98">
        <v>-0.20945949864439711</v>
      </c>
      <c r="T48" s="6">
        <v>17</v>
      </c>
      <c r="U48" s="41">
        <v>1.668918916741978</v>
      </c>
      <c r="V48" s="94">
        <v>113</v>
      </c>
      <c r="AL48" s="95">
        <v>7</v>
      </c>
      <c r="AM48" s="41">
        <v>1.668918916741978</v>
      </c>
      <c r="AN48" s="6">
        <v>113</v>
      </c>
      <c r="AO48" s="41">
        <v>1.668918916741978</v>
      </c>
      <c r="AP48" s="84">
        <v>113</v>
      </c>
      <c r="AQ48" s="63">
        <v>7</v>
      </c>
      <c r="AR48" s="41">
        <v>1.668918916741978</v>
      </c>
      <c r="AS48" s="6">
        <v>113</v>
      </c>
      <c r="AT48" s="41">
        <v>1.668918916741978</v>
      </c>
      <c r="AU48" s="89">
        <v>113</v>
      </c>
      <c r="AV48" s="64">
        <v>7</v>
      </c>
      <c r="AW48" s="41">
        <v>1.668918916741978</v>
      </c>
      <c r="AX48" s="6">
        <v>113</v>
      </c>
      <c r="AY48" s="41">
        <v>1.668918916741978</v>
      </c>
      <c r="AZ48" s="94">
        <v>113</v>
      </c>
    </row>
    <row r="49" spans="1:52" x14ac:dyDescent="0.3">
      <c r="A49" t="s">
        <v>301</v>
      </c>
      <c r="B49" s="25" t="s">
        <v>244</v>
      </c>
      <c r="C49" s="25" t="s">
        <v>302</v>
      </c>
      <c r="D49" s="24">
        <v>10.989394664764401</v>
      </c>
      <c r="E49" s="2">
        <v>-0.51711162554544465</v>
      </c>
      <c r="F49" s="2">
        <v>-0.244302948907821</v>
      </c>
      <c r="G49" s="15">
        <v>0.5956594754302742</v>
      </c>
      <c r="H49" s="16">
        <v>0.23851688792941569</v>
      </c>
      <c r="I49" s="17">
        <v>0.60632073573561174</v>
      </c>
      <c r="J49" s="18">
        <v>76</v>
      </c>
      <c r="K49" s="19">
        <v>-2.217306445409517E-3</v>
      </c>
      <c r="L49" s="18">
        <v>2</v>
      </c>
      <c r="M49" s="26">
        <v>3</v>
      </c>
      <c r="N49" s="28">
        <v>6</v>
      </c>
      <c r="O49" s="87">
        <v>14</v>
      </c>
      <c r="S49" s="98">
        <v>0.31526989495309538</v>
      </c>
      <c r="T49" s="6">
        <v>76</v>
      </c>
      <c r="U49" s="41">
        <v>0.31526989495309538</v>
      </c>
      <c r="V49" s="94">
        <v>76</v>
      </c>
      <c r="AL49" s="95">
        <v>7</v>
      </c>
      <c r="AM49" s="41">
        <v>0.31526989495309538</v>
      </c>
      <c r="AN49" s="6">
        <v>76</v>
      </c>
      <c r="AO49" s="41">
        <v>0.31526989495309538</v>
      </c>
      <c r="AP49" s="84">
        <v>76</v>
      </c>
      <c r="AQ49" s="63">
        <v>7</v>
      </c>
      <c r="AR49" s="41">
        <v>0.31526989495309538</v>
      </c>
      <c r="AS49" s="6">
        <v>76</v>
      </c>
      <c r="AT49" s="41">
        <v>0.31526989495309538</v>
      </c>
      <c r="AU49" s="89">
        <v>76</v>
      </c>
      <c r="AV49" s="64">
        <v>14</v>
      </c>
      <c r="AW49" s="41">
        <v>0.2163376067943599</v>
      </c>
      <c r="AX49" s="6">
        <v>76</v>
      </c>
      <c r="AY49" s="41">
        <v>0.2163376067943599</v>
      </c>
      <c r="AZ49" s="94">
        <v>76</v>
      </c>
    </row>
    <row r="50" spans="1:52" x14ac:dyDescent="0.3">
      <c r="A50" t="s">
        <v>303</v>
      </c>
      <c r="B50" s="25" t="s">
        <v>316</v>
      </c>
      <c r="C50" s="25" t="s">
        <v>317</v>
      </c>
      <c r="D50" s="24">
        <v>58.167457580566413</v>
      </c>
      <c r="E50" s="2">
        <v>-3.5931693390334973E-2</v>
      </c>
      <c r="F50" s="2">
        <v>5.2650000165681998E-2</v>
      </c>
      <c r="G50" s="15">
        <v>-2.285055662125168E-2</v>
      </c>
      <c r="H50" s="16">
        <v>-7.0764317216729933E-2</v>
      </c>
      <c r="I50" s="17">
        <v>7.5934812191562839E-2</v>
      </c>
      <c r="J50" s="18">
        <v>89</v>
      </c>
      <c r="K50" s="19">
        <v>-0.18551394422310771</v>
      </c>
      <c r="L50" s="18">
        <v>52</v>
      </c>
      <c r="P50" s="28">
        <v>25</v>
      </c>
      <c r="S50" s="98">
        <v>0.17378271574624221</v>
      </c>
      <c r="T50" s="6">
        <v>89</v>
      </c>
      <c r="U50" s="41">
        <v>0.17378271574624221</v>
      </c>
      <c r="V50" s="94">
        <v>89</v>
      </c>
      <c r="W50" s="64">
        <v>25</v>
      </c>
      <c r="X50" s="41">
        <v>0.22318391057747181</v>
      </c>
      <c r="Y50" s="6">
        <v>89</v>
      </c>
      <c r="Z50" s="41">
        <v>0.22318391057747181</v>
      </c>
      <c r="AA50" s="84">
        <v>89</v>
      </c>
      <c r="AL50" s="95">
        <v>25</v>
      </c>
      <c r="AM50" s="41">
        <v>0.22318391057747181</v>
      </c>
      <c r="AN50" s="6">
        <v>89</v>
      </c>
      <c r="AO50" s="41">
        <v>0.22318391057747181</v>
      </c>
      <c r="AP50" s="84">
        <v>89</v>
      </c>
    </row>
    <row r="51" spans="1:52" x14ac:dyDescent="0.3">
      <c r="A51" t="s">
        <v>49</v>
      </c>
      <c r="B51" s="25" t="s">
        <v>233</v>
      </c>
      <c r="C51" s="25" t="s">
        <v>242</v>
      </c>
      <c r="D51" s="24">
        <v>12.310000419616699</v>
      </c>
      <c r="E51" s="2">
        <v>-0.51189529124616939</v>
      </c>
      <c r="F51" s="2">
        <v>8.1900394068226134E-3</v>
      </c>
      <c r="I51" s="17">
        <v>0.29894388513888009</v>
      </c>
      <c r="J51" s="18">
        <v>24</v>
      </c>
      <c r="K51" s="19">
        <v>0</v>
      </c>
      <c r="L51" s="18">
        <v>0</v>
      </c>
      <c r="M51" s="26">
        <v>7</v>
      </c>
      <c r="N51" s="28">
        <v>15</v>
      </c>
      <c r="S51" s="98">
        <v>6.2806684847697539E-2</v>
      </c>
      <c r="T51" s="6">
        <v>999</v>
      </c>
      <c r="U51" s="41">
        <v>6.2806684847697539E-2</v>
      </c>
      <c r="V51" s="94">
        <v>999</v>
      </c>
      <c r="AL51" s="95">
        <v>7</v>
      </c>
      <c r="AM51" s="41">
        <v>6.2806684847697539E-2</v>
      </c>
      <c r="AN51" s="6">
        <v>999</v>
      </c>
      <c r="AO51" s="41">
        <v>6.2806684847697539E-2</v>
      </c>
      <c r="AP51" s="84">
        <v>999</v>
      </c>
      <c r="AQ51" s="63">
        <v>15</v>
      </c>
      <c r="AR51" s="41">
        <v>-2.503337378855215E-3</v>
      </c>
      <c r="AS51" s="6">
        <v>999</v>
      </c>
      <c r="AT51" s="41">
        <v>-2.503337378855215E-3</v>
      </c>
      <c r="AU51" s="89">
        <v>999</v>
      </c>
    </row>
    <row r="52" spans="1:52" x14ac:dyDescent="0.3">
      <c r="A52" t="s">
        <v>140</v>
      </c>
      <c r="B52" s="25" t="s">
        <v>240</v>
      </c>
      <c r="C52" s="25" t="s">
        <v>241</v>
      </c>
      <c r="D52" s="24">
        <v>84.397743225097656</v>
      </c>
      <c r="E52" s="2">
        <v>0.39146860806610939</v>
      </c>
      <c r="F52" s="2">
        <v>7.8325696211514417E-2</v>
      </c>
      <c r="G52" s="15">
        <v>0.12334791846201031</v>
      </c>
      <c r="H52" s="16">
        <v>0.15467872022705101</v>
      </c>
      <c r="I52" s="17">
        <v>0.23801445664286239</v>
      </c>
      <c r="J52" s="18">
        <v>137</v>
      </c>
      <c r="K52" s="19">
        <v>-4.376514902441031E-2</v>
      </c>
      <c r="L52" s="18">
        <v>10</v>
      </c>
      <c r="M52" s="26">
        <v>27</v>
      </c>
      <c r="N52" s="28">
        <v>106</v>
      </c>
      <c r="S52" s="98">
        <v>0.24045608101223051</v>
      </c>
      <c r="T52" s="6">
        <v>137</v>
      </c>
      <c r="U52" s="41">
        <v>0.24045608101223051</v>
      </c>
      <c r="V52" s="94">
        <v>137</v>
      </c>
      <c r="AL52" s="95">
        <v>27</v>
      </c>
      <c r="AM52" s="41">
        <v>9.9735736886477744E-2</v>
      </c>
      <c r="AN52" s="6">
        <v>137</v>
      </c>
      <c r="AO52" s="41">
        <v>9.9735736886477744E-2</v>
      </c>
      <c r="AP52" s="84">
        <v>137</v>
      </c>
      <c r="AQ52" s="63">
        <v>106</v>
      </c>
      <c r="AR52" s="41">
        <v>2.3969233534525399E-2</v>
      </c>
      <c r="AS52" s="6">
        <v>137</v>
      </c>
      <c r="AT52" s="41">
        <v>2.3969233534525399E-2</v>
      </c>
      <c r="AU52" s="89">
        <v>137</v>
      </c>
    </row>
    <row r="53" spans="1:52" x14ac:dyDescent="0.3">
      <c r="A53" t="s">
        <v>304</v>
      </c>
      <c r="B53" s="25" t="s">
        <v>258</v>
      </c>
      <c r="C53" s="25" t="s">
        <v>305</v>
      </c>
      <c r="T53" s="6">
        <v>999</v>
      </c>
      <c r="V53" s="94">
        <v>999</v>
      </c>
    </row>
    <row r="54" spans="1:52" x14ac:dyDescent="0.3">
      <c r="A54" t="s">
        <v>306</v>
      </c>
      <c r="B54" s="25" t="s">
        <v>250</v>
      </c>
      <c r="C54" s="25" t="s">
        <v>269</v>
      </c>
      <c r="D54" s="24">
        <v>66.56781005859375</v>
      </c>
      <c r="E54" s="2">
        <v>0.2948253367795024</v>
      </c>
      <c r="F54" s="2">
        <v>4.3069534514056373E-2</v>
      </c>
      <c r="G54" s="15">
        <v>-0.13421362503174719</v>
      </c>
      <c r="H54" s="16">
        <v>-0.14832663547417271</v>
      </c>
      <c r="I54" s="17">
        <v>2.7317729751239469E-2</v>
      </c>
      <c r="J54" s="18">
        <v>25</v>
      </c>
      <c r="K54" s="19">
        <v>-0.16914696047392061</v>
      </c>
      <c r="L54" s="18">
        <v>148</v>
      </c>
      <c r="P54" s="28">
        <v>51</v>
      </c>
      <c r="S54" s="98">
        <v>-4.7419434491145262E-3</v>
      </c>
      <c r="T54" s="6">
        <v>999</v>
      </c>
      <c r="U54" s="41">
        <v>-4.7419434491145262E-3</v>
      </c>
      <c r="V54" s="94">
        <v>999</v>
      </c>
      <c r="W54" s="97">
        <v>51</v>
      </c>
      <c r="X54" s="41">
        <v>0.1356701518255963</v>
      </c>
      <c r="Y54" s="6">
        <v>131</v>
      </c>
      <c r="Z54" s="41">
        <v>0.1356701518255963</v>
      </c>
      <c r="AA54" s="84">
        <v>131</v>
      </c>
      <c r="AB54" s="91"/>
      <c r="AG54" s="91"/>
      <c r="AL54" s="93">
        <v>51</v>
      </c>
      <c r="AM54" s="41">
        <v>0.1356701518255963</v>
      </c>
      <c r="AN54" s="6">
        <v>131</v>
      </c>
      <c r="AO54" s="41">
        <v>0.1356701518255963</v>
      </c>
      <c r="AP54" s="84">
        <v>131</v>
      </c>
      <c r="AQ54" s="91"/>
      <c r="AV54" s="97"/>
    </row>
    <row r="55" spans="1:52" x14ac:dyDescent="0.3">
      <c r="A55" t="s">
        <v>307</v>
      </c>
      <c r="B55" s="25" t="s">
        <v>240</v>
      </c>
      <c r="C55" s="25" t="s">
        <v>241</v>
      </c>
      <c r="D55" s="24">
        <v>14.189999580383301</v>
      </c>
      <c r="E55" s="2">
        <v>2.512376166923223</v>
      </c>
      <c r="F55" s="2">
        <v>-0.100190287350469</v>
      </c>
      <c r="G55" s="15">
        <v>-0.41437627446411601</v>
      </c>
      <c r="H55" s="16">
        <v>-0.21141649673811791</v>
      </c>
      <c r="I55" s="17">
        <v>0</v>
      </c>
      <c r="J55" s="18">
        <v>0</v>
      </c>
      <c r="K55" s="19">
        <v>-0.48696261979651861</v>
      </c>
      <c r="L55" s="18">
        <v>66</v>
      </c>
      <c r="P55" s="28">
        <v>7</v>
      </c>
      <c r="Q55" s="28">
        <v>14</v>
      </c>
      <c r="R55" s="28">
        <v>40</v>
      </c>
      <c r="S55" s="98">
        <v>0.1112877286980016</v>
      </c>
      <c r="T55" s="6">
        <v>26</v>
      </c>
      <c r="U55" s="41">
        <v>0.1112877286980016</v>
      </c>
      <c r="V55" s="94">
        <v>26</v>
      </c>
      <c r="W55" s="64">
        <v>7</v>
      </c>
      <c r="X55" s="41">
        <v>-0.2114191343031866</v>
      </c>
      <c r="Y55" s="6">
        <v>999</v>
      </c>
      <c r="Z55" s="41">
        <v>-0.2114191343031866</v>
      </c>
      <c r="AA55" s="84">
        <v>999</v>
      </c>
      <c r="AB55" s="63">
        <v>14</v>
      </c>
      <c r="AC55" s="41">
        <v>-0.13320686990030381</v>
      </c>
      <c r="AD55" s="6">
        <v>999</v>
      </c>
      <c r="AE55" s="41">
        <v>-0.13320686990030381</v>
      </c>
      <c r="AF55" s="84">
        <v>999</v>
      </c>
      <c r="AG55" s="63">
        <v>40</v>
      </c>
      <c r="AH55" s="41">
        <v>0.22680410850768909</v>
      </c>
      <c r="AI55" s="6">
        <v>102</v>
      </c>
      <c r="AJ55" s="41">
        <v>0.22680410850768909</v>
      </c>
      <c r="AK55" s="84">
        <v>102</v>
      </c>
      <c r="AL55" s="95">
        <v>7</v>
      </c>
      <c r="AM55" s="41">
        <v>-0.2114191343031866</v>
      </c>
      <c r="AN55" s="6">
        <v>999</v>
      </c>
      <c r="AO55" s="41">
        <v>-0.2114191343031866</v>
      </c>
      <c r="AP55" s="84">
        <v>999</v>
      </c>
      <c r="AQ55" s="63">
        <v>14</v>
      </c>
      <c r="AR55" s="41">
        <v>-0.13320686990030381</v>
      </c>
      <c r="AS55" s="6">
        <v>999</v>
      </c>
      <c r="AT55" s="41">
        <v>-0.13320686990030381</v>
      </c>
      <c r="AU55" s="89">
        <v>999</v>
      </c>
      <c r="AV55" s="64">
        <v>40</v>
      </c>
      <c r="AW55" s="41">
        <v>0.22680410850768909</v>
      </c>
      <c r="AX55" s="6">
        <v>102</v>
      </c>
      <c r="AY55" s="41">
        <v>0.22680410850768909</v>
      </c>
      <c r="AZ55" s="94">
        <v>102</v>
      </c>
    </row>
    <row r="56" spans="1:52" x14ac:dyDescent="0.3">
      <c r="A56" t="s">
        <v>50</v>
      </c>
      <c r="B56" s="25" t="s">
        <v>237</v>
      </c>
      <c r="C56" s="25" t="s">
        <v>235</v>
      </c>
      <c r="D56" s="24">
        <v>1.4099999666213989</v>
      </c>
      <c r="E56" s="2">
        <v>-0.64837908076265405</v>
      </c>
      <c r="F56" s="2">
        <v>-0.1896551960383053</v>
      </c>
      <c r="G56" s="15">
        <v>-0.46099290180527669</v>
      </c>
      <c r="I56" s="17">
        <v>3.5461044474619952E-2</v>
      </c>
      <c r="J56" s="18">
        <v>117</v>
      </c>
      <c r="K56" s="19">
        <v>-0.59574467635395756</v>
      </c>
      <c r="L56" s="18">
        <v>45</v>
      </c>
      <c r="P56" s="28">
        <v>5</v>
      </c>
      <c r="Q56" s="28">
        <v>5</v>
      </c>
      <c r="R56" s="28">
        <v>8</v>
      </c>
      <c r="S56" s="98">
        <v>-0.35643566109341612</v>
      </c>
      <c r="T56" s="6">
        <v>9</v>
      </c>
      <c r="U56" s="41">
        <v>-0.35643566109341612</v>
      </c>
      <c r="V56" s="94">
        <v>9</v>
      </c>
      <c r="W56" s="97">
        <v>7</v>
      </c>
      <c r="X56" s="41">
        <v>0.44554460587402023</v>
      </c>
      <c r="Y56" s="6">
        <v>117</v>
      </c>
      <c r="Z56" s="41">
        <v>0.44554460587402023</v>
      </c>
      <c r="AA56" s="84">
        <v>117</v>
      </c>
      <c r="AB56" s="91">
        <v>7</v>
      </c>
      <c r="AC56" s="41">
        <v>0.44554460587402023</v>
      </c>
      <c r="AD56" s="6">
        <v>117</v>
      </c>
      <c r="AE56" s="41">
        <v>0.44554460587402023</v>
      </c>
      <c r="AF56" s="84">
        <v>117</v>
      </c>
      <c r="AG56" s="91">
        <v>8</v>
      </c>
      <c r="AH56" s="41">
        <v>0.53684216470269397</v>
      </c>
      <c r="AI56" s="6">
        <v>117</v>
      </c>
      <c r="AJ56" s="41">
        <v>0.53684216470269397</v>
      </c>
      <c r="AK56" s="84">
        <v>117</v>
      </c>
      <c r="AL56" s="93">
        <v>7</v>
      </c>
      <c r="AM56" s="41">
        <v>0.44554460587402023</v>
      </c>
      <c r="AN56" s="6">
        <v>117</v>
      </c>
      <c r="AO56" s="41">
        <v>0.44554460587402023</v>
      </c>
      <c r="AP56" s="84">
        <v>117</v>
      </c>
      <c r="AQ56" s="91">
        <v>7</v>
      </c>
      <c r="AR56" s="41">
        <v>0.44554460587402023</v>
      </c>
      <c r="AS56" s="6">
        <v>117</v>
      </c>
      <c r="AT56" s="41">
        <v>0.44554460587402023</v>
      </c>
      <c r="AU56" s="89">
        <v>117</v>
      </c>
      <c r="AV56" s="97">
        <v>8</v>
      </c>
      <c r="AW56" s="41">
        <v>0.53684216470269397</v>
      </c>
      <c r="AX56" s="6">
        <v>117</v>
      </c>
      <c r="AY56" s="41">
        <v>0.53684216470269397</v>
      </c>
      <c r="AZ56" s="94">
        <v>117</v>
      </c>
    </row>
    <row r="57" spans="1:52" x14ac:dyDescent="0.3">
      <c r="A57" t="s">
        <v>308</v>
      </c>
      <c r="B57" s="25" t="s">
        <v>263</v>
      </c>
      <c r="C57" s="25" t="s">
        <v>264</v>
      </c>
      <c r="T57" s="6">
        <v>999</v>
      </c>
      <c r="V57" s="94">
        <v>999</v>
      </c>
      <c r="W57" s="97"/>
      <c r="AB57" s="91"/>
      <c r="AG57" s="91"/>
      <c r="AL57" s="93"/>
      <c r="AQ57" s="91"/>
      <c r="AV57" s="97"/>
    </row>
    <row r="58" spans="1:52" x14ac:dyDescent="0.3">
      <c r="A58" t="s">
        <v>144</v>
      </c>
      <c r="B58" s="25" t="s">
        <v>233</v>
      </c>
      <c r="C58" s="25" t="s">
        <v>242</v>
      </c>
      <c r="D58" s="24">
        <v>2.160000085830688</v>
      </c>
      <c r="E58" s="2">
        <v>-0.65822784380354293</v>
      </c>
      <c r="F58" s="2">
        <v>8.0000042915344016E-2</v>
      </c>
      <c r="I58" s="17">
        <v>0.14814811135515901</v>
      </c>
      <c r="J58" s="18">
        <v>37</v>
      </c>
      <c r="K58" s="19">
        <v>-5.555561074503923E-2</v>
      </c>
      <c r="L58" s="18">
        <v>19</v>
      </c>
      <c r="M58" s="26">
        <v>35</v>
      </c>
      <c r="S58" s="98">
        <v>0.19230774521122471</v>
      </c>
      <c r="T58" s="6">
        <v>37</v>
      </c>
      <c r="U58" s="41">
        <v>0.19230774521122471</v>
      </c>
      <c r="V58" s="94">
        <v>37</v>
      </c>
      <c r="AL58" s="95">
        <v>35</v>
      </c>
      <c r="AM58" s="41">
        <v>-1.506280633419281E-2</v>
      </c>
      <c r="AN58" s="6">
        <v>999</v>
      </c>
      <c r="AO58" s="41">
        <v>-1.506280633419281E-2</v>
      </c>
      <c r="AP58" s="84">
        <v>999</v>
      </c>
    </row>
    <row r="59" spans="1:52" x14ac:dyDescent="0.3">
      <c r="A59" t="s">
        <v>309</v>
      </c>
      <c r="B59" s="25" t="s">
        <v>244</v>
      </c>
      <c r="C59" s="25" t="s">
        <v>302</v>
      </c>
      <c r="D59" s="24">
        <v>2.254999995231628</v>
      </c>
      <c r="E59" s="2">
        <v>-0.5847145365524673</v>
      </c>
      <c r="F59" s="2">
        <v>0.13888887550961981</v>
      </c>
      <c r="G59" s="15">
        <v>-0.38359202277864868</v>
      </c>
      <c r="H59" s="16">
        <v>-0.40133036510131392</v>
      </c>
      <c r="I59" s="17">
        <v>2.2172927903332251E-3</v>
      </c>
      <c r="J59" s="18">
        <v>1</v>
      </c>
      <c r="K59" s="19">
        <v>-0.56541019017925853</v>
      </c>
      <c r="L59" s="18">
        <v>85</v>
      </c>
      <c r="P59" s="28">
        <v>8</v>
      </c>
      <c r="Q59" s="28">
        <v>9</v>
      </c>
      <c r="R59" s="28">
        <v>35</v>
      </c>
      <c r="S59" s="98">
        <v>-0.21359220885097729</v>
      </c>
      <c r="T59" s="6">
        <v>10</v>
      </c>
      <c r="U59" s="41">
        <v>-0.31067961333597821</v>
      </c>
      <c r="V59" s="94">
        <v>46</v>
      </c>
      <c r="W59" s="64">
        <v>8</v>
      </c>
      <c r="X59" s="41">
        <v>-0.1834435958414907</v>
      </c>
      <c r="Y59" s="6">
        <v>999</v>
      </c>
      <c r="Z59" s="41">
        <v>-0.1834435958414907</v>
      </c>
      <c r="AA59" s="84">
        <v>999</v>
      </c>
      <c r="AB59" s="63">
        <v>9</v>
      </c>
      <c r="AC59" s="41">
        <v>-0.1128003584385214</v>
      </c>
      <c r="AD59" s="6">
        <v>999</v>
      </c>
      <c r="AE59" s="41">
        <v>-0.1128003584385214</v>
      </c>
      <c r="AF59" s="84">
        <v>999</v>
      </c>
      <c r="AG59" s="63">
        <v>35</v>
      </c>
      <c r="AH59" s="41">
        <v>0.25165562757059812</v>
      </c>
      <c r="AI59" s="6">
        <v>126</v>
      </c>
      <c r="AJ59" s="41">
        <v>0.25165562757059812</v>
      </c>
      <c r="AK59" s="84">
        <v>126</v>
      </c>
      <c r="AL59" s="95">
        <v>8</v>
      </c>
      <c r="AM59" s="41">
        <v>-0.1834435958414907</v>
      </c>
      <c r="AN59" s="6">
        <v>999</v>
      </c>
      <c r="AO59" s="41">
        <v>-0.1834435958414907</v>
      </c>
      <c r="AP59" s="84">
        <v>999</v>
      </c>
      <c r="AQ59" s="63">
        <v>9</v>
      </c>
      <c r="AR59" s="41">
        <v>-0.1128003584385214</v>
      </c>
      <c r="AS59" s="6">
        <v>999</v>
      </c>
      <c r="AT59" s="41">
        <v>-0.1128003584385214</v>
      </c>
      <c r="AU59" s="89">
        <v>999</v>
      </c>
      <c r="AV59" s="64">
        <v>35</v>
      </c>
      <c r="AW59" s="41">
        <v>0.25165562757059812</v>
      </c>
      <c r="AX59" s="6">
        <v>126</v>
      </c>
      <c r="AY59" s="41">
        <v>0.25165562757059812</v>
      </c>
      <c r="AZ59" s="94">
        <v>126</v>
      </c>
    </row>
    <row r="60" spans="1:52" x14ac:dyDescent="0.3">
      <c r="A60" t="s">
        <v>310</v>
      </c>
      <c r="B60" s="25" t="s">
        <v>327</v>
      </c>
      <c r="C60" s="25" t="s">
        <v>332</v>
      </c>
      <c r="D60" s="24">
        <v>28.995953559875481</v>
      </c>
      <c r="E60" s="2">
        <v>-0.2475752462839631</v>
      </c>
      <c r="F60" s="2">
        <v>-0.19507133480797231</v>
      </c>
      <c r="G60" s="15">
        <v>0.20048804680339541</v>
      </c>
      <c r="H60" s="16">
        <v>-3.5047916159408048E-2</v>
      </c>
      <c r="I60" s="17">
        <v>0.29165335310499318</v>
      </c>
      <c r="J60" s="18">
        <v>42</v>
      </c>
      <c r="K60" s="19">
        <v>-4.6120436076797833E-2</v>
      </c>
      <c r="L60" s="18">
        <v>147</v>
      </c>
      <c r="M60" s="26">
        <v>16</v>
      </c>
      <c r="N60" s="28">
        <v>25</v>
      </c>
      <c r="S60" s="98">
        <v>0.26875604219173371</v>
      </c>
      <c r="T60" s="6">
        <v>42</v>
      </c>
      <c r="U60" s="41">
        <v>0.26875604219173371</v>
      </c>
      <c r="V60" s="94">
        <v>42</v>
      </c>
      <c r="AL60" s="95">
        <v>16</v>
      </c>
      <c r="AM60" s="41">
        <v>0.1577123250535373</v>
      </c>
      <c r="AN60" s="6">
        <v>42</v>
      </c>
      <c r="AO60" s="41">
        <v>0.1577123250535373</v>
      </c>
      <c r="AP60" s="84">
        <v>42</v>
      </c>
      <c r="AQ60" s="63">
        <v>25</v>
      </c>
      <c r="AR60" s="41">
        <v>-7.2614278139982363E-2</v>
      </c>
      <c r="AS60" s="6">
        <v>999</v>
      </c>
      <c r="AT60" s="41">
        <v>-7.2614278139982363E-2</v>
      </c>
      <c r="AU60" s="89">
        <v>999</v>
      </c>
    </row>
    <row r="61" spans="1:52" x14ac:dyDescent="0.3">
      <c r="A61" t="s">
        <v>311</v>
      </c>
      <c r="B61" s="25" t="s">
        <v>277</v>
      </c>
      <c r="C61" s="25" t="s">
        <v>271</v>
      </c>
      <c r="D61" s="24">
        <v>83.05999755859375</v>
      </c>
      <c r="E61" s="2">
        <v>-0.28310031830629312</v>
      </c>
      <c r="F61" s="2">
        <v>-8.8854824244400388E-2</v>
      </c>
      <c r="G61" s="15">
        <v>-4.1656623960671817E-2</v>
      </c>
      <c r="H61" s="16">
        <v>-3.9489512108196727E-2</v>
      </c>
      <c r="I61" s="17">
        <v>0.19239108869056579</v>
      </c>
      <c r="J61" s="18">
        <v>31</v>
      </c>
      <c r="K61" s="19">
        <v>-0.20286538609918031</v>
      </c>
      <c r="L61" s="18">
        <v>98</v>
      </c>
      <c r="M61" s="26">
        <v>12</v>
      </c>
      <c r="P61" s="28">
        <v>59</v>
      </c>
      <c r="Q61" s="28">
        <v>98</v>
      </c>
      <c r="S61" s="98">
        <v>0.1895267640454483</v>
      </c>
      <c r="T61" s="6">
        <v>31</v>
      </c>
      <c r="U61" s="41">
        <v>0.1895267640454483</v>
      </c>
      <c r="V61" s="94">
        <v>31</v>
      </c>
      <c r="W61" s="64">
        <v>59</v>
      </c>
      <c r="X61" s="41">
        <v>1.174616060629729E-2</v>
      </c>
      <c r="Y61" s="6">
        <v>999</v>
      </c>
      <c r="Z61" s="41">
        <v>1.174616060629729E-2</v>
      </c>
      <c r="AA61" s="84">
        <v>999</v>
      </c>
      <c r="AB61" s="63">
        <v>98</v>
      </c>
      <c r="AC61" s="41">
        <v>0.23123391889887809</v>
      </c>
      <c r="AD61" s="6">
        <v>148</v>
      </c>
      <c r="AE61" s="41">
        <v>0.23123391889887809</v>
      </c>
      <c r="AF61" s="84">
        <v>148</v>
      </c>
      <c r="AL61" s="95">
        <v>12</v>
      </c>
      <c r="AM61" s="41">
        <v>-0.13066919892636261</v>
      </c>
      <c r="AN61" s="6">
        <v>999</v>
      </c>
      <c r="AO61" s="41">
        <v>-0.13066919892636261</v>
      </c>
      <c r="AP61" s="84">
        <v>999</v>
      </c>
      <c r="AQ61" s="63">
        <v>98</v>
      </c>
      <c r="AR61" s="41">
        <v>0.23123391889887809</v>
      </c>
      <c r="AS61" s="6">
        <v>148</v>
      </c>
      <c r="AT61" s="41">
        <v>0.23123391889887809</v>
      </c>
      <c r="AU61" s="89">
        <v>148</v>
      </c>
    </row>
    <row r="62" spans="1:52" x14ac:dyDescent="0.3">
      <c r="A62" t="s">
        <v>312</v>
      </c>
      <c r="B62" s="25" t="s">
        <v>313</v>
      </c>
      <c r="C62" s="25" t="s">
        <v>277</v>
      </c>
      <c r="D62" s="24">
        <v>107.6930618286133</v>
      </c>
      <c r="E62" s="2">
        <v>-0.51035152870571698</v>
      </c>
      <c r="F62" s="2">
        <v>-0.24888891466696481</v>
      </c>
      <c r="G62" s="15">
        <v>-0.44954672313396332</v>
      </c>
      <c r="H62" s="16">
        <v>-0.67769512264669907</v>
      </c>
      <c r="I62" s="17">
        <v>2.7218856941052971E-2</v>
      </c>
      <c r="J62" s="18">
        <v>1</v>
      </c>
      <c r="K62" s="19">
        <v>-0.74891603547719909</v>
      </c>
      <c r="L62" s="18">
        <v>94</v>
      </c>
      <c r="P62" s="28">
        <v>8</v>
      </c>
      <c r="Q62" s="28">
        <v>11</v>
      </c>
      <c r="R62" s="28">
        <v>43</v>
      </c>
      <c r="S62" s="98">
        <v>-0.22825943021913861</v>
      </c>
      <c r="T62" s="6">
        <v>37</v>
      </c>
      <c r="U62" s="41">
        <v>-0.30248987604136041</v>
      </c>
      <c r="V62" s="94">
        <v>44</v>
      </c>
      <c r="W62" s="64">
        <v>8</v>
      </c>
      <c r="X62" s="41">
        <v>-0.37902869497214248</v>
      </c>
      <c r="Y62" s="6">
        <v>999</v>
      </c>
      <c r="Z62" s="41">
        <v>-0.37902869497214248</v>
      </c>
      <c r="AA62" s="84">
        <v>999</v>
      </c>
      <c r="AB62" s="63">
        <v>11</v>
      </c>
      <c r="AC62" s="41">
        <v>-0.32502263552663369</v>
      </c>
      <c r="AD62" s="6">
        <v>999</v>
      </c>
      <c r="AE62" s="41">
        <v>-0.32502263552663369</v>
      </c>
      <c r="AF62" s="84">
        <v>999</v>
      </c>
      <c r="AG62" s="63">
        <v>43</v>
      </c>
      <c r="AH62" s="41">
        <v>-0.34443472945874432</v>
      </c>
      <c r="AI62" s="6">
        <v>999</v>
      </c>
      <c r="AJ62" s="41">
        <v>-0.34443472945874432</v>
      </c>
      <c r="AK62" s="84">
        <v>999</v>
      </c>
      <c r="AL62" s="95">
        <v>8</v>
      </c>
      <c r="AM62" s="41">
        <v>-0.37902869497214248</v>
      </c>
      <c r="AN62" s="6">
        <v>999</v>
      </c>
      <c r="AO62" s="41">
        <v>-0.37902869497214248</v>
      </c>
      <c r="AP62" s="84">
        <v>999</v>
      </c>
      <c r="AQ62" s="63">
        <v>11</v>
      </c>
      <c r="AR62" s="41">
        <v>-0.32502263552663369</v>
      </c>
      <c r="AS62" s="6">
        <v>999</v>
      </c>
      <c r="AT62" s="41">
        <v>-0.32502263552663369</v>
      </c>
      <c r="AU62" s="89">
        <v>999</v>
      </c>
      <c r="AV62" s="64">
        <v>43</v>
      </c>
      <c r="AW62" s="41">
        <v>-0.34443472945874432</v>
      </c>
      <c r="AX62" s="6">
        <v>999</v>
      </c>
      <c r="AY62" s="41">
        <v>-0.34443472945874432</v>
      </c>
      <c r="AZ62" s="94">
        <v>999</v>
      </c>
    </row>
    <row r="63" spans="1:52" x14ac:dyDescent="0.3">
      <c r="A63" t="s">
        <v>314</v>
      </c>
      <c r="B63" s="25" t="s">
        <v>249</v>
      </c>
      <c r="C63" s="25" t="s">
        <v>250</v>
      </c>
      <c r="D63" s="24">
        <v>143.32958984375</v>
      </c>
      <c r="E63" s="2">
        <v>0.47811769285972189</v>
      </c>
      <c r="F63" s="2">
        <v>-1.212624299959042E-2</v>
      </c>
      <c r="G63" s="15">
        <v>-8.9296481898487046E-2</v>
      </c>
      <c r="H63" s="16">
        <v>0.1096648358480474</v>
      </c>
      <c r="I63" s="17">
        <v>0.1096648358480474</v>
      </c>
      <c r="J63" s="18">
        <v>150</v>
      </c>
      <c r="K63" s="19">
        <v>-0.1232209561591474</v>
      </c>
      <c r="L63" s="18">
        <v>96</v>
      </c>
      <c r="M63" s="26">
        <v>150</v>
      </c>
      <c r="P63" s="28">
        <v>74</v>
      </c>
      <c r="S63" s="98">
        <v>0.1056380091390479</v>
      </c>
      <c r="T63" s="6">
        <v>150</v>
      </c>
      <c r="U63" s="41">
        <v>0.1056380091390479</v>
      </c>
      <c r="V63" s="94">
        <v>150</v>
      </c>
      <c r="W63" s="97">
        <v>74</v>
      </c>
      <c r="X63" s="41">
        <v>0.25739402403032519</v>
      </c>
      <c r="Y63" s="6">
        <v>150</v>
      </c>
      <c r="Z63" s="41">
        <v>0.25739402403032519</v>
      </c>
      <c r="AA63" s="84">
        <v>150</v>
      </c>
      <c r="AB63" s="91"/>
      <c r="AG63" s="91"/>
      <c r="AL63" s="93">
        <v>74</v>
      </c>
      <c r="AM63" s="41">
        <v>0.25739402403032519</v>
      </c>
      <c r="AN63" s="6">
        <v>150</v>
      </c>
      <c r="AO63" s="41">
        <v>0.25739402403032519</v>
      </c>
      <c r="AP63" s="84">
        <v>150</v>
      </c>
      <c r="AQ63" s="91"/>
      <c r="AV63" s="97"/>
    </row>
    <row r="64" spans="1:52" x14ac:dyDescent="0.3">
      <c r="A64" t="s">
        <v>19</v>
      </c>
      <c r="B64" s="25" t="s">
        <v>238</v>
      </c>
      <c r="C64" s="25" t="s">
        <v>236</v>
      </c>
      <c r="D64" s="24">
        <v>8.9151611328125</v>
      </c>
      <c r="E64" s="2">
        <v>-0.4893154882836549</v>
      </c>
      <c r="F64" s="2">
        <v>-0.17901230556240111</v>
      </c>
      <c r="G64" s="15">
        <v>-0.37457649709720259</v>
      </c>
      <c r="H64" s="16">
        <v>0.37406377938740021</v>
      </c>
      <c r="I64" s="17">
        <v>0.4099576561280518</v>
      </c>
      <c r="J64" s="18">
        <v>144</v>
      </c>
      <c r="K64" s="19">
        <v>-0.49922380978461789</v>
      </c>
      <c r="L64" s="18">
        <v>53</v>
      </c>
      <c r="M64" s="26">
        <v>131</v>
      </c>
      <c r="N64" s="28">
        <v>132</v>
      </c>
      <c r="O64" s="87">
        <v>136</v>
      </c>
      <c r="P64" s="28">
        <v>12</v>
      </c>
      <c r="Q64" s="28">
        <v>13</v>
      </c>
      <c r="R64" s="28">
        <v>19</v>
      </c>
      <c r="S64" s="98">
        <v>-0.2195676045831404</v>
      </c>
      <c r="T64" s="6">
        <v>13</v>
      </c>
      <c r="U64" s="41">
        <v>-0.32081908768641332</v>
      </c>
      <c r="V64" s="94">
        <v>19</v>
      </c>
      <c r="W64" s="64">
        <v>12</v>
      </c>
      <c r="X64" s="41">
        <v>0.75725658604585822</v>
      </c>
      <c r="Y64" s="6">
        <v>144</v>
      </c>
      <c r="Z64" s="41">
        <v>0.75725658604585822</v>
      </c>
      <c r="AA64" s="84">
        <v>144</v>
      </c>
      <c r="AB64" s="63">
        <v>13</v>
      </c>
      <c r="AC64" s="41">
        <v>0.91351397650898347</v>
      </c>
      <c r="AD64" s="6">
        <v>144</v>
      </c>
      <c r="AE64" s="41">
        <v>0.91351397650898347</v>
      </c>
      <c r="AF64" s="84">
        <v>144</v>
      </c>
      <c r="AG64" s="63">
        <v>19</v>
      </c>
      <c r="AH64" s="41">
        <v>1.1987783656396971</v>
      </c>
      <c r="AI64" s="6">
        <v>144</v>
      </c>
      <c r="AJ64" s="41">
        <v>1.1987783656396971</v>
      </c>
      <c r="AK64" s="84">
        <v>144</v>
      </c>
      <c r="AL64" s="95">
        <v>12</v>
      </c>
      <c r="AM64" s="41">
        <v>0.75725658604585822</v>
      </c>
      <c r="AN64" s="6">
        <v>144</v>
      </c>
      <c r="AO64" s="41">
        <v>0.75725658604585822</v>
      </c>
      <c r="AP64" s="84">
        <v>144</v>
      </c>
      <c r="AQ64" s="63">
        <v>13</v>
      </c>
      <c r="AR64" s="41">
        <v>0.91351397650898347</v>
      </c>
      <c r="AS64" s="6">
        <v>144</v>
      </c>
      <c r="AT64" s="41">
        <v>0.91351397650898347</v>
      </c>
      <c r="AU64" s="89">
        <v>144</v>
      </c>
      <c r="AV64" s="64">
        <v>19</v>
      </c>
      <c r="AW64" s="41">
        <v>1.1987783656396971</v>
      </c>
      <c r="AX64" s="6">
        <v>144</v>
      </c>
      <c r="AY64" s="41">
        <v>1.1987783656396971</v>
      </c>
      <c r="AZ64" s="94">
        <v>144</v>
      </c>
    </row>
    <row r="65" spans="1:52" x14ac:dyDescent="0.3">
      <c r="A65" t="s">
        <v>315</v>
      </c>
      <c r="B65" s="25" t="s">
        <v>247</v>
      </c>
      <c r="C65" s="25" t="s">
        <v>243</v>
      </c>
      <c r="D65" s="24">
        <v>16.82076263427734</v>
      </c>
      <c r="E65" s="2">
        <v>0.18179426163520929</v>
      </c>
      <c r="F65" s="2">
        <v>0.13337652341755479</v>
      </c>
      <c r="G65" s="15">
        <v>-7.9991391240019527E-2</v>
      </c>
      <c r="H65" s="16">
        <v>-0.16925914091106761</v>
      </c>
      <c r="I65" s="17">
        <v>0</v>
      </c>
      <c r="J65" s="18">
        <v>0</v>
      </c>
      <c r="K65" s="19">
        <v>-0.19919578624331041</v>
      </c>
      <c r="L65" s="18">
        <v>148</v>
      </c>
      <c r="P65" s="28">
        <v>5</v>
      </c>
      <c r="S65" s="98">
        <v>4.1142805961319473E-2</v>
      </c>
      <c r="T65" s="6">
        <v>67</v>
      </c>
      <c r="U65" s="41">
        <v>4.1142805961319473E-2</v>
      </c>
      <c r="V65" s="94">
        <v>67</v>
      </c>
      <c r="W65" s="64">
        <v>7</v>
      </c>
      <c r="X65" s="41">
        <v>4.1142805961319473E-2</v>
      </c>
      <c r="Y65" s="6">
        <v>67</v>
      </c>
      <c r="Z65" s="41">
        <v>4.1142805961319473E-2</v>
      </c>
      <c r="AA65" s="84">
        <v>67</v>
      </c>
      <c r="AL65" s="95">
        <v>7</v>
      </c>
      <c r="AM65" s="41">
        <v>4.1142805961319473E-2</v>
      </c>
      <c r="AN65" s="6">
        <v>67</v>
      </c>
      <c r="AO65" s="41">
        <v>4.1142805961319473E-2</v>
      </c>
      <c r="AP65" s="84">
        <v>67</v>
      </c>
    </row>
    <row r="66" spans="1:52" x14ac:dyDescent="0.3">
      <c r="A66" t="s">
        <v>20</v>
      </c>
      <c r="B66" s="25" t="s">
        <v>230</v>
      </c>
      <c r="C66" s="25" t="s">
        <v>231</v>
      </c>
      <c r="D66" s="24">
        <v>11.19884777069092</v>
      </c>
      <c r="E66" s="2">
        <v>-0.41970790800001379</v>
      </c>
      <c r="F66" s="2">
        <v>0.23202215592176459</v>
      </c>
      <c r="G66" s="15">
        <v>-0.20788432579742411</v>
      </c>
      <c r="H66" s="16">
        <v>-0.47357709713056723</v>
      </c>
      <c r="I66" s="17">
        <v>0.1941357812584221</v>
      </c>
      <c r="J66" s="18">
        <v>88</v>
      </c>
      <c r="K66" s="19">
        <v>-0.47357709713056723</v>
      </c>
      <c r="L66" s="18">
        <v>150</v>
      </c>
      <c r="M66" s="26">
        <v>88</v>
      </c>
      <c r="P66" s="28">
        <v>2</v>
      </c>
      <c r="Q66" s="28">
        <v>59</v>
      </c>
      <c r="R66" s="28">
        <v>148</v>
      </c>
      <c r="S66" s="98">
        <v>0.42552966539995102</v>
      </c>
      <c r="T66" s="6">
        <v>88</v>
      </c>
      <c r="U66" s="41">
        <v>0.42552966539995102</v>
      </c>
      <c r="V66" s="94">
        <v>88</v>
      </c>
      <c r="W66" s="64">
        <v>7</v>
      </c>
      <c r="X66" s="41">
        <v>0.42552966539995102</v>
      </c>
      <c r="Y66" s="6">
        <v>88</v>
      </c>
      <c r="Z66" s="41">
        <v>0.42552966539995102</v>
      </c>
      <c r="AA66" s="84">
        <v>88</v>
      </c>
      <c r="AB66" s="63">
        <v>59</v>
      </c>
      <c r="AC66" s="41">
        <v>0.52391315404417749</v>
      </c>
      <c r="AD66" s="6">
        <v>88</v>
      </c>
      <c r="AE66" s="41">
        <v>0.52391315404417749</v>
      </c>
      <c r="AF66" s="84">
        <v>88</v>
      </c>
      <c r="AG66" s="63">
        <v>148</v>
      </c>
      <c r="AH66" s="41">
        <v>-6.2082090486231263E-2</v>
      </c>
      <c r="AI66" s="6">
        <v>999</v>
      </c>
      <c r="AJ66" s="41">
        <v>-6.2082090486231263E-2</v>
      </c>
      <c r="AK66" s="84">
        <v>999</v>
      </c>
      <c r="AL66" s="95">
        <v>7</v>
      </c>
      <c r="AM66" s="41">
        <v>0.42552966539995102</v>
      </c>
      <c r="AN66" s="6">
        <v>88</v>
      </c>
      <c r="AO66" s="41">
        <v>0.42552966539995102</v>
      </c>
      <c r="AP66" s="84">
        <v>88</v>
      </c>
      <c r="AQ66" s="63">
        <v>59</v>
      </c>
      <c r="AR66" s="41">
        <v>0.52391315404417749</v>
      </c>
      <c r="AS66" s="6">
        <v>88</v>
      </c>
      <c r="AT66" s="41">
        <v>0.52391315404417749</v>
      </c>
      <c r="AU66" s="89">
        <v>88</v>
      </c>
      <c r="AV66" s="64">
        <v>148</v>
      </c>
      <c r="AW66" s="41">
        <v>-6.2082090486231263E-2</v>
      </c>
      <c r="AX66" s="6">
        <v>999</v>
      </c>
      <c r="AY66" s="41">
        <v>-6.2082090486231263E-2</v>
      </c>
      <c r="AZ66" s="94">
        <v>999</v>
      </c>
    </row>
    <row r="67" spans="1:52" x14ac:dyDescent="0.3">
      <c r="A67" t="s">
        <v>318</v>
      </c>
      <c r="B67" s="25" t="s">
        <v>253</v>
      </c>
      <c r="C67" s="25" t="s">
        <v>254</v>
      </c>
      <c r="D67" s="24">
        <v>6.7399997711181641</v>
      </c>
      <c r="E67" s="2">
        <v>-0.35748332524513232</v>
      </c>
      <c r="F67" s="2">
        <v>-9.1644245038258743E-2</v>
      </c>
      <c r="G67" s="15">
        <v>-0.2002967285573963</v>
      </c>
      <c r="H67" s="16">
        <v>-0.22848664898360099</v>
      </c>
      <c r="I67" s="17">
        <v>5.1928841744109062E-2</v>
      </c>
      <c r="J67" s="18">
        <v>11</v>
      </c>
      <c r="K67" s="19">
        <v>-0.22848664898360099</v>
      </c>
      <c r="L67" s="18">
        <v>150</v>
      </c>
      <c r="P67" s="28">
        <v>49</v>
      </c>
      <c r="Q67" s="28">
        <v>67</v>
      </c>
      <c r="S67" s="98">
        <v>-0.20933733349926889</v>
      </c>
      <c r="T67" s="6">
        <v>70</v>
      </c>
      <c r="U67" s="41">
        <v>-8.0781437116049237E-2</v>
      </c>
      <c r="V67" s="94">
        <v>999</v>
      </c>
      <c r="W67" s="64">
        <v>49</v>
      </c>
      <c r="X67" s="41">
        <v>0.10396041590587141</v>
      </c>
      <c r="Y67" s="6">
        <v>89</v>
      </c>
      <c r="Z67" s="41">
        <v>0.10396041590587141</v>
      </c>
      <c r="AA67" s="84">
        <v>89</v>
      </c>
      <c r="AB67" s="63">
        <v>67</v>
      </c>
      <c r="AC67" s="41">
        <v>0.1003622517530991</v>
      </c>
      <c r="AD67" s="6">
        <v>999</v>
      </c>
      <c r="AE67" s="41">
        <v>0.1003622517530991</v>
      </c>
      <c r="AF67" s="84">
        <v>999</v>
      </c>
      <c r="AL67" s="95">
        <v>49</v>
      </c>
      <c r="AM67" s="41">
        <v>0.10396041590587141</v>
      </c>
      <c r="AN67" s="6">
        <v>89</v>
      </c>
      <c r="AO67" s="41">
        <v>0.10396041590587141</v>
      </c>
      <c r="AP67" s="84">
        <v>89</v>
      </c>
      <c r="AQ67" s="63">
        <v>67</v>
      </c>
      <c r="AR67" s="41">
        <v>0.1003622517530991</v>
      </c>
      <c r="AS67" s="6">
        <v>999</v>
      </c>
      <c r="AT67" s="41">
        <v>0.1003622517530991</v>
      </c>
      <c r="AU67" s="89">
        <v>999</v>
      </c>
    </row>
    <row r="68" spans="1:52" x14ac:dyDescent="0.3">
      <c r="A68" t="s">
        <v>319</v>
      </c>
      <c r="B68" s="25" t="s">
        <v>266</v>
      </c>
      <c r="C68" s="25" t="s">
        <v>267</v>
      </c>
      <c r="T68" s="6">
        <v>999</v>
      </c>
      <c r="V68" s="94">
        <v>999</v>
      </c>
    </row>
    <row r="69" spans="1:52" x14ac:dyDescent="0.3">
      <c r="A69" t="s">
        <v>52</v>
      </c>
      <c r="B69" s="25" t="s">
        <v>237</v>
      </c>
      <c r="C69" s="25" t="s">
        <v>235</v>
      </c>
      <c r="D69" s="24">
        <v>34.640380859375</v>
      </c>
      <c r="E69" s="2">
        <v>-1.810512912339346E-2</v>
      </c>
      <c r="F69" s="2">
        <v>-8.3854708417028911E-2</v>
      </c>
      <c r="G69" s="15">
        <v>-0.1137209429863201</v>
      </c>
      <c r="I69" s="17">
        <v>0</v>
      </c>
      <c r="J69" s="18">
        <v>0</v>
      </c>
      <c r="K69" s="19">
        <v>-0.19793749823803439</v>
      </c>
      <c r="L69" s="18">
        <v>36</v>
      </c>
      <c r="P69" s="28">
        <v>4</v>
      </c>
      <c r="S69" s="98">
        <v>9.3214699263684642E-2</v>
      </c>
      <c r="T69" s="6">
        <v>112</v>
      </c>
      <c r="U69" s="41">
        <v>9.3214699263684642E-2</v>
      </c>
      <c r="V69" s="94">
        <v>112</v>
      </c>
      <c r="W69" s="97">
        <v>7</v>
      </c>
      <c r="X69" s="41">
        <v>9.3214699263684642E-2</v>
      </c>
      <c r="Y69" s="6">
        <v>112</v>
      </c>
      <c r="Z69" s="41">
        <v>9.3214699263684642E-2</v>
      </c>
      <c r="AA69" s="84">
        <v>112</v>
      </c>
      <c r="AB69" s="91"/>
      <c r="AG69" s="91"/>
      <c r="AL69" s="93">
        <v>7</v>
      </c>
      <c r="AM69" s="41">
        <v>9.3214699263684642E-2</v>
      </c>
      <c r="AN69" s="6">
        <v>112</v>
      </c>
      <c r="AO69" s="41">
        <v>9.3214699263684642E-2</v>
      </c>
      <c r="AP69" s="84">
        <v>112</v>
      </c>
      <c r="AQ69" s="91"/>
      <c r="AV69" s="97"/>
    </row>
    <row r="70" spans="1:52" x14ac:dyDescent="0.3">
      <c r="A70" t="s">
        <v>320</v>
      </c>
      <c r="B70" s="25" t="s">
        <v>321</v>
      </c>
      <c r="C70" s="25" t="s">
        <v>230</v>
      </c>
      <c r="D70" s="24">
        <v>27.059999465942379</v>
      </c>
      <c r="E70" s="2">
        <v>-0.37201208238294198</v>
      </c>
      <c r="F70" s="2">
        <v>-3.2534854120558447E-2</v>
      </c>
      <c r="G70" s="15">
        <v>-0.36363637645198332</v>
      </c>
      <c r="H70" s="16">
        <v>-0.84331116575022058</v>
      </c>
      <c r="I70" s="17">
        <v>0.18588325151211671</v>
      </c>
      <c r="J70" s="18">
        <v>48</v>
      </c>
      <c r="K70" s="19">
        <v>-0.85809312675699334</v>
      </c>
      <c r="L70" s="18">
        <v>148</v>
      </c>
      <c r="M70" s="26">
        <v>44</v>
      </c>
      <c r="P70" s="28">
        <v>5</v>
      </c>
      <c r="Q70" s="28">
        <v>23</v>
      </c>
      <c r="R70" s="28">
        <v>51</v>
      </c>
      <c r="S70" s="98">
        <v>-0.21355398957902219</v>
      </c>
      <c r="T70" s="6">
        <v>25</v>
      </c>
      <c r="U70" s="41">
        <v>0.26438145050035589</v>
      </c>
      <c r="V70" s="94">
        <v>48</v>
      </c>
      <c r="W70" s="64">
        <v>7</v>
      </c>
      <c r="X70" s="41">
        <v>0.26438145050035589</v>
      </c>
      <c r="Y70" s="6">
        <v>48</v>
      </c>
      <c r="Z70" s="41">
        <v>0.26438145050035589</v>
      </c>
      <c r="AA70" s="84">
        <v>48</v>
      </c>
      <c r="AB70" s="63">
        <v>23</v>
      </c>
      <c r="AC70" s="41">
        <v>0.51367919800671302</v>
      </c>
      <c r="AD70" s="6">
        <v>48</v>
      </c>
      <c r="AE70" s="41">
        <v>0.51367919800671302</v>
      </c>
      <c r="AF70" s="84">
        <v>48</v>
      </c>
      <c r="AG70" s="63">
        <v>51</v>
      </c>
      <c r="AH70" s="41">
        <v>0.47413786273816561</v>
      </c>
      <c r="AI70" s="6">
        <v>113</v>
      </c>
      <c r="AJ70" s="41">
        <v>0.47413786273816561</v>
      </c>
      <c r="AK70" s="84">
        <v>113</v>
      </c>
      <c r="AL70" s="95">
        <v>7</v>
      </c>
      <c r="AM70" s="41">
        <v>0.26438145050035589</v>
      </c>
      <c r="AN70" s="6">
        <v>48</v>
      </c>
      <c r="AO70" s="41">
        <v>0.26438145050035589</v>
      </c>
      <c r="AP70" s="84">
        <v>48</v>
      </c>
      <c r="AQ70" s="63">
        <v>23</v>
      </c>
      <c r="AR70" s="41">
        <v>0.51367919800671302</v>
      </c>
      <c r="AS70" s="6">
        <v>48</v>
      </c>
      <c r="AT70" s="41">
        <v>0.51367919800671302</v>
      </c>
      <c r="AU70" s="89">
        <v>48</v>
      </c>
      <c r="AV70" s="64">
        <v>51</v>
      </c>
      <c r="AW70" s="41">
        <v>0.47413786273816561</v>
      </c>
      <c r="AX70" s="6">
        <v>113</v>
      </c>
      <c r="AY70" s="41">
        <v>0.47413786273816561</v>
      </c>
      <c r="AZ70" s="94">
        <v>113</v>
      </c>
    </row>
    <row r="71" spans="1:52" x14ac:dyDescent="0.3">
      <c r="A71" t="s">
        <v>322</v>
      </c>
      <c r="B71" s="25" t="s">
        <v>260</v>
      </c>
      <c r="C71" s="25" t="s">
        <v>261</v>
      </c>
      <c r="D71" s="24">
        <v>57.810085296630859</v>
      </c>
      <c r="E71" s="2">
        <v>0.2328100852033996</v>
      </c>
      <c r="F71" s="2">
        <v>9.4164359806754527E-2</v>
      </c>
      <c r="G71" s="15">
        <v>0.16424019241196411</v>
      </c>
      <c r="H71" s="16">
        <v>0.53371759153527787</v>
      </c>
      <c r="I71" s="17">
        <v>0.54059287870118622</v>
      </c>
      <c r="J71" s="18">
        <v>148</v>
      </c>
      <c r="K71" s="19">
        <v>-4.321212212793657E-2</v>
      </c>
      <c r="L71" s="18">
        <v>35</v>
      </c>
      <c r="M71" s="26">
        <v>67</v>
      </c>
      <c r="N71" s="28">
        <v>85</v>
      </c>
      <c r="O71" s="87">
        <v>120</v>
      </c>
      <c r="S71" s="98">
        <v>0.51251312604743582</v>
      </c>
      <c r="T71" s="6">
        <v>148</v>
      </c>
      <c r="U71" s="41">
        <v>0.51251312604743582</v>
      </c>
      <c r="V71" s="94">
        <v>148</v>
      </c>
      <c r="AL71" s="95">
        <v>67</v>
      </c>
      <c r="AM71" s="41">
        <v>0.3836232517746716</v>
      </c>
      <c r="AN71" s="6">
        <v>148</v>
      </c>
      <c r="AO71" s="41">
        <v>0.3836232517746716</v>
      </c>
      <c r="AP71" s="84">
        <v>148</v>
      </c>
      <c r="AQ71" s="63">
        <v>85</v>
      </c>
      <c r="AR71" s="41">
        <v>0.23644767643660991</v>
      </c>
      <c r="AS71" s="6">
        <v>148</v>
      </c>
      <c r="AT71" s="41">
        <v>0.23644767643660991</v>
      </c>
      <c r="AU71" s="89">
        <v>148</v>
      </c>
      <c r="AV71" s="64">
        <v>120</v>
      </c>
      <c r="AW71" s="41">
        <v>0.18380628082599371</v>
      </c>
      <c r="AX71" s="6">
        <v>148</v>
      </c>
      <c r="AY71" s="41">
        <v>0.18380628082599371</v>
      </c>
      <c r="AZ71" s="94">
        <v>148</v>
      </c>
    </row>
    <row r="72" spans="1:52" x14ac:dyDescent="0.3">
      <c r="A72" t="s">
        <v>77</v>
      </c>
      <c r="B72" s="25" t="s">
        <v>229</v>
      </c>
      <c r="C72" s="25" t="s">
        <v>238</v>
      </c>
      <c r="D72" s="24">
        <v>3.7941900491714482</v>
      </c>
      <c r="E72" s="2">
        <v>-8.603014207838322E-2</v>
      </c>
      <c r="F72" s="2">
        <v>-5.7051764429834062E-2</v>
      </c>
      <c r="G72" s="15">
        <v>0.35552936405972191</v>
      </c>
      <c r="H72" s="16">
        <v>4.371817834582159E-2</v>
      </c>
      <c r="I72" s="17">
        <v>0.57933161499163011</v>
      </c>
      <c r="J72" s="18">
        <v>57</v>
      </c>
      <c r="K72" s="19">
        <v>-3.8895879420282387E-2</v>
      </c>
      <c r="L72" s="18">
        <v>5</v>
      </c>
      <c r="M72" s="26">
        <v>13</v>
      </c>
      <c r="N72" s="28">
        <v>20</v>
      </c>
      <c r="O72" s="87">
        <v>37</v>
      </c>
      <c r="S72" s="98">
        <v>0.56169637385278803</v>
      </c>
      <c r="T72" s="6">
        <v>57</v>
      </c>
      <c r="U72" s="41">
        <v>0.56169637385278803</v>
      </c>
      <c r="V72" s="94">
        <v>57</v>
      </c>
      <c r="AL72" s="95">
        <v>13</v>
      </c>
      <c r="AM72" s="41">
        <v>0.37716347347196749</v>
      </c>
      <c r="AN72" s="6">
        <v>57</v>
      </c>
      <c r="AO72" s="41">
        <v>0.37716347347196749</v>
      </c>
      <c r="AP72" s="84">
        <v>57</v>
      </c>
      <c r="AQ72" s="63">
        <v>20</v>
      </c>
      <c r="AR72" s="41">
        <v>0.31117428828902338</v>
      </c>
      <c r="AS72" s="6">
        <v>57</v>
      </c>
      <c r="AT72" s="41">
        <v>0.31117428828902338</v>
      </c>
      <c r="AU72" s="89">
        <v>57</v>
      </c>
      <c r="AV72" s="64">
        <v>37</v>
      </c>
      <c r="AW72" s="41">
        <v>-9.7618818244771588E-2</v>
      </c>
      <c r="AX72" s="6">
        <v>999</v>
      </c>
      <c r="AY72" s="41">
        <v>-9.7618818244771588E-2</v>
      </c>
      <c r="AZ72" s="94">
        <v>999</v>
      </c>
    </row>
    <row r="73" spans="1:52" x14ac:dyDescent="0.3">
      <c r="A73" t="s">
        <v>53</v>
      </c>
      <c r="B73" s="25" t="s">
        <v>226</v>
      </c>
      <c r="C73" s="25" t="s">
        <v>227</v>
      </c>
      <c r="D73" s="24">
        <v>37.889999389648438</v>
      </c>
      <c r="E73" s="2">
        <v>0.32436206156315928</v>
      </c>
      <c r="F73" s="2">
        <v>1.364361441841244E-2</v>
      </c>
      <c r="G73" s="15">
        <v>0.15017161607452431</v>
      </c>
      <c r="H73" s="16">
        <v>0.21483239695887391</v>
      </c>
      <c r="I73" s="17">
        <v>0.35814198768584721</v>
      </c>
      <c r="J73" s="18">
        <v>146</v>
      </c>
      <c r="K73" s="19">
        <v>-0.1462127475526136</v>
      </c>
      <c r="L73" s="18">
        <v>22</v>
      </c>
      <c r="M73" s="26">
        <v>26</v>
      </c>
      <c r="N73" s="28">
        <v>86</v>
      </c>
      <c r="O73" s="87">
        <v>86</v>
      </c>
      <c r="P73" s="28">
        <v>16</v>
      </c>
      <c r="S73" s="98">
        <v>0.45203163314149752</v>
      </c>
      <c r="T73" s="6">
        <v>146</v>
      </c>
      <c r="U73" s="41">
        <v>0.45203163314149752</v>
      </c>
      <c r="V73" s="94">
        <v>146</v>
      </c>
      <c r="W73" s="64">
        <v>16</v>
      </c>
      <c r="X73" s="41">
        <v>0.52248521437978401</v>
      </c>
      <c r="Y73" s="6">
        <v>146</v>
      </c>
      <c r="Z73" s="41">
        <v>0.52248521437978401</v>
      </c>
      <c r="AA73" s="84">
        <v>146</v>
      </c>
      <c r="AL73" s="95">
        <v>16</v>
      </c>
      <c r="AM73" s="41">
        <v>0.52248521437978401</v>
      </c>
      <c r="AN73" s="6">
        <v>146</v>
      </c>
      <c r="AO73" s="41">
        <v>0.52248521437978401</v>
      </c>
      <c r="AP73" s="84">
        <v>146</v>
      </c>
      <c r="AQ73" s="63">
        <v>86</v>
      </c>
      <c r="AR73" s="41">
        <v>3.1675982007294268E-2</v>
      </c>
      <c r="AS73" s="6">
        <v>146</v>
      </c>
      <c r="AT73" s="41">
        <v>3.1675982007294268E-2</v>
      </c>
      <c r="AU73" s="89">
        <v>146</v>
      </c>
      <c r="AV73" s="64">
        <v>86</v>
      </c>
      <c r="AW73" s="41">
        <v>3.1675982007294268E-2</v>
      </c>
      <c r="AX73" s="6">
        <v>146</v>
      </c>
      <c r="AY73" s="41">
        <v>3.1675982007294268E-2</v>
      </c>
      <c r="AZ73" s="94">
        <v>146</v>
      </c>
    </row>
    <row r="74" spans="1:52" x14ac:dyDescent="0.3">
      <c r="A74" t="s">
        <v>323</v>
      </c>
      <c r="B74" s="25" t="s">
        <v>249</v>
      </c>
      <c r="C74" s="25" t="s">
        <v>250</v>
      </c>
      <c r="D74" s="24">
        <v>13.69999980926514</v>
      </c>
      <c r="E74" s="2">
        <v>0.53072626829363201</v>
      </c>
      <c r="F74" s="2">
        <v>-7.2941129496761903E-4</v>
      </c>
      <c r="G74" s="15">
        <v>-0.20656934037270319</v>
      </c>
      <c r="H74" s="16">
        <v>-0.2153284562288893</v>
      </c>
      <c r="I74" s="17">
        <v>1.1678821141581469E-2</v>
      </c>
      <c r="J74" s="18">
        <v>25</v>
      </c>
      <c r="K74" s="19">
        <v>-0.2883211579750391</v>
      </c>
      <c r="L74" s="18">
        <v>119</v>
      </c>
      <c r="P74" s="28">
        <v>28</v>
      </c>
      <c r="Q74" s="28">
        <v>37</v>
      </c>
      <c r="S74" s="98">
        <v>-0.20883233784056299</v>
      </c>
      <c r="T74" s="6">
        <v>38</v>
      </c>
      <c r="U74" s="41">
        <v>-0.16744113495891841</v>
      </c>
      <c r="V74" s="94">
        <v>999</v>
      </c>
      <c r="W74" s="64">
        <v>28</v>
      </c>
      <c r="X74" s="41">
        <v>-0.12578526714217181</v>
      </c>
      <c r="Y74" s="6">
        <v>999</v>
      </c>
      <c r="Z74" s="41">
        <v>-0.12578526714217181</v>
      </c>
      <c r="AA74" s="84">
        <v>999</v>
      </c>
      <c r="AB74" s="63">
        <v>37</v>
      </c>
      <c r="AC74" s="41">
        <v>7.4766374298636862E-2</v>
      </c>
      <c r="AD74" s="6">
        <v>92</v>
      </c>
      <c r="AE74" s="41">
        <v>7.4766374298636862E-2</v>
      </c>
      <c r="AF74" s="84">
        <v>92</v>
      </c>
      <c r="AL74" s="95">
        <v>28</v>
      </c>
      <c r="AM74" s="41">
        <v>-0.12578526714217181</v>
      </c>
      <c r="AN74" s="6">
        <v>999</v>
      </c>
      <c r="AO74" s="41">
        <v>-0.12578526714217181</v>
      </c>
      <c r="AP74" s="84">
        <v>999</v>
      </c>
      <c r="AQ74" s="63">
        <v>37</v>
      </c>
      <c r="AR74" s="41">
        <v>7.4766374298636862E-2</v>
      </c>
      <c r="AS74" s="6">
        <v>92</v>
      </c>
      <c r="AT74" s="41">
        <v>7.4766374298636862E-2</v>
      </c>
      <c r="AU74" s="89">
        <v>92</v>
      </c>
    </row>
    <row r="75" spans="1:52" x14ac:dyDescent="0.3">
      <c r="A75" t="s">
        <v>54</v>
      </c>
      <c r="B75" s="25" t="s">
        <v>229</v>
      </c>
      <c r="C75" s="25" t="s">
        <v>238</v>
      </c>
      <c r="D75" s="24">
        <v>19.67500019073486</v>
      </c>
      <c r="E75" s="2">
        <v>-0.1157303285062983</v>
      </c>
      <c r="F75" s="2">
        <v>0.2660875314692579</v>
      </c>
      <c r="G75" s="15">
        <v>-0.44040660116148062</v>
      </c>
      <c r="H75" s="16">
        <v>-0.23405339015341811</v>
      </c>
      <c r="I75" s="17">
        <v>0.26658194839708332</v>
      </c>
      <c r="J75" s="18">
        <v>11</v>
      </c>
      <c r="K75" s="19">
        <v>-0.53494284473556997</v>
      </c>
      <c r="L75" s="18">
        <v>65</v>
      </c>
      <c r="M75" s="26">
        <v>8</v>
      </c>
      <c r="N75" s="28">
        <v>10</v>
      </c>
      <c r="P75" s="28">
        <v>18</v>
      </c>
      <c r="Q75" s="28">
        <v>35</v>
      </c>
      <c r="R75" s="28">
        <v>39</v>
      </c>
      <c r="S75" s="98">
        <v>-0.2048309914102969</v>
      </c>
      <c r="T75" s="6">
        <v>24</v>
      </c>
      <c r="U75" s="41">
        <v>-0.31159422827110728</v>
      </c>
      <c r="V75" s="94">
        <v>35</v>
      </c>
      <c r="W75" s="97">
        <v>18</v>
      </c>
      <c r="X75" s="41">
        <v>-0.23599207128528429</v>
      </c>
      <c r="Y75" s="6">
        <v>999</v>
      </c>
      <c r="Z75" s="41">
        <v>-0.23599207128528429</v>
      </c>
      <c r="AA75" s="84">
        <v>999</v>
      </c>
      <c r="AB75" s="91">
        <v>35</v>
      </c>
      <c r="AC75" s="41">
        <v>0.2147368046275353</v>
      </c>
      <c r="AD75" s="6">
        <v>141</v>
      </c>
      <c r="AE75" s="41">
        <v>0.2147368046275353</v>
      </c>
      <c r="AF75" s="84">
        <v>141</v>
      </c>
      <c r="AG75" s="91">
        <v>39</v>
      </c>
      <c r="AH75" s="41">
        <v>0.26350362824354501</v>
      </c>
      <c r="AI75" s="6">
        <v>141</v>
      </c>
      <c r="AJ75" s="41">
        <v>0.26350362824354501</v>
      </c>
      <c r="AK75" s="84">
        <v>141</v>
      </c>
      <c r="AL75" s="93">
        <v>8</v>
      </c>
      <c r="AM75" s="41">
        <v>-0.37255078918268147</v>
      </c>
      <c r="AN75" s="6">
        <v>999</v>
      </c>
      <c r="AO75" s="41">
        <v>-0.37255078918268147</v>
      </c>
      <c r="AP75" s="84">
        <v>999</v>
      </c>
      <c r="AQ75" s="91">
        <v>10</v>
      </c>
      <c r="AR75" s="41">
        <v>-0.42293683229992618</v>
      </c>
      <c r="AS75" s="6">
        <v>999</v>
      </c>
      <c r="AT75" s="41">
        <v>-0.42293683229992618</v>
      </c>
      <c r="AU75" s="89">
        <v>999</v>
      </c>
      <c r="AV75" s="97">
        <v>39</v>
      </c>
      <c r="AW75" s="41">
        <v>0.26350362824354501</v>
      </c>
      <c r="AX75" s="6">
        <v>141</v>
      </c>
      <c r="AY75" s="41">
        <v>0.26350362824354501</v>
      </c>
      <c r="AZ75" s="94">
        <v>141</v>
      </c>
    </row>
    <row r="76" spans="1:52" x14ac:dyDescent="0.3">
      <c r="A76" t="s">
        <v>324</v>
      </c>
      <c r="B76" s="25" t="s">
        <v>226</v>
      </c>
      <c r="C76" s="25" t="s">
        <v>227</v>
      </c>
      <c r="D76" s="24">
        <v>4.6999998092651367</v>
      </c>
      <c r="E76" s="2">
        <v>-0.30059524464195031</v>
      </c>
      <c r="F76" s="2">
        <v>-0.1407678264096488</v>
      </c>
      <c r="G76" s="15">
        <v>-0.10638298304062629</v>
      </c>
      <c r="H76" s="16">
        <v>-0.3255318712896742</v>
      </c>
      <c r="I76" s="17">
        <v>5.9574515142826863E-2</v>
      </c>
      <c r="J76" s="18">
        <v>1</v>
      </c>
      <c r="K76" s="19">
        <v>-0.44468085084796871</v>
      </c>
      <c r="L76" s="18">
        <v>137</v>
      </c>
      <c r="P76" s="28">
        <v>38</v>
      </c>
      <c r="Q76" s="28">
        <v>104</v>
      </c>
      <c r="R76" s="28">
        <v>109</v>
      </c>
      <c r="S76" s="98">
        <v>-0.23319329414720469</v>
      </c>
      <c r="T76" s="6">
        <v>104</v>
      </c>
      <c r="U76" s="41">
        <v>-0.31092440889225109</v>
      </c>
      <c r="V76" s="94">
        <v>109</v>
      </c>
      <c r="W76" s="64">
        <v>38</v>
      </c>
      <c r="X76" s="41">
        <v>-9.0450472739138824E-2</v>
      </c>
      <c r="Y76" s="6">
        <v>999</v>
      </c>
      <c r="Z76" s="41">
        <v>-9.0450472739138824E-2</v>
      </c>
      <c r="AA76" s="84">
        <v>999</v>
      </c>
      <c r="AB76" s="63">
        <v>104</v>
      </c>
      <c r="AC76" s="41">
        <v>-0.11005540302835649</v>
      </c>
      <c r="AD76" s="6">
        <v>999</v>
      </c>
      <c r="AE76" s="41">
        <v>-0.11005540302835649</v>
      </c>
      <c r="AF76" s="84">
        <v>999</v>
      </c>
      <c r="AG76" s="63">
        <v>109</v>
      </c>
      <c r="AH76" s="41">
        <v>-2.9689309194172089E-2</v>
      </c>
      <c r="AI76" s="6">
        <v>999</v>
      </c>
      <c r="AJ76" s="41">
        <v>-2.9689309194172089E-2</v>
      </c>
      <c r="AK76" s="84">
        <v>999</v>
      </c>
      <c r="AL76" s="95">
        <v>38</v>
      </c>
      <c r="AM76" s="41">
        <v>-9.0450472739138824E-2</v>
      </c>
      <c r="AN76" s="6">
        <v>999</v>
      </c>
      <c r="AO76" s="41">
        <v>-9.0450472739138824E-2</v>
      </c>
      <c r="AP76" s="84">
        <v>999</v>
      </c>
      <c r="AQ76" s="63">
        <v>104</v>
      </c>
      <c r="AR76" s="41">
        <v>-0.11005540302835649</v>
      </c>
      <c r="AS76" s="6">
        <v>999</v>
      </c>
      <c r="AT76" s="41">
        <v>-0.11005540302835649</v>
      </c>
      <c r="AU76" s="89">
        <v>999</v>
      </c>
      <c r="AV76" s="64">
        <v>109</v>
      </c>
      <c r="AW76" s="41">
        <v>-2.9689309194172089E-2</v>
      </c>
      <c r="AX76" s="6">
        <v>999</v>
      </c>
      <c r="AY76" s="41">
        <v>-2.9689309194172089E-2</v>
      </c>
      <c r="AZ76" s="94">
        <v>999</v>
      </c>
    </row>
    <row r="77" spans="1:52" x14ac:dyDescent="0.3">
      <c r="A77" t="s">
        <v>325</v>
      </c>
      <c r="B77" s="25" t="s">
        <v>286</v>
      </c>
      <c r="C77" s="25" t="s">
        <v>263</v>
      </c>
      <c r="D77" s="24">
        <v>155.46000671386719</v>
      </c>
      <c r="E77" s="2">
        <v>-0.1062948580555398</v>
      </c>
      <c r="F77" s="2">
        <v>-7.5743106215960809E-2</v>
      </c>
      <c r="G77" s="15">
        <v>-0.27987911930113052</v>
      </c>
      <c r="H77" s="16">
        <v>-0.32838029619873982</v>
      </c>
      <c r="I77" s="17">
        <v>0.20924995094828591</v>
      </c>
      <c r="J77" s="18">
        <v>46</v>
      </c>
      <c r="K77" s="19">
        <v>-0.46159788155485743</v>
      </c>
      <c r="L77" s="18">
        <v>123</v>
      </c>
      <c r="M77" s="26">
        <v>30</v>
      </c>
      <c r="N77" s="28">
        <v>46</v>
      </c>
      <c r="P77" s="28">
        <v>4</v>
      </c>
      <c r="Q77" s="28">
        <v>69</v>
      </c>
      <c r="R77" s="28">
        <v>72</v>
      </c>
      <c r="S77" s="98">
        <v>0.33896021129293891</v>
      </c>
      <c r="T77" s="6">
        <v>46</v>
      </c>
      <c r="U77" s="41">
        <v>0.33896021129293891</v>
      </c>
      <c r="V77" s="94">
        <v>46</v>
      </c>
      <c r="W77" s="97">
        <v>7</v>
      </c>
      <c r="X77" s="41">
        <v>0.33896021129293891</v>
      </c>
      <c r="Y77" s="6">
        <v>46</v>
      </c>
      <c r="Z77" s="41">
        <v>0.33896021129293891</v>
      </c>
      <c r="AA77" s="84">
        <v>46</v>
      </c>
      <c r="AB77" s="91">
        <v>69</v>
      </c>
      <c r="AC77" s="41">
        <v>-0.16396572530599079</v>
      </c>
      <c r="AD77" s="6">
        <v>999</v>
      </c>
      <c r="AE77" s="41">
        <v>-0.16396572530599079</v>
      </c>
      <c r="AF77" s="84">
        <v>999</v>
      </c>
      <c r="AG77" s="91">
        <v>72</v>
      </c>
      <c r="AH77" s="41">
        <v>-4.1662924355383928E-2</v>
      </c>
      <c r="AI77" s="6">
        <v>999</v>
      </c>
      <c r="AJ77" s="41">
        <v>-4.1662924355383928E-2</v>
      </c>
      <c r="AK77" s="84">
        <v>999</v>
      </c>
      <c r="AL77" s="93">
        <v>7</v>
      </c>
      <c r="AM77" s="41">
        <v>0.33896021129293891</v>
      </c>
      <c r="AN77" s="6">
        <v>46</v>
      </c>
      <c r="AO77" s="41">
        <v>0.33896021129293891</v>
      </c>
      <c r="AP77" s="84">
        <v>46</v>
      </c>
      <c r="AQ77" s="91">
        <v>46</v>
      </c>
      <c r="AR77" s="41">
        <v>-0.38846647985870181</v>
      </c>
      <c r="AS77" s="6">
        <v>999</v>
      </c>
      <c r="AT77" s="41">
        <v>-0.38846647985870181</v>
      </c>
      <c r="AU77" s="89">
        <v>999</v>
      </c>
      <c r="AV77" s="97">
        <v>72</v>
      </c>
      <c r="AW77" s="41">
        <v>-4.1662924355383928E-2</v>
      </c>
      <c r="AX77" s="6">
        <v>999</v>
      </c>
      <c r="AY77" s="41">
        <v>-4.1662924355383928E-2</v>
      </c>
      <c r="AZ77" s="94">
        <v>999</v>
      </c>
    </row>
    <row r="78" spans="1:52" x14ac:dyDescent="0.3">
      <c r="A78" t="s">
        <v>326</v>
      </c>
      <c r="B78" s="25" t="s">
        <v>272</v>
      </c>
      <c r="C78" s="25" t="s">
        <v>327</v>
      </c>
      <c r="D78" s="24">
        <v>26.120479583740231</v>
      </c>
      <c r="E78" s="2">
        <v>-8.9561551149751173E-2</v>
      </c>
      <c r="F78" s="2">
        <v>1.2710334971927081E-2</v>
      </c>
      <c r="G78" s="15">
        <v>0.17639087486255581</v>
      </c>
      <c r="H78" s="16">
        <v>0.31071891265014823</v>
      </c>
      <c r="I78" s="17">
        <v>0.53493881627093343</v>
      </c>
      <c r="J78" s="18">
        <v>126</v>
      </c>
      <c r="K78" s="19">
        <v>-8.1411184247517365E-2</v>
      </c>
      <c r="L78" s="18">
        <v>16</v>
      </c>
      <c r="M78" s="26">
        <v>5</v>
      </c>
      <c r="N78" s="28">
        <v>37</v>
      </c>
      <c r="O78" s="87">
        <v>46</v>
      </c>
      <c r="S78" s="98">
        <v>0.33836135405613371</v>
      </c>
      <c r="T78" s="6">
        <v>126</v>
      </c>
      <c r="U78" s="41">
        <v>0.33836135405613371</v>
      </c>
      <c r="V78" s="94">
        <v>126</v>
      </c>
      <c r="AL78" s="95">
        <v>7</v>
      </c>
      <c r="AM78" s="41">
        <v>0.33836135405613371</v>
      </c>
      <c r="AN78" s="6">
        <v>126</v>
      </c>
      <c r="AO78" s="41">
        <v>0.33836135405613371</v>
      </c>
      <c r="AP78" s="84">
        <v>126</v>
      </c>
      <c r="AQ78" s="63">
        <v>37</v>
      </c>
      <c r="AR78" s="41">
        <v>0.2622034471697654</v>
      </c>
      <c r="AS78" s="6">
        <v>126</v>
      </c>
      <c r="AT78" s="41">
        <v>0.2622034471697654</v>
      </c>
      <c r="AU78" s="89">
        <v>126</v>
      </c>
      <c r="AV78" s="64">
        <v>46</v>
      </c>
      <c r="AW78" s="41">
        <v>0.13693457932602329</v>
      </c>
      <c r="AX78" s="6">
        <v>126</v>
      </c>
      <c r="AY78" s="41">
        <v>0.13693457932602329</v>
      </c>
      <c r="AZ78" s="94">
        <v>126</v>
      </c>
    </row>
    <row r="79" spans="1:52" x14ac:dyDescent="0.3">
      <c r="A79" t="s">
        <v>11</v>
      </c>
      <c r="B79" s="25" t="s">
        <v>240</v>
      </c>
      <c r="C79" s="25" t="s">
        <v>241</v>
      </c>
      <c r="D79" s="24">
        <v>29.706583023071289</v>
      </c>
      <c r="E79" s="2">
        <v>8.457290959078545E-3</v>
      </c>
      <c r="F79" s="2">
        <v>-5.0798719455066983E-2</v>
      </c>
      <c r="G79" s="15">
        <v>-0.19216555199246491</v>
      </c>
      <c r="H79" s="16">
        <v>-0.73069942127686349</v>
      </c>
      <c r="I79" s="17">
        <v>4.6480838764915164E-3</v>
      </c>
      <c r="J79" s="18">
        <v>1</v>
      </c>
      <c r="K79" s="19">
        <v>-0.73069942127686349</v>
      </c>
      <c r="L79" s="18">
        <v>150</v>
      </c>
      <c r="P79" s="28">
        <v>20</v>
      </c>
      <c r="Q79" s="28">
        <v>45</v>
      </c>
      <c r="R79" s="28">
        <v>59</v>
      </c>
      <c r="S79" s="98">
        <v>-0.2068142860296196</v>
      </c>
      <c r="T79" s="6">
        <v>48</v>
      </c>
      <c r="U79" s="41">
        <v>-0.30172696271145549</v>
      </c>
      <c r="V79" s="94">
        <v>63</v>
      </c>
      <c r="W79" s="64">
        <v>20</v>
      </c>
      <c r="X79" s="41">
        <v>-0.35674691364790778</v>
      </c>
      <c r="Y79" s="6">
        <v>999</v>
      </c>
      <c r="Z79" s="41">
        <v>-0.35674691364790778</v>
      </c>
      <c r="AA79" s="84">
        <v>999</v>
      </c>
      <c r="AB79" s="63">
        <v>45</v>
      </c>
      <c r="AC79" s="41">
        <v>8.183695588255846E-2</v>
      </c>
      <c r="AD79" s="6">
        <v>77</v>
      </c>
      <c r="AE79" s="41">
        <v>8.183695588255846E-2</v>
      </c>
      <c r="AF79" s="84">
        <v>77</v>
      </c>
      <c r="AG79" s="63">
        <v>59</v>
      </c>
      <c r="AH79" s="41">
        <v>-0.3270872292561568</v>
      </c>
      <c r="AI79" s="6">
        <v>999</v>
      </c>
      <c r="AJ79" s="41">
        <v>-0.3270872292561568</v>
      </c>
      <c r="AK79" s="84">
        <v>999</v>
      </c>
      <c r="AL79" s="95">
        <v>20</v>
      </c>
      <c r="AM79" s="41">
        <v>-0.35674691364790778</v>
      </c>
      <c r="AN79" s="6">
        <v>999</v>
      </c>
      <c r="AO79" s="41">
        <v>-0.35674691364790778</v>
      </c>
      <c r="AP79" s="84">
        <v>999</v>
      </c>
      <c r="AQ79" s="63">
        <v>45</v>
      </c>
      <c r="AR79" s="41">
        <v>8.183695588255846E-2</v>
      </c>
      <c r="AS79" s="6">
        <v>77</v>
      </c>
      <c r="AT79" s="41">
        <v>8.183695588255846E-2</v>
      </c>
      <c r="AU79" s="89">
        <v>77</v>
      </c>
      <c r="AV79" s="64">
        <v>59</v>
      </c>
      <c r="AW79" s="41">
        <v>-0.3270872292561568</v>
      </c>
      <c r="AX79" s="6">
        <v>999</v>
      </c>
      <c r="AY79" s="41">
        <v>-0.3270872292561568</v>
      </c>
      <c r="AZ79" s="94">
        <v>999</v>
      </c>
    </row>
    <row r="80" spans="1:52" x14ac:dyDescent="0.3">
      <c r="A80" t="s">
        <v>328</v>
      </c>
      <c r="B80" s="25" t="s">
        <v>305</v>
      </c>
      <c r="C80" s="25" t="s">
        <v>289</v>
      </c>
      <c r="T80" s="6">
        <v>999</v>
      </c>
      <c r="V80" s="94">
        <v>999</v>
      </c>
    </row>
    <row r="81" spans="1:52" x14ac:dyDescent="0.3">
      <c r="A81" t="s">
        <v>329</v>
      </c>
      <c r="B81" s="25" t="s">
        <v>253</v>
      </c>
      <c r="C81" s="25" t="s">
        <v>254</v>
      </c>
      <c r="D81" s="24">
        <v>28.20000076293945</v>
      </c>
      <c r="E81" s="2">
        <v>-0.21448469180116431</v>
      </c>
      <c r="F81" s="2">
        <v>-0.1441578115331206</v>
      </c>
      <c r="G81" s="15">
        <v>-0.25106382028934598</v>
      </c>
      <c r="H81" s="16">
        <v>-0.20319153526816039</v>
      </c>
      <c r="I81" s="17">
        <v>9.5744164223523498E-3</v>
      </c>
      <c r="J81" s="18">
        <v>43</v>
      </c>
      <c r="K81" s="19">
        <v>-0.51241136070924143</v>
      </c>
      <c r="L81" s="18">
        <v>92</v>
      </c>
      <c r="P81" s="28">
        <v>13</v>
      </c>
      <c r="Q81" s="28">
        <v>28</v>
      </c>
      <c r="R81" s="28">
        <v>80</v>
      </c>
      <c r="S81" s="98">
        <v>4.2475279022202717E-2</v>
      </c>
      <c r="T81" s="6">
        <v>43</v>
      </c>
      <c r="U81" s="41">
        <v>4.2475279022202717E-2</v>
      </c>
      <c r="V81" s="94">
        <v>43</v>
      </c>
      <c r="W81" s="64">
        <v>13</v>
      </c>
      <c r="X81" s="41">
        <v>0.13426290361225199</v>
      </c>
      <c r="Y81" s="6">
        <v>43</v>
      </c>
      <c r="Z81" s="41">
        <v>0.13426290361225199</v>
      </c>
      <c r="AA81" s="84">
        <v>43</v>
      </c>
      <c r="AB81" s="63">
        <v>28</v>
      </c>
      <c r="AC81" s="41">
        <v>-0.10246690837370979</v>
      </c>
      <c r="AD81" s="6">
        <v>999</v>
      </c>
      <c r="AE81" s="41">
        <v>-0.10246690837370979</v>
      </c>
      <c r="AF81" s="84">
        <v>999</v>
      </c>
      <c r="AG81" s="63">
        <v>80</v>
      </c>
      <c r="AH81" s="41">
        <v>0.36181814020330227</v>
      </c>
      <c r="AI81" s="6">
        <v>150</v>
      </c>
      <c r="AJ81" s="41">
        <v>0.36181814020330227</v>
      </c>
      <c r="AK81" s="84">
        <v>150</v>
      </c>
      <c r="AL81" s="95">
        <v>13</v>
      </c>
      <c r="AM81" s="41">
        <v>0.13426290361225199</v>
      </c>
      <c r="AN81" s="6">
        <v>43</v>
      </c>
      <c r="AO81" s="41">
        <v>0.13426290361225199</v>
      </c>
      <c r="AP81" s="84">
        <v>43</v>
      </c>
      <c r="AQ81" s="63">
        <v>28</v>
      </c>
      <c r="AR81" s="41">
        <v>-0.10246690837370979</v>
      </c>
      <c r="AS81" s="6">
        <v>999</v>
      </c>
      <c r="AT81" s="41">
        <v>-0.10246690837370979</v>
      </c>
      <c r="AU81" s="89">
        <v>999</v>
      </c>
      <c r="AV81" s="64">
        <v>80</v>
      </c>
      <c r="AW81" s="41">
        <v>0.36181814020330227</v>
      </c>
      <c r="AX81" s="6">
        <v>150</v>
      </c>
      <c r="AY81" s="41">
        <v>0.36181814020330227</v>
      </c>
      <c r="AZ81" s="94">
        <v>150</v>
      </c>
    </row>
    <row r="82" spans="1:52" x14ac:dyDescent="0.3">
      <c r="A82" t="s">
        <v>330</v>
      </c>
      <c r="B82" s="25" t="s">
        <v>240</v>
      </c>
      <c r="C82" s="25" t="s">
        <v>241</v>
      </c>
      <c r="D82" s="24">
        <v>7.3660922050476074</v>
      </c>
      <c r="E82" s="2">
        <v>8.1050204424367056E-2</v>
      </c>
      <c r="F82" s="2">
        <v>9.1763125272979362E-2</v>
      </c>
      <c r="G82" s="15">
        <v>-0.15921306670231361</v>
      </c>
      <c r="H82" s="16">
        <v>0.14282867836001409</v>
      </c>
      <c r="I82" s="17">
        <v>0.2390395664370657</v>
      </c>
      <c r="J82" s="18">
        <v>146</v>
      </c>
      <c r="K82" s="19">
        <v>-0.26221909053157338</v>
      </c>
      <c r="L82" s="18">
        <v>69</v>
      </c>
      <c r="M82" s="26">
        <v>31</v>
      </c>
      <c r="N82" s="28">
        <v>146</v>
      </c>
      <c r="P82" s="28">
        <v>11</v>
      </c>
      <c r="Q82" s="28">
        <v>66</v>
      </c>
      <c r="S82" s="98">
        <v>-0.2095091864400255</v>
      </c>
      <c r="T82" s="6">
        <v>68</v>
      </c>
      <c r="U82" s="41">
        <v>0.32524840201959182</v>
      </c>
      <c r="V82" s="94">
        <v>146</v>
      </c>
      <c r="W82" s="64">
        <v>11</v>
      </c>
      <c r="X82" s="41">
        <v>0.39770801768810848</v>
      </c>
      <c r="Y82" s="6">
        <v>146</v>
      </c>
      <c r="Z82" s="41">
        <v>0.39770801768810848</v>
      </c>
      <c r="AA82" s="84">
        <v>146</v>
      </c>
      <c r="AB82" s="63">
        <v>66</v>
      </c>
      <c r="AC82" s="41">
        <v>0.58796068953026936</v>
      </c>
      <c r="AD82" s="6">
        <v>146</v>
      </c>
      <c r="AE82" s="41">
        <v>0.58796068953026936</v>
      </c>
      <c r="AF82" s="84">
        <v>146</v>
      </c>
      <c r="AL82" s="95">
        <v>11</v>
      </c>
      <c r="AM82" s="41">
        <v>0.39770801768810848</v>
      </c>
      <c r="AN82" s="6">
        <v>146</v>
      </c>
      <c r="AO82" s="41">
        <v>0.39770801768810848</v>
      </c>
      <c r="AP82" s="84">
        <v>146</v>
      </c>
      <c r="AQ82" s="63">
        <v>66</v>
      </c>
      <c r="AR82" s="41">
        <v>0.58796068953026936</v>
      </c>
      <c r="AS82" s="6">
        <v>146</v>
      </c>
      <c r="AT82" s="41">
        <v>0.58796068953026936</v>
      </c>
      <c r="AU82" s="89">
        <v>146</v>
      </c>
    </row>
    <row r="83" spans="1:52" x14ac:dyDescent="0.3">
      <c r="A83" t="s">
        <v>331</v>
      </c>
      <c r="B83" s="25" t="s">
        <v>332</v>
      </c>
      <c r="C83" s="25" t="s">
        <v>286</v>
      </c>
      <c r="D83" s="24">
        <v>7.2100000381469727</v>
      </c>
      <c r="E83" s="2">
        <v>-0.21630432743205871</v>
      </c>
      <c r="F83" s="2">
        <v>0.20568562126259951</v>
      </c>
      <c r="G83" s="15">
        <v>-9.7087351672891509E-2</v>
      </c>
      <c r="H83" s="16">
        <v>-0.32038833988317561</v>
      </c>
      <c r="I83" s="17">
        <v>0.18585300214953679</v>
      </c>
      <c r="J83" s="18">
        <v>66</v>
      </c>
      <c r="K83" s="19">
        <v>-0.3828016940747726</v>
      </c>
      <c r="L83" s="18">
        <v>128</v>
      </c>
      <c r="M83" s="26">
        <v>66</v>
      </c>
      <c r="P83" s="28">
        <v>7</v>
      </c>
      <c r="Q83" s="28">
        <v>88</v>
      </c>
      <c r="R83" s="28">
        <v>112</v>
      </c>
      <c r="S83" s="98">
        <v>0.34645674317212349</v>
      </c>
      <c r="T83" s="6">
        <v>66</v>
      </c>
      <c r="U83" s="41">
        <v>0.34645674317212349</v>
      </c>
      <c r="V83" s="94">
        <v>66</v>
      </c>
      <c r="W83" s="64">
        <v>7</v>
      </c>
      <c r="X83" s="41">
        <v>0.34645674317212349</v>
      </c>
      <c r="Y83" s="6">
        <v>66</v>
      </c>
      <c r="Z83" s="41">
        <v>0.34645674317212349</v>
      </c>
      <c r="AA83" s="84">
        <v>66</v>
      </c>
      <c r="AB83" s="63">
        <v>88</v>
      </c>
      <c r="AC83" s="41">
        <v>-0.1036070056286192</v>
      </c>
      <c r="AD83" s="6">
        <v>999</v>
      </c>
      <c r="AE83" s="41">
        <v>-0.1036070056286192</v>
      </c>
      <c r="AF83" s="84">
        <v>999</v>
      </c>
      <c r="AG83" s="63">
        <v>112</v>
      </c>
      <c r="AH83" s="41">
        <v>-4.3846152378962597E-2</v>
      </c>
      <c r="AI83" s="6">
        <v>999</v>
      </c>
      <c r="AJ83" s="41">
        <v>-4.3846152378962597E-2</v>
      </c>
      <c r="AK83" s="84">
        <v>999</v>
      </c>
      <c r="AL83" s="95">
        <v>7</v>
      </c>
      <c r="AM83" s="41">
        <v>0.34645674317212349</v>
      </c>
      <c r="AN83" s="6">
        <v>66</v>
      </c>
      <c r="AO83" s="41">
        <v>0.34645674317212349</v>
      </c>
      <c r="AP83" s="84">
        <v>66</v>
      </c>
      <c r="AQ83" s="63">
        <v>88</v>
      </c>
      <c r="AR83" s="41">
        <v>-0.1036070056286192</v>
      </c>
      <c r="AS83" s="6">
        <v>999</v>
      </c>
      <c r="AT83" s="41">
        <v>-0.1036070056286192</v>
      </c>
      <c r="AU83" s="89">
        <v>999</v>
      </c>
      <c r="AV83" s="64">
        <v>112</v>
      </c>
      <c r="AW83" s="41">
        <v>-4.3846152378962597E-2</v>
      </c>
      <c r="AX83" s="6">
        <v>999</v>
      </c>
      <c r="AY83" s="41">
        <v>-4.3846152378962597E-2</v>
      </c>
      <c r="AZ83" s="94">
        <v>999</v>
      </c>
    </row>
    <row r="84" spans="1:52" x14ac:dyDescent="0.3">
      <c r="A84" t="s">
        <v>96</v>
      </c>
      <c r="B84" s="25" t="s">
        <v>283</v>
      </c>
      <c r="C84" s="25" t="s">
        <v>249</v>
      </c>
      <c r="J84" s="18">
        <v>7</v>
      </c>
      <c r="L84" s="18">
        <v>117</v>
      </c>
      <c r="S84" s="98">
        <v>-0.228447090398572</v>
      </c>
      <c r="T84" s="6">
        <v>16</v>
      </c>
      <c r="U84" s="41">
        <v>-0.30106063521918958</v>
      </c>
      <c r="V84" s="94">
        <v>19</v>
      </c>
      <c r="W84" s="97"/>
      <c r="AB84" s="91"/>
      <c r="AG84" s="91"/>
      <c r="AL84" s="93"/>
      <c r="AQ84" s="91"/>
      <c r="AV84" s="97"/>
    </row>
    <row r="85" spans="1:52" x14ac:dyDescent="0.3">
      <c r="A85" t="s">
        <v>333</v>
      </c>
      <c r="B85" s="25" t="s">
        <v>237</v>
      </c>
      <c r="C85" s="25" t="s">
        <v>235</v>
      </c>
      <c r="D85" s="24">
        <v>27.20000076293945</v>
      </c>
      <c r="E85" s="2">
        <v>0.32167156772473238</v>
      </c>
      <c r="F85" s="2">
        <v>2.7966806654239122E-2</v>
      </c>
      <c r="G85" s="15">
        <v>7.9411756868593697E-2</v>
      </c>
      <c r="I85" s="17">
        <v>0.46470584687889782</v>
      </c>
      <c r="J85" s="18">
        <v>33</v>
      </c>
      <c r="K85" s="19">
        <v>-0.11286770279638331</v>
      </c>
      <c r="L85" s="18">
        <v>3</v>
      </c>
      <c r="M85" s="26">
        <v>10</v>
      </c>
      <c r="N85" s="28">
        <v>19</v>
      </c>
      <c r="O85" s="87">
        <v>26</v>
      </c>
      <c r="P85" s="28">
        <v>3</v>
      </c>
      <c r="S85" s="98">
        <v>0.50510015814348908</v>
      </c>
      <c r="T85" s="6">
        <v>33</v>
      </c>
      <c r="U85" s="41">
        <v>0.50510015814348908</v>
      </c>
      <c r="V85" s="94">
        <v>33</v>
      </c>
      <c r="W85" s="64">
        <v>7</v>
      </c>
      <c r="X85" s="41">
        <v>0.50510015814348908</v>
      </c>
      <c r="Y85" s="6">
        <v>33</v>
      </c>
      <c r="Z85" s="41">
        <v>0.50510015814348908</v>
      </c>
      <c r="AA85" s="84">
        <v>33</v>
      </c>
      <c r="AL85" s="95">
        <v>7</v>
      </c>
      <c r="AM85" s="41">
        <v>0.50510015814348908</v>
      </c>
      <c r="AN85" s="6">
        <v>33</v>
      </c>
      <c r="AO85" s="41">
        <v>0.50510015814348908</v>
      </c>
      <c r="AP85" s="84">
        <v>33</v>
      </c>
      <c r="AQ85" s="63">
        <v>19</v>
      </c>
      <c r="AR85" s="41">
        <v>4.8103018839279969E-2</v>
      </c>
      <c r="AS85" s="6">
        <v>999</v>
      </c>
      <c r="AT85" s="41">
        <v>4.8103018839279969E-2</v>
      </c>
      <c r="AU85" s="89">
        <v>999</v>
      </c>
      <c r="AV85" s="64">
        <v>26</v>
      </c>
      <c r="AW85" s="41">
        <v>-7.2993950891433554E-2</v>
      </c>
      <c r="AX85" s="6">
        <v>999</v>
      </c>
      <c r="AY85" s="41">
        <v>-7.2993950891433554E-2</v>
      </c>
      <c r="AZ85" s="94">
        <v>999</v>
      </c>
    </row>
    <row r="86" spans="1:52" x14ac:dyDescent="0.3">
      <c r="A86" t="s">
        <v>334</v>
      </c>
      <c r="B86" s="25" t="s">
        <v>286</v>
      </c>
      <c r="C86" s="25" t="s">
        <v>263</v>
      </c>
      <c r="D86" s="24">
        <v>15.75</v>
      </c>
      <c r="E86" s="2">
        <v>-1.3157897095553711E-2</v>
      </c>
      <c r="F86" s="2">
        <v>-4.0803902142561348E-2</v>
      </c>
      <c r="G86" s="15">
        <v>-0.28761903066483741</v>
      </c>
      <c r="H86" s="16">
        <v>-0.29015871078249023</v>
      </c>
      <c r="I86" s="17">
        <v>0.135872977120536</v>
      </c>
      <c r="J86" s="18">
        <v>42</v>
      </c>
      <c r="K86" s="19">
        <v>-0.52507936386835008</v>
      </c>
      <c r="L86" s="18">
        <v>111</v>
      </c>
      <c r="M86" s="26">
        <v>34</v>
      </c>
      <c r="P86" s="28">
        <v>3</v>
      </c>
      <c r="Q86" s="28">
        <v>15</v>
      </c>
      <c r="R86" s="28">
        <v>73</v>
      </c>
      <c r="S86" s="98">
        <v>0.28427846358347159</v>
      </c>
      <c r="T86" s="6">
        <v>42</v>
      </c>
      <c r="U86" s="41">
        <v>0.28427846358347159</v>
      </c>
      <c r="V86" s="94">
        <v>42</v>
      </c>
      <c r="W86" s="64">
        <v>7</v>
      </c>
      <c r="X86" s="41">
        <v>0.28427846358347159</v>
      </c>
      <c r="Y86" s="6">
        <v>42</v>
      </c>
      <c r="Z86" s="41">
        <v>0.28427846358347159</v>
      </c>
      <c r="AA86" s="84">
        <v>42</v>
      </c>
      <c r="AB86" s="63">
        <v>15</v>
      </c>
      <c r="AC86" s="41">
        <v>0.42549793766982402</v>
      </c>
      <c r="AD86" s="6">
        <v>42</v>
      </c>
      <c r="AE86" s="41">
        <v>0.42549793766982402</v>
      </c>
      <c r="AF86" s="84">
        <v>42</v>
      </c>
      <c r="AG86" s="63">
        <v>73</v>
      </c>
      <c r="AH86" s="41">
        <v>-0.12549674484314541</v>
      </c>
      <c r="AI86" s="6">
        <v>999</v>
      </c>
      <c r="AJ86" s="41">
        <v>-0.12549674484314541</v>
      </c>
      <c r="AK86" s="84">
        <v>999</v>
      </c>
      <c r="AL86" s="95">
        <v>7</v>
      </c>
      <c r="AM86" s="41">
        <v>0.28427846358347159</v>
      </c>
      <c r="AN86" s="6">
        <v>42</v>
      </c>
      <c r="AO86" s="41">
        <v>0.28427846358347159</v>
      </c>
      <c r="AP86" s="84">
        <v>42</v>
      </c>
      <c r="AQ86" s="63">
        <v>15</v>
      </c>
      <c r="AR86" s="41">
        <v>0.42549793766982402</v>
      </c>
      <c r="AS86" s="6">
        <v>42</v>
      </c>
      <c r="AT86" s="41">
        <v>0.42549793766982402</v>
      </c>
      <c r="AU86" s="89">
        <v>42</v>
      </c>
      <c r="AV86" s="64">
        <v>73</v>
      </c>
      <c r="AW86" s="41">
        <v>-0.12549674484314541</v>
      </c>
      <c r="AX86" s="6">
        <v>999</v>
      </c>
      <c r="AY86" s="41">
        <v>-0.12549674484314541</v>
      </c>
      <c r="AZ86" s="94">
        <v>999</v>
      </c>
    </row>
    <row r="87" spans="1:52" x14ac:dyDescent="0.3">
      <c r="A87" t="s">
        <v>335</v>
      </c>
      <c r="B87" s="25" t="s">
        <v>336</v>
      </c>
      <c r="C87" s="25" t="s">
        <v>295</v>
      </c>
      <c r="T87" s="6">
        <v>999</v>
      </c>
      <c r="V87" s="94">
        <v>999</v>
      </c>
    </row>
    <row r="88" spans="1:52" x14ac:dyDescent="0.3">
      <c r="A88" t="s">
        <v>337</v>
      </c>
      <c r="B88" s="25" t="s">
        <v>249</v>
      </c>
      <c r="C88" s="25" t="s">
        <v>250</v>
      </c>
      <c r="T88" s="6">
        <v>999</v>
      </c>
      <c r="V88" s="94">
        <v>999</v>
      </c>
      <c r="W88" s="97"/>
      <c r="AB88" s="91"/>
      <c r="AG88" s="91"/>
      <c r="AL88" s="93"/>
      <c r="AQ88" s="91"/>
      <c r="AV88" s="97"/>
    </row>
    <row r="89" spans="1:52" x14ac:dyDescent="0.3">
      <c r="A89" t="s">
        <v>338</v>
      </c>
      <c r="B89" s="25" t="s">
        <v>253</v>
      </c>
      <c r="C89" s="25" t="s">
        <v>254</v>
      </c>
      <c r="T89" s="6">
        <v>999</v>
      </c>
      <c r="V89" s="94">
        <v>999</v>
      </c>
    </row>
    <row r="90" spans="1:52" x14ac:dyDescent="0.3">
      <c r="A90" t="s">
        <v>339</v>
      </c>
      <c r="B90" s="25" t="s">
        <v>299</v>
      </c>
      <c r="C90" s="25" t="s">
        <v>298</v>
      </c>
      <c r="D90" s="24">
        <v>96.340377807617188</v>
      </c>
      <c r="E90" s="2">
        <v>0.52156970482933973</v>
      </c>
      <c r="F90" s="2">
        <v>-0.10011990775098931</v>
      </c>
      <c r="G90" s="15">
        <v>0.2679633366029095</v>
      </c>
      <c r="H90" s="16">
        <v>0.36315252884848581</v>
      </c>
      <c r="I90" s="17">
        <v>0.43869004902464731</v>
      </c>
      <c r="J90" s="18">
        <v>144</v>
      </c>
      <c r="K90" s="19">
        <v>-0.18075733916524889</v>
      </c>
      <c r="L90" s="18">
        <v>34</v>
      </c>
      <c r="M90" s="26">
        <v>63</v>
      </c>
      <c r="N90" s="28">
        <v>66</v>
      </c>
      <c r="O90" s="87">
        <v>77</v>
      </c>
      <c r="P90" s="28">
        <v>21</v>
      </c>
      <c r="S90" s="98">
        <v>0.44386233000015718</v>
      </c>
      <c r="T90" s="6">
        <v>144</v>
      </c>
      <c r="U90" s="41">
        <v>0.44386233000015718</v>
      </c>
      <c r="V90" s="94">
        <v>144</v>
      </c>
      <c r="W90" s="64">
        <v>21</v>
      </c>
      <c r="X90" s="41">
        <v>0.61972799911556087</v>
      </c>
      <c r="Y90" s="6">
        <v>144</v>
      </c>
      <c r="Z90" s="41">
        <v>0.61972799911556087</v>
      </c>
      <c r="AA90" s="84">
        <v>144</v>
      </c>
      <c r="AL90" s="95">
        <v>21</v>
      </c>
      <c r="AM90" s="41">
        <v>0.61972799911556087</v>
      </c>
      <c r="AN90" s="6">
        <v>144</v>
      </c>
      <c r="AO90" s="41">
        <v>0.61972799911556087</v>
      </c>
      <c r="AP90" s="84">
        <v>144</v>
      </c>
      <c r="AQ90" s="63">
        <v>66</v>
      </c>
      <c r="AR90" s="41">
        <v>0.18947285096744171</v>
      </c>
      <c r="AS90" s="6">
        <v>144</v>
      </c>
      <c r="AT90" s="41">
        <v>0.18947285096744171</v>
      </c>
      <c r="AU90" s="89">
        <v>144</v>
      </c>
      <c r="AV90" s="64">
        <v>77</v>
      </c>
      <c r="AW90" s="41">
        <v>0.1057268154043061</v>
      </c>
      <c r="AX90" s="6">
        <v>144</v>
      </c>
      <c r="AY90" s="41">
        <v>0.1057268154043061</v>
      </c>
      <c r="AZ90" s="94">
        <v>144</v>
      </c>
    </row>
    <row r="91" spans="1:52" x14ac:dyDescent="0.3">
      <c r="A91" t="s">
        <v>340</v>
      </c>
      <c r="B91" s="25" t="s">
        <v>250</v>
      </c>
      <c r="C91" s="25" t="s">
        <v>269</v>
      </c>
      <c r="T91" s="6">
        <v>999</v>
      </c>
      <c r="V91" s="94">
        <v>999</v>
      </c>
    </row>
    <row r="92" spans="1:52" x14ac:dyDescent="0.3">
      <c r="A92" t="s">
        <v>341</v>
      </c>
      <c r="B92" s="25" t="s">
        <v>266</v>
      </c>
      <c r="C92" s="25" t="s">
        <v>267</v>
      </c>
      <c r="D92" s="24">
        <v>34.231761932373047</v>
      </c>
      <c r="E92" s="2">
        <v>0.47258306842682218</v>
      </c>
      <c r="F92" s="2">
        <v>0.1509429146537635</v>
      </c>
      <c r="G92" s="15">
        <v>-6.9626565597436296E-2</v>
      </c>
      <c r="H92" s="16">
        <v>7.8890409265972128E-2</v>
      </c>
      <c r="I92" s="17">
        <v>0.14794903434510659</v>
      </c>
      <c r="J92" s="18">
        <v>136</v>
      </c>
      <c r="K92" s="19">
        <v>-0.13035407773268659</v>
      </c>
      <c r="L92" s="18">
        <v>33</v>
      </c>
      <c r="M92" s="26">
        <v>131</v>
      </c>
      <c r="P92" s="28">
        <v>10</v>
      </c>
      <c r="S92" s="98">
        <v>0.21170581925666829</v>
      </c>
      <c r="T92" s="6">
        <v>136</v>
      </c>
      <c r="U92" s="41">
        <v>0.21170581925666829</v>
      </c>
      <c r="V92" s="94">
        <v>136</v>
      </c>
      <c r="W92" s="64">
        <v>10</v>
      </c>
      <c r="X92" s="41">
        <v>0.28448001272847062</v>
      </c>
      <c r="Y92" s="6">
        <v>136</v>
      </c>
      <c r="Z92" s="41">
        <v>0.28448001272847062</v>
      </c>
      <c r="AA92" s="84">
        <v>136</v>
      </c>
      <c r="AL92" s="95">
        <v>10</v>
      </c>
      <c r="AM92" s="41">
        <v>0.28448001272847062</v>
      </c>
      <c r="AN92" s="6">
        <v>136</v>
      </c>
      <c r="AO92" s="41">
        <v>0.28448001272847062</v>
      </c>
      <c r="AP92" s="84">
        <v>136</v>
      </c>
    </row>
    <row r="93" spans="1:52" x14ac:dyDescent="0.3">
      <c r="A93" t="s">
        <v>55</v>
      </c>
      <c r="B93" s="25" t="s">
        <v>237</v>
      </c>
      <c r="C93" s="25" t="s">
        <v>235</v>
      </c>
      <c r="D93" s="24">
        <v>114.2099990844727</v>
      </c>
      <c r="E93" s="2">
        <v>-2.7069295117070351E-3</v>
      </c>
      <c r="F93" s="2">
        <v>-0.20846902488941341</v>
      </c>
      <c r="G93" s="15">
        <v>0.28184918194599717</v>
      </c>
      <c r="I93" s="17">
        <v>0.34384026755854608</v>
      </c>
      <c r="J93" s="18">
        <v>64</v>
      </c>
      <c r="K93" s="19">
        <v>-0.2455126621162852</v>
      </c>
      <c r="L93" s="18">
        <v>5</v>
      </c>
      <c r="M93" s="26">
        <v>28</v>
      </c>
      <c r="N93" s="28">
        <v>48</v>
      </c>
      <c r="O93" s="87">
        <v>58</v>
      </c>
      <c r="P93" s="28">
        <v>2</v>
      </c>
      <c r="Q93" s="28">
        <v>4</v>
      </c>
      <c r="S93" s="98">
        <v>0.74033327450593678</v>
      </c>
      <c r="T93" s="6">
        <v>64</v>
      </c>
      <c r="U93" s="41">
        <v>0.74033327450593678</v>
      </c>
      <c r="V93" s="94">
        <v>64</v>
      </c>
      <c r="W93" s="64">
        <v>7</v>
      </c>
      <c r="X93" s="41">
        <v>0.74033327450593678</v>
      </c>
      <c r="Y93" s="6">
        <v>64</v>
      </c>
      <c r="Z93" s="41">
        <v>0.74033327450593678</v>
      </c>
      <c r="AA93" s="84">
        <v>64</v>
      </c>
      <c r="AB93" s="63">
        <v>7</v>
      </c>
      <c r="AC93" s="41">
        <v>0.74033327450593678</v>
      </c>
      <c r="AD93" s="6">
        <v>64</v>
      </c>
      <c r="AE93" s="41">
        <v>0.74033327450593678</v>
      </c>
      <c r="AF93" s="84">
        <v>64</v>
      </c>
      <c r="AL93" s="95">
        <v>7</v>
      </c>
      <c r="AM93" s="41">
        <v>0.74033327450593678</v>
      </c>
      <c r="AN93" s="6">
        <v>64</v>
      </c>
      <c r="AO93" s="41">
        <v>0.74033327450593678</v>
      </c>
      <c r="AP93" s="84">
        <v>64</v>
      </c>
      <c r="AQ93" s="63">
        <v>7</v>
      </c>
      <c r="AR93" s="41">
        <v>0.74033327450593678</v>
      </c>
      <c r="AS93" s="6">
        <v>64</v>
      </c>
      <c r="AT93" s="41">
        <v>0.74033327450593678</v>
      </c>
      <c r="AU93" s="89">
        <v>64</v>
      </c>
      <c r="AV93" s="64">
        <v>58</v>
      </c>
      <c r="AW93" s="41">
        <v>-7.7486738250083453E-2</v>
      </c>
      <c r="AX93" s="6">
        <v>999</v>
      </c>
      <c r="AY93" s="41">
        <v>-7.7486738250083453E-2</v>
      </c>
      <c r="AZ93" s="94">
        <v>999</v>
      </c>
    </row>
    <row r="94" spans="1:52" x14ac:dyDescent="0.3">
      <c r="A94" t="s">
        <v>156</v>
      </c>
      <c r="B94" s="25" t="s">
        <v>229</v>
      </c>
      <c r="C94" s="25" t="s">
        <v>238</v>
      </c>
      <c r="D94" s="24">
        <v>63.927003860473633</v>
      </c>
      <c r="E94" s="2">
        <v>5.2996649566497078E-2</v>
      </c>
      <c r="F94" s="2">
        <v>-0.15200363101415179</v>
      </c>
      <c r="G94" s="15">
        <v>-0.18003831047356511</v>
      </c>
      <c r="H94" s="16">
        <v>-7.5103798433239444E-2</v>
      </c>
      <c r="I94" s="17">
        <v>0.17682690448944899</v>
      </c>
      <c r="J94" s="18">
        <v>15</v>
      </c>
      <c r="K94" s="19">
        <v>-0.26208040354025031</v>
      </c>
      <c r="L94" s="18">
        <v>65</v>
      </c>
      <c r="M94" s="26">
        <v>14</v>
      </c>
      <c r="P94" s="28">
        <v>37</v>
      </c>
      <c r="Q94" s="28">
        <v>63</v>
      </c>
      <c r="S94" s="98">
        <v>-0.21376226264221629</v>
      </c>
      <c r="T94" s="6">
        <v>62</v>
      </c>
      <c r="U94" s="41">
        <v>-8.2709315943487238E-2</v>
      </c>
      <c r="V94" s="94">
        <v>999</v>
      </c>
      <c r="W94" s="64">
        <v>37</v>
      </c>
      <c r="X94" s="41">
        <v>0.20943498488893561</v>
      </c>
      <c r="Y94" s="6">
        <v>137</v>
      </c>
      <c r="Z94" s="41">
        <v>0.20943498488893561</v>
      </c>
      <c r="AA94" s="84">
        <v>137</v>
      </c>
      <c r="AB94" s="63">
        <v>63</v>
      </c>
      <c r="AC94" s="41">
        <v>0.37811134704331928</v>
      </c>
      <c r="AD94" s="6">
        <v>137</v>
      </c>
      <c r="AE94" s="41">
        <v>0.37811134704331928</v>
      </c>
      <c r="AF94" s="84">
        <v>137</v>
      </c>
      <c r="AL94" s="95">
        <v>14</v>
      </c>
      <c r="AM94" s="41">
        <v>-0.15546669642793479</v>
      </c>
      <c r="AN94" s="6">
        <v>999</v>
      </c>
      <c r="AO94" s="41">
        <v>-0.15546669642793479</v>
      </c>
      <c r="AP94" s="84">
        <v>999</v>
      </c>
      <c r="AQ94" s="63">
        <v>63</v>
      </c>
      <c r="AR94" s="41">
        <v>0.37811134704331928</v>
      </c>
      <c r="AS94" s="6">
        <v>137</v>
      </c>
      <c r="AT94" s="41">
        <v>0.37811134704331928</v>
      </c>
      <c r="AU94" s="89">
        <v>137</v>
      </c>
    </row>
    <row r="95" spans="1:52" x14ac:dyDescent="0.3">
      <c r="A95" t="s">
        <v>342</v>
      </c>
      <c r="B95" s="25" t="s">
        <v>271</v>
      </c>
      <c r="C95" s="25" t="s">
        <v>272</v>
      </c>
      <c r="D95" s="24">
        <v>21.840000152587891</v>
      </c>
      <c r="E95" s="2">
        <v>-0.32923835284284569</v>
      </c>
      <c r="F95" s="2">
        <v>1.865669816075188E-2</v>
      </c>
      <c r="G95" s="15">
        <v>-0.13186817985319341</v>
      </c>
      <c r="H95" s="16">
        <v>-0.48717949949565292</v>
      </c>
      <c r="I95" s="17">
        <v>0.245421271653079</v>
      </c>
      <c r="J95" s="18">
        <v>128</v>
      </c>
      <c r="K95" s="19">
        <v>-0.50183150007204946</v>
      </c>
      <c r="L95" s="18">
        <v>146</v>
      </c>
      <c r="M95" s="26">
        <v>5</v>
      </c>
      <c r="N95" s="28">
        <v>127</v>
      </c>
      <c r="P95" s="28">
        <v>9</v>
      </c>
      <c r="Q95" s="28">
        <v>15</v>
      </c>
      <c r="R95" s="28">
        <v>144</v>
      </c>
      <c r="S95" s="98">
        <v>-0.24758842665581149</v>
      </c>
      <c r="T95" s="6">
        <v>9</v>
      </c>
      <c r="U95" s="41">
        <v>-0.31189704916750899</v>
      </c>
      <c r="V95" s="94">
        <v>15</v>
      </c>
      <c r="W95" s="97">
        <v>9</v>
      </c>
      <c r="X95" s="41">
        <v>0.45299154704217809</v>
      </c>
      <c r="Y95" s="6">
        <v>128</v>
      </c>
      <c r="Z95" s="41">
        <v>0.45299154704217809</v>
      </c>
      <c r="AA95" s="84">
        <v>128</v>
      </c>
      <c r="AB95" s="91">
        <v>15</v>
      </c>
      <c r="AC95" s="41">
        <v>0.58878501340993017</v>
      </c>
      <c r="AD95" s="6">
        <v>128</v>
      </c>
      <c r="AE95" s="41">
        <v>0.58878501340993017</v>
      </c>
      <c r="AF95" s="84">
        <v>128</v>
      </c>
      <c r="AG95" s="91">
        <v>144</v>
      </c>
      <c r="AH95" s="41">
        <v>-0.1024258939965528</v>
      </c>
      <c r="AI95" s="6">
        <v>999</v>
      </c>
      <c r="AJ95" s="41">
        <v>-0.1024258939965528</v>
      </c>
      <c r="AK95" s="84">
        <v>999</v>
      </c>
      <c r="AL95" s="93">
        <v>7</v>
      </c>
      <c r="AM95" s="41">
        <v>9.3247655965811749E-2</v>
      </c>
      <c r="AN95" s="6">
        <v>128</v>
      </c>
      <c r="AO95" s="41">
        <v>9.3247655965811749E-2</v>
      </c>
      <c r="AP95" s="84">
        <v>128</v>
      </c>
      <c r="AQ95" s="91">
        <v>15</v>
      </c>
      <c r="AR95" s="41">
        <v>0.58878501340993017</v>
      </c>
      <c r="AS95" s="6">
        <v>128</v>
      </c>
      <c r="AT95" s="41">
        <v>0.58878501340993017</v>
      </c>
      <c r="AU95" s="89">
        <v>128</v>
      </c>
      <c r="AV95" s="97">
        <v>144</v>
      </c>
      <c r="AW95" s="41">
        <v>-0.1024258939965528</v>
      </c>
      <c r="AX95" s="6">
        <v>999</v>
      </c>
      <c r="AY95" s="41">
        <v>-0.1024258939965528</v>
      </c>
      <c r="AZ95" s="94">
        <v>999</v>
      </c>
    </row>
    <row r="96" spans="1:52" x14ac:dyDescent="0.3">
      <c r="A96" t="s">
        <v>23</v>
      </c>
      <c r="B96" s="25" t="s">
        <v>238</v>
      </c>
      <c r="C96" s="25" t="s">
        <v>236</v>
      </c>
      <c r="D96" s="24">
        <v>65.209999084472656</v>
      </c>
      <c r="E96" s="2">
        <v>1.200067490799166</v>
      </c>
      <c r="F96" s="2">
        <v>3.7054675203224592E-2</v>
      </c>
      <c r="G96" s="15">
        <v>-0.40944642137400472</v>
      </c>
      <c r="H96" s="16">
        <v>-5.566626751084125E-2</v>
      </c>
      <c r="I96" s="17">
        <v>1.9168839404226201E-2</v>
      </c>
      <c r="J96" s="18">
        <v>2</v>
      </c>
      <c r="K96" s="19">
        <v>-0.62674435678095941</v>
      </c>
      <c r="L96" s="18">
        <v>53</v>
      </c>
      <c r="P96" s="28">
        <v>4</v>
      </c>
      <c r="Q96" s="28">
        <v>5</v>
      </c>
      <c r="R96" s="28">
        <v>5</v>
      </c>
      <c r="S96" s="98">
        <v>-0.23574354535555159</v>
      </c>
      <c r="T96" s="6">
        <v>43</v>
      </c>
      <c r="U96" s="41">
        <v>-0.33587996891620348</v>
      </c>
      <c r="V96" s="94">
        <v>53</v>
      </c>
      <c r="W96" s="97">
        <v>7</v>
      </c>
      <c r="X96" s="41">
        <v>0.68021826104352168</v>
      </c>
      <c r="Y96" s="6">
        <v>150</v>
      </c>
      <c r="Z96" s="41">
        <v>0.68021826104352168</v>
      </c>
      <c r="AA96" s="84">
        <v>150</v>
      </c>
      <c r="AB96" s="91">
        <v>7</v>
      </c>
      <c r="AC96" s="41">
        <v>0.68021826104352168</v>
      </c>
      <c r="AD96" s="6">
        <v>150</v>
      </c>
      <c r="AE96" s="41">
        <v>0.68021826104352168</v>
      </c>
      <c r="AF96" s="84">
        <v>150</v>
      </c>
      <c r="AG96" s="91">
        <v>7</v>
      </c>
      <c r="AH96" s="41">
        <v>0.68021826104352168</v>
      </c>
      <c r="AI96" s="6">
        <v>150</v>
      </c>
      <c r="AJ96" s="41">
        <v>0.68021826104352168</v>
      </c>
      <c r="AK96" s="84">
        <v>150</v>
      </c>
      <c r="AL96" s="93">
        <v>7</v>
      </c>
      <c r="AM96" s="41">
        <v>0.68021826104352168</v>
      </c>
      <c r="AN96" s="6">
        <v>150</v>
      </c>
      <c r="AO96" s="41">
        <v>0.68021826104352168</v>
      </c>
      <c r="AP96" s="84">
        <v>150</v>
      </c>
      <c r="AQ96" s="91">
        <v>7</v>
      </c>
      <c r="AR96" s="41">
        <v>0.68021826104352168</v>
      </c>
      <c r="AS96" s="6">
        <v>150</v>
      </c>
      <c r="AT96" s="41">
        <v>0.68021826104352168</v>
      </c>
      <c r="AU96" s="89">
        <v>150</v>
      </c>
      <c r="AV96" s="97">
        <v>7</v>
      </c>
      <c r="AW96" s="41">
        <v>0.68021826104352168</v>
      </c>
      <c r="AX96" s="6">
        <v>150</v>
      </c>
      <c r="AY96" s="41">
        <v>0.68021826104352168</v>
      </c>
      <c r="AZ96" s="94">
        <v>150</v>
      </c>
    </row>
    <row r="97" spans="1:52" x14ac:dyDescent="0.3">
      <c r="A97" t="s">
        <v>24</v>
      </c>
      <c r="B97" s="25" t="s">
        <v>229</v>
      </c>
      <c r="C97" s="25" t="s">
        <v>238</v>
      </c>
      <c r="D97" s="24">
        <v>11.005000114440911</v>
      </c>
      <c r="E97" s="2">
        <v>-0.32773368660644031</v>
      </c>
      <c r="F97" s="2">
        <v>-3.6339751232971403E-2</v>
      </c>
      <c r="G97" s="15">
        <v>-0.27487506259977063</v>
      </c>
      <c r="H97" s="16">
        <v>-0.3466606104087504</v>
      </c>
      <c r="I97" s="17">
        <v>0.14220804762461481</v>
      </c>
      <c r="J97" s="18">
        <v>2</v>
      </c>
      <c r="K97" s="19">
        <v>-0.3466606104087504</v>
      </c>
      <c r="L97" s="18">
        <v>150</v>
      </c>
      <c r="M97" s="26">
        <v>2</v>
      </c>
      <c r="P97" s="28">
        <v>39</v>
      </c>
      <c r="Q97" s="28">
        <v>47</v>
      </c>
      <c r="R97" s="28">
        <v>65</v>
      </c>
      <c r="S97" s="98">
        <v>-0.2186949261499512</v>
      </c>
      <c r="T97" s="6">
        <v>45</v>
      </c>
      <c r="U97" s="41">
        <v>-0.31834215916571829</v>
      </c>
      <c r="V97" s="94">
        <v>64</v>
      </c>
      <c r="W97" s="97">
        <v>39</v>
      </c>
      <c r="X97" s="41">
        <v>5.9365393708366243E-2</v>
      </c>
      <c r="Y97" s="6">
        <v>136</v>
      </c>
      <c r="Z97" s="41">
        <v>5.9365393708366243E-2</v>
      </c>
      <c r="AA97" s="84">
        <v>136</v>
      </c>
      <c r="AB97" s="91">
        <v>47</v>
      </c>
      <c r="AC97" s="41">
        <v>0.236559202267945</v>
      </c>
      <c r="AD97" s="6">
        <v>136</v>
      </c>
      <c r="AE97" s="41">
        <v>0.236559202267945</v>
      </c>
      <c r="AF97" s="84">
        <v>136</v>
      </c>
      <c r="AG97" s="91">
        <v>65</v>
      </c>
      <c r="AH97" s="41">
        <v>0.43153531869507061</v>
      </c>
      <c r="AI97" s="6">
        <v>136</v>
      </c>
      <c r="AJ97" s="41">
        <v>0.43153531869507061</v>
      </c>
      <c r="AK97" s="84">
        <v>136</v>
      </c>
      <c r="AL97" s="93">
        <v>7</v>
      </c>
      <c r="AM97" s="41">
        <v>-0.18960049019662811</v>
      </c>
      <c r="AN97" s="6">
        <v>999</v>
      </c>
      <c r="AO97" s="41">
        <v>-0.18960049019662811</v>
      </c>
      <c r="AP97" s="84">
        <v>999</v>
      </c>
      <c r="AQ97" s="91">
        <v>47</v>
      </c>
      <c r="AR97" s="41">
        <v>0.236559202267945</v>
      </c>
      <c r="AS97" s="6">
        <v>136</v>
      </c>
      <c r="AT97" s="41">
        <v>0.236559202267945</v>
      </c>
      <c r="AU97" s="89">
        <v>136</v>
      </c>
      <c r="AV97" s="97">
        <v>65</v>
      </c>
      <c r="AW97" s="41">
        <v>0.43153531869507061</v>
      </c>
      <c r="AX97" s="6">
        <v>136</v>
      </c>
      <c r="AY97" s="41">
        <v>0.43153531869507061</v>
      </c>
      <c r="AZ97" s="94">
        <v>136</v>
      </c>
    </row>
    <row r="98" spans="1:52" x14ac:dyDescent="0.3">
      <c r="A98" t="s">
        <v>343</v>
      </c>
      <c r="B98" s="25" t="s">
        <v>263</v>
      </c>
      <c r="C98" s="25" t="s">
        <v>264</v>
      </c>
      <c r="D98" s="24">
        <v>57.548067092895508</v>
      </c>
      <c r="E98" s="2">
        <v>-0.20195685052415971</v>
      </c>
      <c r="F98" s="2">
        <v>0.24251614064807711</v>
      </c>
      <c r="G98" s="15">
        <v>0.14728497285922429</v>
      </c>
      <c r="H98" s="16">
        <v>0.24114545385667091</v>
      </c>
      <c r="I98" s="17">
        <v>0.29239973762220922</v>
      </c>
      <c r="J98" s="18">
        <v>124</v>
      </c>
      <c r="K98" s="19">
        <v>-5.7856516893395882E-2</v>
      </c>
      <c r="L98" s="18">
        <v>55</v>
      </c>
      <c r="M98" s="26">
        <v>19</v>
      </c>
      <c r="N98" s="28">
        <v>86</v>
      </c>
      <c r="S98" s="98">
        <v>0.25283436519646241</v>
      </c>
      <c r="T98" s="6">
        <v>124</v>
      </c>
      <c r="U98" s="41">
        <v>0.25283436519646241</v>
      </c>
      <c r="V98" s="94">
        <v>124</v>
      </c>
      <c r="AL98" s="95">
        <v>19</v>
      </c>
      <c r="AM98" s="41">
        <v>0.16959504523792709</v>
      </c>
      <c r="AN98" s="6">
        <v>124</v>
      </c>
      <c r="AO98" s="41">
        <v>0.16959504523792709</v>
      </c>
      <c r="AP98" s="84">
        <v>124</v>
      </c>
      <c r="AQ98" s="63">
        <v>86</v>
      </c>
      <c r="AR98" s="41">
        <v>7.3149697677301173E-2</v>
      </c>
      <c r="AS98" s="6">
        <v>124</v>
      </c>
      <c r="AT98" s="41">
        <v>7.3149697677301173E-2</v>
      </c>
      <c r="AU98" s="89">
        <v>124</v>
      </c>
    </row>
    <row r="99" spans="1:52" x14ac:dyDescent="0.3">
      <c r="A99" t="s">
        <v>25</v>
      </c>
      <c r="B99" s="25" t="s">
        <v>237</v>
      </c>
      <c r="C99" s="25" t="s">
        <v>235</v>
      </c>
      <c r="D99" s="24">
        <v>3.029999971389771</v>
      </c>
      <c r="E99" s="2">
        <v>0.23673465812965991</v>
      </c>
      <c r="F99" s="2">
        <v>0.77192976830176252</v>
      </c>
      <c r="G99" s="15">
        <v>7.5907597770699553E-2</v>
      </c>
      <c r="I99" s="17">
        <v>0.36963700810332017</v>
      </c>
      <c r="J99" s="18">
        <v>68</v>
      </c>
      <c r="K99" s="19">
        <v>-0.36303631492686789</v>
      </c>
      <c r="L99" s="18">
        <v>21</v>
      </c>
      <c r="M99" s="26">
        <v>65</v>
      </c>
      <c r="N99" s="28">
        <v>67</v>
      </c>
      <c r="O99" s="87">
        <v>67</v>
      </c>
      <c r="P99" s="28">
        <v>2</v>
      </c>
      <c r="Q99" s="28">
        <v>3</v>
      </c>
      <c r="R99" s="28">
        <v>8</v>
      </c>
      <c r="S99" s="98">
        <v>0.86936938823619148</v>
      </c>
      <c r="T99" s="6">
        <v>68</v>
      </c>
      <c r="U99" s="41">
        <v>0.86936938823619148</v>
      </c>
      <c r="V99" s="94">
        <v>68</v>
      </c>
      <c r="W99" s="64">
        <v>7</v>
      </c>
      <c r="X99" s="41">
        <v>0.86936938823619148</v>
      </c>
      <c r="Y99" s="6">
        <v>68</v>
      </c>
      <c r="Z99" s="41">
        <v>0.86936938823619148</v>
      </c>
      <c r="AA99" s="84">
        <v>68</v>
      </c>
      <c r="AB99" s="63">
        <v>7</v>
      </c>
      <c r="AC99" s="41">
        <v>0.86936938823619148</v>
      </c>
      <c r="AD99" s="6">
        <v>68</v>
      </c>
      <c r="AE99" s="41">
        <v>0.86936938823619148</v>
      </c>
      <c r="AF99" s="84">
        <v>68</v>
      </c>
      <c r="AG99" s="63">
        <v>8</v>
      </c>
      <c r="AH99" s="41">
        <v>1.034313810279581</v>
      </c>
      <c r="AI99" s="6">
        <v>68</v>
      </c>
      <c r="AJ99" s="41">
        <v>1.034313810279581</v>
      </c>
      <c r="AK99" s="84">
        <v>68</v>
      </c>
      <c r="AL99" s="95">
        <v>7</v>
      </c>
      <c r="AM99" s="41">
        <v>0.86936938823619148</v>
      </c>
      <c r="AN99" s="6">
        <v>68</v>
      </c>
      <c r="AO99" s="41">
        <v>0.86936938823619148</v>
      </c>
      <c r="AP99" s="84">
        <v>68</v>
      </c>
      <c r="AQ99" s="63">
        <v>7</v>
      </c>
      <c r="AR99" s="41">
        <v>0.86936938823619148</v>
      </c>
      <c r="AS99" s="6">
        <v>68</v>
      </c>
      <c r="AT99" s="41">
        <v>0.86936938823619148</v>
      </c>
      <c r="AU99" s="89">
        <v>68</v>
      </c>
      <c r="AV99" s="64">
        <v>8</v>
      </c>
      <c r="AW99" s="41">
        <v>1.034313810279581</v>
      </c>
      <c r="AX99" s="6">
        <v>68</v>
      </c>
      <c r="AY99" s="41">
        <v>1.034313810279581</v>
      </c>
      <c r="AZ99" s="94">
        <v>68</v>
      </c>
    </row>
    <row r="100" spans="1:52" x14ac:dyDescent="0.3">
      <c r="A100" t="s">
        <v>157</v>
      </c>
      <c r="B100" s="25" t="s">
        <v>332</v>
      </c>
      <c r="C100" s="25" t="s">
        <v>286</v>
      </c>
      <c r="D100" s="24">
        <v>65.006729125976563</v>
      </c>
      <c r="E100" s="2">
        <v>-0.18735504853373519</v>
      </c>
      <c r="F100" s="2">
        <v>-1.4254763860752079E-2</v>
      </c>
      <c r="G100" s="15">
        <v>-0.10432117036411449</v>
      </c>
      <c r="H100" s="16">
        <v>-0.11410286082068299</v>
      </c>
      <c r="I100" s="17">
        <v>0</v>
      </c>
      <c r="J100" s="18">
        <v>0</v>
      </c>
      <c r="K100" s="19">
        <v>-0.24197764185038481</v>
      </c>
      <c r="L100" s="18">
        <v>126</v>
      </c>
      <c r="P100" s="28">
        <v>6</v>
      </c>
      <c r="Q100" s="28">
        <v>119</v>
      </c>
      <c r="S100" s="98">
        <v>0.10216374988156129</v>
      </c>
      <c r="T100" s="6">
        <v>28</v>
      </c>
      <c r="U100" s="41">
        <v>0.10216374988156129</v>
      </c>
      <c r="V100" s="94">
        <v>28</v>
      </c>
      <c r="W100" s="64">
        <v>7</v>
      </c>
      <c r="X100" s="41">
        <v>-3.1046027805634771E-2</v>
      </c>
      <c r="Y100" s="6">
        <v>999</v>
      </c>
      <c r="Z100" s="41">
        <v>-3.1046027805634771E-2</v>
      </c>
      <c r="AA100" s="84">
        <v>999</v>
      </c>
      <c r="AB100" s="63">
        <v>119</v>
      </c>
      <c r="AC100" s="41">
        <v>0.12763762465941109</v>
      </c>
      <c r="AD100" s="6">
        <v>149</v>
      </c>
      <c r="AE100" s="41">
        <v>0.12763762465941109</v>
      </c>
      <c r="AF100" s="84">
        <v>149</v>
      </c>
      <c r="AL100" s="95">
        <v>7</v>
      </c>
      <c r="AM100" s="41">
        <v>-3.1046027805634771E-2</v>
      </c>
      <c r="AN100" s="6">
        <v>999</v>
      </c>
      <c r="AO100" s="41">
        <v>-3.1046027805634771E-2</v>
      </c>
      <c r="AP100" s="84">
        <v>999</v>
      </c>
      <c r="AQ100" s="63">
        <v>119</v>
      </c>
      <c r="AR100" s="41">
        <v>0.12763762465941109</v>
      </c>
      <c r="AS100" s="6">
        <v>149</v>
      </c>
      <c r="AT100" s="41">
        <v>0.12763762465941109</v>
      </c>
      <c r="AU100" s="89">
        <v>149</v>
      </c>
    </row>
    <row r="101" spans="1:52" x14ac:dyDescent="0.3">
      <c r="A101" t="s">
        <v>56</v>
      </c>
      <c r="B101" s="25" t="s">
        <v>235</v>
      </c>
      <c r="C101" s="25" t="s">
        <v>234</v>
      </c>
      <c r="D101" s="24">
        <v>4.380000114440918</v>
      </c>
      <c r="E101" s="2">
        <v>-0.40245563983220528</v>
      </c>
      <c r="F101" s="2">
        <v>-0.21645796155959021</v>
      </c>
      <c r="G101" s="15">
        <v>0.35159815562004831</v>
      </c>
      <c r="I101" s="17">
        <v>0.75342457252856287</v>
      </c>
      <c r="J101" s="18">
        <v>56</v>
      </c>
      <c r="K101" s="19">
        <v>-0.12328771373571849</v>
      </c>
      <c r="L101" s="18">
        <v>3</v>
      </c>
      <c r="M101" s="26">
        <v>8</v>
      </c>
      <c r="N101" s="28">
        <v>8</v>
      </c>
      <c r="O101" s="87">
        <v>12</v>
      </c>
      <c r="P101" s="28">
        <v>3</v>
      </c>
      <c r="S101" s="98">
        <v>0.65161283243624712</v>
      </c>
      <c r="T101" s="6">
        <v>56</v>
      </c>
      <c r="U101" s="41">
        <v>0.65161283243624712</v>
      </c>
      <c r="V101" s="94">
        <v>56</v>
      </c>
      <c r="W101" s="97">
        <v>7</v>
      </c>
      <c r="X101" s="41">
        <v>0.65161283243624712</v>
      </c>
      <c r="Y101" s="6">
        <v>56</v>
      </c>
      <c r="Z101" s="41">
        <v>0.65161283243624712</v>
      </c>
      <c r="AA101" s="84">
        <v>56</v>
      </c>
      <c r="AB101" s="91"/>
      <c r="AG101" s="91"/>
      <c r="AL101" s="93">
        <v>7</v>
      </c>
      <c r="AM101" s="41">
        <v>0.65161283243624712</v>
      </c>
      <c r="AN101" s="6">
        <v>56</v>
      </c>
      <c r="AO101" s="41">
        <v>0.65161283243624712</v>
      </c>
      <c r="AP101" s="84">
        <v>56</v>
      </c>
      <c r="AQ101" s="91">
        <v>8</v>
      </c>
      <c r="AR101" s="41">
        <v>0.39636360515247682</v>
      </c>
      <c r="AS101" s="6">
        <v>56</v>
      </c>
      <c r="AT101" s="41">
        <v>0.39636360515247682</v>
      </c>
      <c r="AU101" s="89">
        <v>56</v>
      </c>
      <c r="AV101" s="97">
        <v>12</v>
      </c>
      <c r="AW101" s="41">
        <v>0.27999997138977051</v>
      </c>
      <c r="AX101" s="6">
        <v>56</v>
      </c>
      <c r="AY101" s="41">
        <v>0.27999997138977051</v>
      </c>
      <c r="AZ101" s="94">
        <v>56</v>
      </c>
    </row>
    <row r="102" spans="1:52" x14ac:dyDescent="0.3">
      <c r="A102" t="s">
        <v>158</v>
      </c>
      <c r="B102" s="25" t="s">
        <v>298</v>
      </c>
      <c r="C102" s="25" t="s">
        <v>287</v>
      </c>
      <c r="D102" s="24">
        <v>17.28392124176025</v>
      </c>
      <c r="E102" s="2">
        <v>0.65027170493457764</v>
      </c>
      <c r="F102" s="2">
        <v>9.5201284003858522E-3</v>
      </c>
      <c r="G102" s="15">
        <v>5.1917496091401949E-2</v>
      </c>
      <c r="H102" s="16">
        <v>-0.1162744733979435</v>
      </c>
      <c r="I102" s="17">
        <v>0.18585075017222091</v>
      </c>
      <c r="J102" s="18">
        <v>43</v>
      </c>
      <c r="K102" s="19">
        <v>-0.20439881799905721</v>
      </c>
      <c r="L102" s="18">
        <v>99</v>
      </c>
      <c r="M102" s="26">
        <v>35</v>
      </c>
      <c r="P102" s="28">
        <v>95</v>
      </c>
      <c r="Q102" s="28">
        <v>95</v>
      </c>
      <c r="S102" s="98">
        <v>0.17268204592300379</v>
      </c>
      <c r="T102" s="6">
        <v>43</v>
      </c>
      <c r="U102" s="41">
        <v>0.17268204592300379</v>
      </c>
      <c r="V102" s="94">
        <v>43</v>
      </c>
      <c r="W102" s="97">
        <v>95</v>
      </c>
      <c r="X102" s="41">
        <v>0.17051741522267211</v>
      </c>
      <c r="Y102" s="6">
        <v>126</v>
      </c>
      <c r="Z102" s="41">
        <v>0.17051741522267211</v>
      </c>
      <c r="AA102" s="84">
        <v>126</v>
      </c>
      <c r="AB102" s="91">
        <v>95</v>
      </c>
      <c r="AC102" s="41">
        <v>0.17051741522267211</v>
      </c>
      <c r="AD102" s="6">
        <v>126</v>
      </c>
      <c r="AE102" s="41">
        <v>0.17051741522267211</v>
      </c>
      <c r="AF102" s="84">
        <v>126</v>
      </c>
      <c r="AG102" s="91"/>
      <c r="AL102" s="93">
        <v>35</v>
      </c>
      <c r="AM102" s="41">
        <v>-0.1186274564920428</v>
      </c>
      <c r="AN102" s="6">
        <v>999</v>
      </c>
      <c r="AO102" s="41">
        <v>-0.1186274564920428</v>
      </c>
      <c r="AP102" s="84">
        <v>999</v>
      </c>
      <c r="AQ102" s="91">
        <v>95</v>
      </c>
      <c r="AR102" s="41">
        <v>0.17051741522267211</v>
      </c>
      <c r="AS102" s="6">
        <v>126</v>
      </c>
      <c r="AT102" s="41">
        <v>0.17051741522267211</v>
      </c>
      <c r="AU102" s="89">
        <v>126</v>
      </c>
      <c r="AV102" s="97"/>
    </row>
    <row r="103" spans="1:52" x14ac:dyDescent="0.3">
      <c r="A103" t="s">
        <v>344</v>
      </c>
      <c r="B103" s="25" t="s">
        <v>327</v>
      </c>
      <c r="C103" s="25" t="s">
        <v>332</v>
      </c>
      <c r="D103" s="24">
        <v>13.05191612243652</v>
      </c>
      <c r="E103" s="2">
        <v>0.45492385315161288</v>
      </c>
      <c r="F103" s="2">
        <v>1.3047174905815859E-3</v>
      </c>
      <c r="G103" s="15">
        <v>0.19595407720310681</v>
      </c>
      <c r="H103" s="16">
        <v>7.6358516040493152E-2</v>
      </c>
      <c r="I103" s="17">
        <v>0.61059514716066787</v>
      </c>
      <c r="J103" s="18">
        <v>104</v>
      </c>
      <c r="K103" s="19">
        <v>-1.107495393442859E-2</v>
      </c>
      <c r="L103" s="18">
        <v>2</v>
      </c>
      <c r="M103" s="26">
        <v>8</v>
      </c>
      <c r="N103" s="28">
        <v>10</v>
      </c>
      <c r="O103" s="87">
        <v>35</v>
      </c>
      <c r="S103" s="98">
        <v>0.48752318678451051</v>
      </c>
      <c r="T103" s="6">
        <v>104</v>
      </c>
      <c r="U103" s="41">
        <v>0.48752318678451051</v>
      </c>
      <c r="V103" s="94">
        <v>104</v>
      </c>
      <c r="AL103" s="95">
        <v>8</v>
      </c>
      <c r="AM103" s="41">
        <v>0.43819868574948911</v>
      </c>
      <c r="AN103" s="6">
        <v>104</v>
      </c>
      <c r="AO103" s="41">
        <v>0.43819868574948911</v>
      </c>
      <c r="AP103" s="84">
        <v>104</v>
      </c>
      <c r="AQ103" s="63">
        <v>10</v>
      </c>
      <c r="AR103" s="41">
        <v>0.33491546983452491</v>
      </c>
      <c r="AS103" s="6">
        <v>104</v>
      </c>
      <c r="AT103" s="41">
        <v>0.33491546983452491</v>
      </c>
      <c r="AU103" s="89">
        <v>104</v>
      </c>
      <c r="AV103" s="64">
        <v>35</v>
      </c>
      <c r="AW103" s="41">
        <v>0.23059414468502459</v>
      </c>
      <c r="AX103" s="6">
        <v>104</v>
      </c>
      <c r="AY103" s="41">
        <v>0.23059414468502459</v>
      </c>
      <c r="AZ103" s="94">
        <v>104</v>
      </c>
    </row>
    <row r="104" spans="1:52" x14ac:dyDescent="0.3">
      <c r="A104" t="s">
        <v>345</v>
      </c>
      <c r="B104" s="25" t="s">
        <v>277</v>
      </c>
      <c r="C104" s="25" t="s">
        <v>271</v>
      </c>
      <c r="D104" s="24">
        <v>18.469999313354489</v>
      </c>
      <c r="E104" s="2">
        <v>-0.34573150503525207</v>
      </c>
      <c r="F104" s="2">
        <v>-0.2123667926465653</v>
      </c>
      <c r="G104" s="15">
        <v>0.32051977782227498</v>
      </c>
      <c r="H104" s="16">
        <v>0.28370330080789219</v>
      </c>
      <c r="I104" s="17">
        <v>0.51597190259530601</v>
      </c>
      <c r="J104" s="18">
        <v>31</v>
      </c>
      <c r="K104" s="19">
        <v>-6.8218748008875285E-2</v>
      </c>
      <c r="L104" s="18">
        <v>8</v>
      </c>
      <c r="M104" s="26">
        <v>24</v>
      </c>
      <c r="N104" s="28">
        <v>24</v>
      </c>
      <c r="O104" s="87">
        <v>25</v>
      </c>
      <c r="S104" s="98">
        <v>0.57303377528817534</v>
      </c>
      <c r="T104" s="6">
        <v>31</v>
      </c>
      <c r="U104" s="41">
        <v>0.57303377528817534</v>
      </c>
      <c r="V104" s="94">
        <v>31</v>
      </c>
      <c r="AL104" s="95">
        <v>24</v>
      </c>
      <c r="AM104" s="41">
        <v>-6.6727853323915592E-2</v>
      </c>
      <c r="AN104" s="6">
        <v>999</v>
      </c>
      <c r="AO104" s="41">
        <v>-6.6727853323915592E-2</v>
      </c>
      <c r="AP104" s="84">
        <v>999</v>
      </c>
      <c r="AQ104" s="63">
        <v>24</v>
      </c>
      <c r="AR104" s="41">
        <v>-6.6727853323915592E-2</v>
      </c>
      <c r="AS104" s="6">
        <v>999</v>
      </c>
      <c r="AT104" s="41">
        <v>-6.6727853323915592E-2</v>
      </c>
      <c r="AU104" s="89">
        <v>999</v>
      </c>
      <c r="AV104" s="64">
        <v>25</v>
      </c>
      <c r="AW104" s="41">
        <v>-0.1040564441609675</v>
      </c>
      <c r="AX104" s="6">
        <v>999</v>
      </c>
      <c r="AY104" s="41">
        <v>-0.1040564441609675</v>
      </c>
      <c r="AZ104" s="94">
        <v>999</v>
      </c>
    </row>
    <row r="105" spans="1:52" x14ac:dyDescent="0.3">
      <c r="A105" t="s">
        <v>346</v>
      </c>
      <c r="B105" s="25" t="s">
        <v>250</v>
      </c>
      <c r="C105" s="25" t="s">
        <v>269</v>
      </c>
      <c r="E105" s="7"/>
      <c r="F105" s="7"/>
      <c r="G105" s="13"/>
      <c r="H105" s="14"/>
      <c r="I105" s="20"/>
      <c r="J105" s="21"/>
      <c r="K105" s="22"/>
      <c r="L105" s="21"/>
      <c r="M105" s="27"/>
      <c r="N105" s="29"/>
      <c r="O105" s="88"/>
      <c r="P105" s="29"/>
      <c r="Q105" s="29"/>
      <c r="R105" s="29"/>
      <c r="T105" s="6">
        <v>999</v>
      </c>
      <c r="V105" s="94">
        <v>999</v>
      </c>
      <c r="W105" s="97"/>
      <c r="AB105" s="91"/>
      <c r="AG105" s="91"/>
      <c r="AL105" s="93"/>
      <c r="AQ105" s="91"/>
      <c r="AV105" s="97"/>
    </row>
    <row r="106" spans="1:52" x14ac:dyDescent="0.3">
      <c r="A106" t="s">
        <v>347</v>
      </c>
      <c r="B106" s="25" t="s">
        <v>254</v>
      </c>
      <c r="C106" s="25" t="s">
        <v>316</v>
      </c>
      <c r="T106" s="6">
        <v>999</v>
      </c>
      <c r="V106" s="94">
        <v>999</v>
      </c>
    </row>
    <row r="107" spans="1:52" x14ac:dyDescent="0.3">
      <c r="A107" t="s">
        <v>26</v>
      </c>
      <c r="B107" s="25" t="s">
        <v>231</v>
      </c>
      <c r="C107" s="25" t="s">
        <v>226</v>
      </c>
      <c r="D107" s="24">
        <v>5.0450000762939453</v>
      </c>
      <c r="E107" s="2">
        <v>-0.55248737357608813</v>
      </c>
      <c r="F107" s="2">
        <v>-0.37716051374079801</v>
      </c>
      <c r="G107" s="15">
        <v>-7.0366702419213722E-2</v>
      </c>
      <c r="H107" s="16">
        <v>-0.21506442452702851</v>
      </c>
      <c r="I107" s="17">
        <v>0.20118926682578239</v>
      </c>
      <c r="J107" s="18">
        <v>28</v>
      </c>
      <c r="K107" s="19">
        <v>-0.38156593887486467</v>
      </c>
      <c r="L107" s="18">
        <v>131</v>
      </c>
      <c r="M107" s="26">
        <v>19</v>
      </c>
      <c r="N107" s="28">
        <v>28</v>
      </c>
      <c r="P107" s="28">
        <v>3</v>
      </c>
      <c r="Q107" s="28">
        <v>14</v>
      </c>
      <c r="R107" s="28">
        <v>105</v>
      </c>
      <c r="S107" s="98">
        <v>0.5</v>
      </c>
      <c r="T107" s="6">
        <v>28</v>
      </c>
      <c r="U107" s="41">
        <v>0.5</v>
      </c>
      <c r="V107" s="94">
        <v>28</v>
      </c>
      <c r="W107" s="64">
        <v>7</v>
      </c>
      <c r="X107" s="41">
        <v>9.9559964853455321E-2</v>
      </c>
      <c r="Y107" s="6">
        <v>999</v>
      </c>
      <c r="Z107" s="41">
        <v>9.9559964853455321E-2</v>
      </c>
      <c r="AA107" s="84">
        <v>999</v>
      </c>
      <c r="AB107" s="63">
        <v>14</v>
      </c>
      <c r="AC107" s="41">
        <v>0.1076914739622178</v>
      </c>
      <c r="AD107" s="6">
        <v>999</v>
      </c>
      <c r="AE107" s="41">
        <v>0.1076914739622178</v>
      </c>
      <c r="AF107" s="84">
        <v>999</v>
      </c>
      <c r="AG107" s="63">
        <v>105</v>
      </c>
      <c r="AH107" s="41">
        <v>0.42979935744485243</v>
      </c>
      <c r="AI107" s="6">
        <v>145</v>
      </c>
      <c r="AJ107" s="41">
        <v>0.42979935744485243</v>
      </c>
      <c r="AK107" s="84">
        <v>145</v>
      </c>
      <c r="AL107" s="95">
        <v>7</v>
      </c>
      <c r="AM107" s="41">
        <v>9.9559964853455321E-2</v>
      </c>
      <c r="AN107" s="6">
        <v>999</v>
      </c>
      <c r="AO107" s="41">
        <v>9.9559964853455321E-2</v>
      </c>
      <c r="AP107" s="84">
        <v>999</v>
      </c>
      <c r="AQ107" s="63">
        <v>14</v>
      </c>
      <c r="AR107" s="41">
        <v>0.1076914739622178</v>
      </c>
      <c r="AS107" s="6">
        <v>999</v>
      </c>
      <c r="AT107" s="41">
        <v>0.1076914739622178</v>
      </c>
      <c r="AU107" s="89">
        <v>999</v>
      </c>
      <c r="AV107" s="64">
        <v>105</v>
      </c>
      <c r="AW107" s="41">
        <v>0.42979935744485243</v>
      </c>
      <c r="AX107" s="6">
        <v>145</v>
      </c>
      <c r="AY107" s="41">
        <v>0.42979935744485243</v>
      </c>
      <c r="AZ107" s="94">
        <v>145</v>
      </c>
    </row>
    <row r="108" spans="1:52" x14ac:dyDescent="0.3">
      <c r="A108" t="s">
        <v>348</v>
      </c>
      <c r="B108" s="25" t="s">
        <v>261</v>
      </c>
      <c r="C108" s="25" t="s">
        <v>336</v>
      </c>
      <c r="T108" s="6">
        <v>999</v>
      </c>
      <c r="V108" s="94">
        <v>999</v>
      </c>
    </row>
    <row r="109" spans="1:52" x14ac:dyDescent="0.3">
      <c r="A109" t="s">
        <v>349</v>
      </c>
      <c r="B109" s="25" t="s">
        <v>286</v>
      </c>
      <c r="C109" s="25" t="s">
        <v>263</v>
      </c>
      <c r="T109" s="6">
        <v>999</v>
      </c>
      <c r="V109" s="94">
        <v>999</v>
      </c>
    </row>
    <row r="110" spans="1:52" x14ac:dyDescent="0.3">
      <c r="A110" t="s">
        <v>350</v>
      </c>
      <c r="B110" s="25" t="s">
        <v>253</v>
      </c>
      <c r="C110" s="25" t="s">
        <v>254</v>
      </c>
      <c r="T110" s="6">
        <v>999</v>
      </c>
      <c r="V110" s="94">
        <v>999</v>
      </c>
    </row>
    <row r="111" spans="1:52" x14ac:dyDescent="0.3">
      <c r="A111" t="s">
        <v>57</v>
      </c>
      <c r="B111" s="25" t="s">
        <v>231</v>
      </c>
      <c r="C111" s="25" t="s">
        <v>226</v>
      </c>
      <c r="D111" s="24">
        <v>18.027835845947269</v>
      </c>
      <c r="E111" s="7">
        <v>0.16522235040681421</v>
      </c>
      <c r="F111" s="7">
        <v>0.12995721794460111</v>
      </c>
      <c r="G111" s="13">
        <v>0.2127006156936819</v>
      </c>
      <c r="H111" s="14">
        <v>-0.31986801848287161</v>
      </c>
      <c r="I111" s="20">
        <v>0.46777643317479561</v>
      </c>
      <c r="J111" s="21">
        <v>102</v>
      </c>
      <c r="K111" s="22">
        <v>-0.46662760170626089</v>
      </c>
      <c r="L111" s="21">
        <v>149</v>
      </c>
      <c r="M111" s="27">
        <v>23</v>
      </c>
      <c r="N111" s="29">
        <v>41</v>
      </c>
      <c r="O111" s="88">
        <v>95</v>
      </c>
      <c r="P111" s="29">
        <v>37</v>
      </c>
      <c r="Q111" s="29">
        <v>146</v>
      </c>
      <c r="R111" s="29">
        <v>146</v>
      </c>
      <c r="S111" s="98">
        <v>0.56868089931497812</v>
      </c>
      <c r="T111" s="6">
        <v>102</v>
      </c>
      <c r="U111" s="41">
        <v>0.56868089931497812</v>
      </c>
      <c r="V111" s="94">
        <v>102</v>
      </c>
      <c r="W111" s="97">
        <v>37</v>
      </c>
      <c r="X111" s="41">
        <v>0.63210966552044567</v>
      </c>
      <c r="Y111" s="6">
        <v>102</v>
      </c>
      <c r="Z111" s="41">
        <v>0.63210966552044567</v>
      </c>
      <c r="AA111" s="84">
        <v>102</v>
      </c>
      <c r="AB111" s="91">
        <v>146</v>
      </c>
      <c r="AC111" s="41">
        <v>-2.979450380828335E-2</v>
      </c>
      <c r="AD111" s="6">
        <v>999</v>
      </c>
      <c r="AE111" s="41">
        <v>-2.979450380828335E-2</v>
      </c>
      <c r="AF111" s="84">
        <v>999</v>
      </c>
      <c r="AG111" s="91">
        <v>146</v>
      </c>
      <c r="AH111" s="41">
        <v>-2.979450380828335E-2</v>
      </c>
      <c r="AI111" s="6">
        <v>999</v>
      </c>
      <c r="AJ111" s="41">
        <v>-2.979450380828335E-2</v>
      </c>
      <c r="AK111" s="84">
        <v>999</v>
      </c>
      <c r="AL111" s="93">
        <v>23</v>
      </c>
      <c r="AM111" s="41">
        <v>0.26907818804381728</v>
      </c>
      <c r="AN111" s="6">
        <v>102</v>
      </c>
      <c r="AO111" s="41">
        <v>0.26907818804381728</v>
      </c>
      <c r="AP111" s="84">
        <v>102</v>
      </c>
      <c r="AQ111" s="91">
        <v>41</v>
      </c>
      <c r="AR111" s="41">
        <v>0.2149170949453745</v>
      </c>
      <c r="AS111" s="6">
        <v>102</v>
      </c>
      <c r="AT111" s="41">
        <v>0.2149170949453745</v>
      </c>
      <c r="AU111" s="89">
        <v>102</v>
      </c>
      <c r="AV111" s="97">
        <v>95</v>
      </c>
      <c r="AW111" s="41">
        <v>-0.15494264357086279</v>
      </c>
      <c r="AX111" s="6">
        <v>999</v>
      </c>
      <c r="AY111" s="41">
        <v>-0.15494264357086279</v>
      </c>
      <c r="AZ111" s="94">
        <v>999</v>
      </c>
    </row>
    <row r="112" spans="1:52" x14ac:dyDescent="0.3">
      <c r="A112" t="s">
        <v>351</v>
      </c>
      <c r="B112" s="25" t="s">
        <v>260</v>
      </c>
      <c r="C112" s="25" t="s">
        <v>261</v>
      </c>
      <c r="D112" s="24">
        <v>64.401130676269531</v>
      </c>
      <c r="E112" s="2">
        <v>7.6047729274823395E-2</v>
      </c>
      <c r="F112" s="2">
        <v>0.124656088744759</v>
      </c>
      <c r="G112" s="15">
        <v>0.158412592544767</v>
      </c>
      <c r="H112" s="16">
        <v>0.79738200264536374</v>
      </c>
      <c r="I112" s="17">
        <v>0.79738200264536374</v>
      </c>
      <c r="J112" s="18">
        <v>150</v>
      </c>
      <c r="K112" s="19">
        <v>-7.9157428725943113E-2</v>
      </c>
      <c r="L112" s="18">
        <v>41</v>
      </c>
      <c r="M112" s="26">
        <v>13</v>
      </c>
      <c r="N112" s="28">
        <v>85</v>
      </c>
      <c r="O112" s="87">
        <v>117</v>
      </c>
      <c r="S112" s="98">
        <v>0.67667516016621354</v>
      </c>
      <c r="T112" s="6">
        <v>150</v>
      </c>
      <c r="U112" s="41">
        <v>0.67667516016621354</v>
      </c>
      <c r="V112" s="94">
        <v>150</v>
      </c>
      <c r="W112" s="97"/>
      <c r="AB112" s="91"/>
      <c r="AG112" s="91"/>
      <c r="AL112" s="93">
        <v>13</v>
      </c>
      <c r="AM112" s="41">
        <v>0.63281415297579025</v>
      </c>
      <c r="AN112" s="6">
        <v>150</v>
      </c>
      <c r="AO112" s="41">
        <v>0.63281415297579025</v>
      </c>
      <c r="AP112" s="84">
        <v>150</v>
      </c>
      <c r="AQ112" s="91">
        <v>85</v>
      </c>
      <c r="AR112" s="41">
        <v>0.49151357026574338</v>
      </c>
      <c r="AS112" s="6">
        <v>150</v>
      </c>
      <c r="AT112" s="41">
        <v>0.49151357026574338</v>
      </c>
      <c r="AU112" s="89">
        <v>150</v>
      </c>
      <c r="AV112" s="97">
        <v>117</v>
      </c>
      <c r="AW112" s="41">
        <v>0.37046423152375052</v>
      </c>
      <c r="AX112" s="6">
        <v>150</v>
      </c>
      <c r="AY112" s="41">
        <v>0.37046423152375052</v>
      </c>
      <c r="AZ112" s="94">
        <v>150</v>
      </c>
    </row>
    <row r="113" spans="1:52" x14ac:dyDescent="0.3">
      <c r="A113" t="s">
        <v>80</v>
      </c>
      <c r="B113" s="25" t="s">
        <v>258</v>
      </c>
      <c r="C113" s="25" t="s">
        <v>305</v>
      </c>
      <c r="D113" s="24">
        <v>38.895769119262702</v>
      </c>
      <c r="E113" s="2">
        <v>0.34554225704279662</v>
      </c>
      <c r="F113" s="2">
        <v>0.1002985159345544</v>
      </c>
      <c r="G113" s="15">
        <v>0.27966680045712722</v>
      </c>
      <c r="H113" s="16">
        <v>8.9799454066269879E-2</v>
      </c>
      <c r="I113" s="17">
        <v>0.55458682653523317</v>
      </c>
      <c r="J113" s="18">
        <v>130</v>
      </c>
      <c r="K113" s="19">
        <v>-4.2332592949839147E-2</v>
      </c>
      <c r="L113" s="18">
        <v>5</v>
      </c>
      <c r="M113" s="26">
        <v>13</v>
      </c>
      <c r="N113" s="28">
        <v>41</v>
      </c>
      <c r="O113" s="87">
        <v>58</v>
      </c>
      <c r="S113" s="98">
        <v>0.58577060230887312</v>
      </c>
      <c r="T113" s="6">
        <v>130</v>
      </c>
      <c r="U113" s="41">
        <v>0.58577060230887312</v>
      </c>
      <c r="V113" s="94">
        <v>130</v>
      </c>
      <c r="W113" s="97"/>
      <c r="AB113" s="91"/>
      <c r="AG113" s="91"/>
      <c r="AL113" s="93">
        <v>13</v>
      </c>
      <c r="AM113" s="41">
        <v>0.40771929276124591</v>
      </c>
      <c r="AN113" s="6">
        <v>130</v>
      </c>
      <c r="AO113" s="41">
        <v>0.40771929276124591</v>
      </c>
      <c r="AP113" s="84">
        <v>130</v>
      </c>
      <c r="AQ113" s="91">
        <v>41</v>
      </c>
      <c r="AR113" s="41">
        <v>0.24790051323586759</v>
      </c>
      <c r="AS113" s="6">
        <v>130</v>
      </c>
      <c r="AT113" s="41">
        <v>0.24790051323586759</v>
      </c>
      <c r="AU113" s="89">
        <v>130</v>
      </c>
      <c r="AV113" s="97">
        <v>58</v>
      </c>
      <c r="AW113" s="41">
        <v>0.1774028109218202</v>
      </c>
      <c r="AX113" s="6">
        <v>130</v>
      </c>
      <c r="AY113" s="41">
        <v>0.1774028109218202</v>
      </c>
      <c r="AZ113" s="94">
        <v>130</v>
      </c>
    </row>
    <row r="114" spans="1:52" x14ac:dyDescent="0.3">
      <c r="A114" t="s">
        <v>352</v>
      </c>
      <c r="B114" s="25" t="s">
        <v>295</v>
      </c>
      <c r="C114" s="25" t="s">
        <v>253</v>
      </c>
      <c r="D114" s="24">
        <v>27.814641952514648</v>
      </c>
      <c r="E114" s="2">
        <v>0.55172412692339012</v>
      </c>
      <c r="F114" s="2">
        <v>-5.5944065450926783E-2</v>
      </c>
      <c r="G114" s="15">
        <v>0.29594374445711452</v>
      </c>
      <c r="H114" s="16">
        <v>-0.21622583133938619</v>
      </c>
      <c r="I114" s="17">
        <v>0.37495583006460392</v>
      </c>
      <c r="J114" s="18">
        <v>72</v>
      </c>
      <c r="K114" s="19">
        <v>-0.38447966701783182</v>
      </c>
      <c r="L114" s="18">
        <v>132</v>
      </c>
      <c r="M114" s="26">
        <v>9</v>
      </c>
      <c r="N114" s="28">
        <v>28</v>
      </c>
      <c r="O114" s="87">
        <v>69</v>
      </c>
      <c r="P114" s="28">
        <v>117</v>
      </c>
      <c r="Q114" s="28">
        <v>118</v>
      </c>
      <c r="R114" s="28">
        <v>125</v>
      </c>
      <c r="S114" s="98">
        <v>0.26108054522238572</v>
      </c>
      <c r="T114" s="6">
        <v>72</v>
      </c>
      <c r="U114" s="41">
        <v>0.26108054522238572</v>
      </c>
      <c r="V114" s="94">
        <v>72</v>
      </c>
      <c r="W114" s="64">
        <v>117</v>
      </c>
      <c r="X114" s="41">
        <v>-0.13305646382224801</v>
      </c>
      <c r="Y114" s="6">
        <v>999</v>
      </c>
      <c r="Z114" s="41">
        <v>-0.13305646382224801</v>
      </c>
      <c r="AA114" s="84">
        <v>999</v>
      </c>
      <c r="AB114" s="63">
        <v>118</v>
      </c>
      <c r="AC114" s="41">
        <v>5.3667183024983078E-2</v>
      </c>
      <c r="AD114" s="6">
        <v>145</v>
      </c>
      <c r="AE114" s="41">
        <v>5.3667183024983078E-2</v>
      </c>
      <c r="AF114" s="84">
        <v>145</v>
      </c>
      <c r="AG114" s="63">
        <v>125</v>
      </c>
      <c r="AH114" s="41">
        <v>5.1661978565213137E-2</v>
      </c>
      <c r="AI114" s="6">
        <v>999</v>
      </c>
      <c r="AJ114" s="41">
        <v>5.1661978565213137E-2</v>
      </c>
      <c r="AK114" s="84">
        <v>999</v>
      </c>
      <c r="AL114" s="95">
        <v>9</v>
      </c>
      <c r="AM114" s="41">
        <v>0.1953388104438889</v>
      </c>
      <c r="AN114" s="6">
        <v>72</v>
      </c>
      <c r="AO114" s="41">
        <v>0.1953388104438889</v>
      </c>
      <c r="AP114" s="84">
        <v>72</v>
      </c>
      <c r="AQ114" s="63">
        <v>28</v>
      </c>
      <c r="AR114" s="41">
        <v>0.12821983868410269</v>
      </c>
      <c r="AS114" s="6">
        <v>72</v>
      </c>
      <c r="AT114" s="41">
        <v>0.12821983868410269</v>
      </c>
      <c r="AU114" s="89">
        <v>72</v>
      </c>
      <c r="AV114" s="64">
        <v>69</v>
      </c>
      <c r="AW114" s="41">
        <v>-0.24810239229564759</v>
      </c>
      <c r="AX114" s="6">
        <v>999</v>
      </c>
      <c r="AY114" s="41">
        <v>-0.24810239229564759</v>
      </c>
      <c r="AZ114" s="94">
        <v>999</v>
      </c>
    </row>
    <row r="115" spans="1:52" x14ac:dyDescent="0.3">
      <c r="A115" t="s">
        <v>353</v>
      </c>
      <c r="B115" s="25" t="s">
        <v>249</v>
      </c>
      <c r="C115" s="25" t="s">
        <v>250</v>
      </c>
      <c r="D115" s="24">
        <v>66.287506103515625</v>
      </c>
      <c r="E115" s="2">
        <v>0.35776404610884088</v>
      </c>
      <c r="F115" s="2">
        <v>9.7395880664944645E-2</v>
      </c>
      <c r="G115" s="15">
        <v>-4.4785563247516702E-2</v>
      </c>
      <c r="H115" s="16">
        <v>0.18067935356835221</v>
      </c>
      <c r="I115" s="17">
        <v>0.20310433316191781</v>
      </c>
      <c r="J115" s="18">
        <v>146</v>
      </c>
      <c r="K115" s="19">
        <v>-7.1187265464118021E-2</v>
      </c>
      <c r="L115" s="18">
        <v>74</v>
      </c>
      <c r="M115" s="26">
        <v>123</v>
      </c>
      <c r="N115" s="28">
        <v>146</v>
      </c>
      <c r="S115" s="98">
        <v>0.1808822182082859</v>
      </c>
      <c r="T115" s="6">
        <v>146</v>
      </c>
      <c r="U115" s="41">
        <v>0.1808822182082859</v>
      </c>
      <c r="V115" s="94">
        <v>146</v>
      </c>
      <c r="AL115" s="95">
        <v>123</v>
      </c>
      <c r="AM115" s="41">
        <v>4.2585010575104512E-2</v>
      </c>
      <c r="AN115" s="6">
        <v>999</v>
      </c>
      <c r="AO115" s="41">
        <v>4.2585010575104512E-2</v>
      </c>
      <c r="AP115" s="84">
        <v>999</v>
      </c>
      <c r="AQ115" s="63">
        <v>146</v>
      </c>
      <c r="AR115" s="41">
        <v>-1.360661124767353E-2</v>
      </c>
      <c r="AS115" s="6">
        <v>999</v>
      </c>
      <c r="AT115" s="41">
        <v>-1.360661124767353E-2</v>
      </c>
      <c r="AU115" s="89">
        <v>999</v>
      </c>
    </row>
    <row r="116" spans="1:52" x14ac:dyDescent="0.3">
      <c r="A116" t="s">
        <v>162</v>
      </c>
      <c r="B116" s="25" t="s">
        <v>257</v>
      </c>
      <c r="C116" s="25" t="s">
        <v>258</v>
      </c>
      <c r="D116" s="24">
        <v>44.329536437988281</v>
      </c>
      <c r="E116" s="2">
        <v>0.1072909722706592</v>
      </c>
      <c r="F116" s="2">
        <v>7.352268160759734E-2</v>
      </c>
      <c r="G116" s="15">
        <v>8.7425634999271029E-2</v>
      </c>
      <c r="H116" s="16">
        <v>0.52683800541825199</v>
      </c>
      <c r="I116" s="17">
        <v>0.56709454025317885</v>
      </c>
      <c r="J116" s="18">
        <v>145</v>
      </c>
      <c r="K116" s="19">
        <v>-9.6895012203200848E-3</v>
      </c>
      <c r="L116" s="18">
        <v>2</v>
      </c>
      <c r="M116" s="26">
        <v>36</v>
      </c>
      <c r="N116" s="28">
        <v>105</v>
      </c>
      <c r="O116" s="87">
        <v>108</v>
      </c>
      <c r="S116" s="98">
        <v>0.52478618938718324</v>
      </c>
      <c r="T116" s="6">
        <v>145</v>
      </c>
      <c r="U116" s="41">
        <v>0.52478618938718324</v>
      </c>
      <c r="V116" s="94">
        <v>145</v>
      </c>
      <c r="AL116" s="95">
        <v>36</v>
      </c>
      <c r="AM116" s="41">
        <v>0.4119396664381243</v>
      </c>
      <c r="AN116" s="6">
        <v>145</v>
      </c>
      <c r="AO116" s="41">
        <v>0.4119396664381243</v>
      </c>
      <c r="AP116" s="84">
        <v>145</v>
      </c>
      <c r="AQ116" s="63">
        <v>105</v>
      </c>
      <c r="AR116" s="41">
        <v>0.27097269269061092</v>
      </c>
      <c r="AS116" s="6">
        <v>145</v>
      </c>
      <c r="AT116" s="41">
        <v>0.27097269269061092</v>
      </c>
      <c r="AU116" s="89">
        <v>145</v>
      </c>
      <c r="AV116" s="64">
        <v>108</v>
      </c>
      <c r="AW116" s="41">
        <v>0.19639831665136701</v>
      </c>
      <c r="AX116" s="6">
        <v>145</v>
      </c>
      <c r="AY116" s="41">
        <v>0.19639831665136701</v>
      </c>
      <c r="AZ116" s="94">
        <v>145</v>
      </c>
    </row>
    <row r="117" spans="1:52" x14ac:dyDescent="0.3">
      <c r="A117" t="s">
        <v>354</v>
      </c>
      <c r="B117" s="25" t="s">
        <v>247</v>
      </c>
      <c r="C117" s="25" t="s">
        <v>243</v>
      </c>
      <c r="D117" s="24">
        <v>15.28380870819092</v>
      </c>
      <c r="E117" s="2">
        <v>-4.5995998075590183E-2</v>
      </c>
      <c r="F117" s="2">
        <v>2.6826983279611749E-2</v>
      </c>
      <c r="G117" s="15">
        <v>-0.49897655313303468</v>
      </c>
      <c r="H117" s="16">
        <v>-0.41520619159771471</v>
      </c>
      <c r="I117" s="17">
        <v>2.499994540202333E-2</v>
      </c>
      <c r="J117" s="18">
        <v>7</v>
      </c>
      <c r="K117" s="19">
        <v>-0.54958438460436909</v>
      </c>
      <c r="L117" s="18">
        <v>115</v>
      </c>
      <c r="P117" s="28">
        <v>3</v>
      </c>
      <c r="Q117" s="28">
        <v>52</v>
      </c>
      <c r="R117" s="28">
        <v>70</v>
      </c>
      <c r="S117" s="98">
        <v>-0.204045196625776</v>
      </c>
      <c r="T117" s="6">
        <v>21</v>
      </c>
      <c r="U117" s="41">
        <v>-0.47465612784891098</v>
      </c>
      <c r="V117" s="94">
        <v>70</v>
      </c>
      <c r="W117" s="64">
        <v>7</v>
      </c>
      <c r="X117" s="41">
        <v>-0.35701960174411851</v>
      </c>
      <c r="Y117" s="6">
        <v>999</v>
      </c>
      <c r="Z117" s="41">
        <v>-0.35701960174411851</v>
      </c>
      <c r="AA117" s="84">
        <v>999</v>
      </c>
      <c r="AB117" s="63">
        <v>52</v>
      </c>
      <c r="AC117" s="41">
        <v>-0.29249186505128483</v>
      </c>
      <c r="AD117" s="6">
        <v>999</v>
      </c>
      <c r="AE117" s="41">
        <v>-0.29249186505128483</v>
      </c>
      <c r="AF117" s="84">
        <v>999</v>
      </c>
      <c r="AG117" s="63">
        <v>70</v>
      </c>
      <c r="AH117" s="41">
        <v>8.6013572094538748E-2</v>
      </c>
      <c r="AI117" s="6">
        <v>150</v>
      </c>
      <c r="AJ117" s="41">
        <v>8.6013572094538748E-2</v>
      </c>
      <c r="AK117" s="84">
        <v>150</v>
      </c>
      <c r="AL117" s="95">
        <v>7</v>
      </c>
      <c r="AM117" s="41">
        <v>-0.35701960174411851</v>
      </c>
      <c r="AN117" s="6">
        <v>999</v>
      </c>
      <c r="AO117" s="41">
        <v>-0.35701960174411851</v>
      </c>
      <c r="AP117" s="84">
        <v>999</v>
      </c>
      <c r="AQ117" s="63">
        <v>52</v>
      </c>
      <c r="AR117" s="41">
        <v>-0.29249186505128483</v>
      </c>
      <c r="AS117" s="6">
        <v>999</v>
      </c>
      <c r="AT117" s="41">
        <v>-0.29249186505128483</v>
      </c>
      <c r="AU117" s="89">
        <v>999</v>
      </c>
      <c r="AV117" s="64">
        <v>70</v>
      </c>
      <c r="AW117" s="41">
        <v>8.6013572094538748E-2</v>
      </c>
      <c r="AX117" s="6">
        <v>150</v>
      </c>
      <c r="AY117" s="41">
        <v>8.6013572094538748E-2</v>
      </c>
      <c r="AZ117" s="94">
        <v>150</v>
      </c>
    </row>
    <row r="118" spans="1:52" x14ac:dyDescent="0.3">
      <c r="A118" t="s">
        <v>355</v>
      </c>
      <c r="B118" s="25" t="s">
        <v>316</v>
      </c>
      <c r="C118" s="25" t="s">
        <v>317</v>
      </c>
      <c r="D118" s="24">
        <v>15.847090721130369</v>
      </c>
      <c r="E118" s="2">
        <v>-1.2973051122868281E-2</v>
      </c>
      <c r="F118" s="2">
        <v>7.6125418083119456E-3</v>
      </c>
      <c r="G118" s="15">
        <v>-0.1706699555313608</v>
      </c>
      <c r="H118" s="16">
        <v>-0.26173470962868522</v>
      </c>
      <c r="I118" s="17">
        <v>0</v>
      </c>
      <c r="J118" s="18">
        <v>0</v>
      </c>
      <c r="K118" s="19">
        <v>-0.32282536329475608</v>
      </c>
      <c r="L118" s="18">
        <v>125</v>
      </c>
      <c r="P118" s="28">
        <v>13</v>
      </c>
      <c r="Q118" s="28">
        <v>50</v>
      </c>
      <c r="R118" s="28">
        <v>64</v>
      </c>
      <c r="S118" s="98">
        <v>-0.20545338019744899</v>
      </c>
      <c r="T118" s="6">
        <v>61</v>
      </c>
      <c r="U118" s="41">
        <v>-0.1241277481050041</v>
      </c>
      <c r="V118" s="94">
        <v>999</v>
      </c>
      <c r="W118" s="64">
        <v>13</v>
      </c>
      <c r="X118" s="41">
        <v>0.16779733538561331</v>
      </c>
      <c r="Y118" s="6">
        <v>93</v>
      </c>
      <c r="Z118" s="41">
        <v>0.16779733538561331</v>
      </c>
      <c r="AA118" s="84">
        <v>93</v>
      </c>
      <c r="AB118" s="63">
        <v>50</v>
      </c>
      <c r="AC118" s="41">
        <v>0.23492892281197891</v>
      </c>
      <c r="AD118" s="6">
        <v>93</v>
      </c>
      <c r="AE118" s="41">
        <v>0.23492892281197891</v>
      </c>
      <c r="AF118" s="84">
        <v>93</v>
      </c>
      <c r="AG118" s="63">
        <v>64</v>
      </c>
      <c r="AH118" s="41">
        <v>0.40540524194837418</v>
      </c>
      <c r="AI118" s="6">
        <v>93</v>
      </c>
      <c r="AJ118" s="41">
        <v>0.40540524194837418</v>
      </c>
      <c r="AK118" s="84">
        <v>93</v>
      </c>
      <c r="AL118" s="95">
        <v>13</v>
      </c>
      <c r="AM118" s="41">
        <v>0.16779733538561331</v>
      </c>
      <c r="AN118" s="6">
        <v>93</v>
      </c>
      <c r="AO118" s="41">
        <v>0.16779733538561331</v>
      </c>
      <c r="AP118" s="84">
        <v>93</v>
      </c>
      <c r="AQ118" s="63">
        <v>50</v>
      </c>
      <c r="AR118" s="41">
        <v>0.23492892281197891</v>
      </c>
      <c r="AS118" s="6">
        <v>93</v>
      </c>
      <c r="AT118" s="41">
        <v>0.23492892281197891</v>
      </c>
      <c r="AU118" s="89">
        <v>93</v>
      </c>
      <c r="AV118" s="64">
        <v>64</v>
      </c>
      <c r="AW118" s="41">
        <v>0.40540524194837418</v>
      </c>
      <c r="AX118" s="6">
        <v>93</v>
      </c>
      <c r="AY118" s="41">
        <v>0.40540524194837418</v>
      </c>
      <c r="AZ118" s="94">
        <v>93</v>
      </c>
    </row>
    <row r="119" spans="1:52" x14ac:dyDescent="0.3">
      <c r="A119" t="s">
        <v>58</v>
      </c>
      <c r="B119" s="25" t="s">
        <v>232</v>
      </c>
      <c r="C119" s="25" t="s">
        <v>233</v>
      </c>
      <c r="D119" s="24">
        <v>5.2399997711181641</v>
      </c>
      <c r="E119" s="2">
        <v>-0.29093371234252668</v>
      </c>
      <c r="F119" s="2">
        <v>-3.4990803540889237E-2</v>
      </c>
      <c r="I119" s="17">
        <v>2.2900833518668891E-2</v>
      </c>
      <c r="J119" s="18">
        <v>55</v>
      </c>
      <c r="K119" s="19">
        <v>-0.33587782994675808</v>
      </c>
      <c r="L119" s="18">
        <v>28</v>
      </c>
      <c r="P119" s="28">
        <v>8</v>
      </c>
      <c r="Q119" s="28">
        <v>22</v>
      </c>
      <c r="R119" s="28">
        <v>28</v>
      </c>
      <c r="S119" s="98">
        <v>-0.2119341937267657</v>
      </c>
      <c r="T119" s="6">
        <v>24</v>
      </c>
      <c r="U119" s="41">
        <v>0.10288065560986651</v>
      </c>
      <c r="V119" s="94">
        <v>55</v>
      </c>
      <c r="W119" s="64">
        <v>8</v>
      </c>
      <c r="X119" s="41">
        <v>0.15517247580745019</v>
      </c>
      <c r="Y119" s="6">
        <v>55</v>
      </c>
      <c r="Z119" s="41">
        <v>0.15517247580745019</v>
      </c>
      <c r="AA119" s="84">
        <v>55</v>
      </c>
      <c r="AB119" s="63">
        <v>22</v>
      </c>
      <c r="AC119" s="41">
        <v>0.35353537421240572</v>
      </c>
      <c r="AD119" s="6">
        <v>55</v>
      </c>
      <c r="AE119" s="41">
        <v>0.35353537421240572</v>
      </c>
      <c r="AF119" s="84">
        <v>55</v>
      </c>
      <c r="AG119" s="63">
        <v>28</v>
      </c>
      <c r="AH119" s="41">
        <v>0.54022991498185369</v>
      </c>
      <c r="AI119" s="6">
        <v>55</v>
      </c>
      <c r="AJ119" s="41">
        <v>0.54022991498185369</v>
      </c>
      <c r="AK119" s="84">
        <v>55</v>
      </c>
      <c r="AL119" s="95">
        <v>8</v>
      </c>
      <c r="AM119" s="41">
        <v>0.15517247580745019</v>
      </c>
      <c r="AN119" s="6">
        <v>55</v>
      </c>
      <c r="AO119" s="41">
        <v>0.15517247580745019</v>
      </c>
      <c r="AP119" s="84">
        <v>55</v>
      </c>
      <c r="AQ119" s="63">
        <v>22</v>
      </c>
      <c r="AR119" s="41">
        <v>0.35353537421240572</v>
      </c>
      <c r="AS119" s="6">
        <v>55</v>
      </c>
      <c r="AT119" s="41">
        <v>0.35353537421240572</v>
      </c>
      <c r="AU119" s="89">
        <v>55</v>
      </c>
      <c r="AV119" s="64">
        <v>28</v>
      </c>
      <c r="AW119" s="41">
        <v>0.54022991498185369</v>
      </c>
      <c r="AX119" s="6">
        <v>55</v>
      </c>
      <c r="AY119" s="41">
        <v>0.54022991498185369</v>
      </c>
      <c r="AZ119" s="94">
        <v>55</v>
      </c>
    </row>
    <row r="120" spans="1:52" x14ac:dyDescent="0.3">
      <c r="A120" t="s">
        <v>356</v>
      </c>
      <c r="B120" s="25" t="s">
        <v>258</v>
      </c>
      <c r="C120" s="25" t="s">
        <v>305</v>
      </c>
      <c r="D120" s="24">
        <v>20.27499961853027</v>
      </c>
      <c r="E120" s="2">
        <v>0.14354202718568909</v>
      </c>
      <c r="F120" s="2">
        <v>0.100108479804873</v>
      </c>
      <c r="G120" s="15">
        <v>-0.25178789831249238</v>
      </c>
      <c r="H120" s="16">
        <v>0.14278670837151569</v>
      </c>
      <c r="I120" s="17">
        <v>0.25376081650139309</v>
      </c>
      <c r="J120" s="18">
        <v>145</v>
      </c>
      <c r="K120" s="19">
        <v>-0.34303329492295292</v>
      </c>
      <c r="L120" s="18">
        <v>52</v>
      </c>
      <c r="M120" s="26">
        <v>135</v>
      </c>
      <c r="N120" s="28">
        <v>142</v>
      </c>
      <c r="P120" s="28">
        <v>5</v>
      </c>
      <c r="Q120" s="28">
        <v>45</v>
      </c>
      <c r="R120" s="28">
        <v>51</v>
      </c>
      <c r="S120" s="98">
        <v>-0.20205849009893839</v>
      </c>
      <c r="T120" s="6">
        <v>50</v>
      </c>
      <c r="U120" s="41">
        <v>0.3770314917120221</v>
      </c>
      <c r="V120" s="94">
        <v>145</v>
      </c>
      <c r="W120" s="97">
        <v>7</v>
      </c>
      <c r="X120" s="41">
        <v>0.3770314917120221</v>
      </c>
      <c r="Y120" s="6">
        <v>145</v>
      </c>
      <c r="Z120" s="41">
        <v>0.3770314917120221</v>
      </c>
      <c r="AA120" s="84">
        <v>145</v>
      </c>
      <c r="AB120" s="91">
        <v>45</v>
      </c>
      <c r="AC120" s="41">
        <v>0.57888195490672523</v>
      </c>
      <c r="AD120" s="6">
        <v>145</v>
      </c>
      <c r="AE120" s="41">
        <v>0.57888195490672523</v>
      </c>
      <c r="AF120" s="84">
        <v>145</v>
      </c>
      <c r="AG120" s="91">
        <v>51</v>
      </c>
      <c r="AH120" s="41">
        <v>0.86911760024133544</v>
      </c>
      <c r="AI120" s="6">
        <v>145</v>
      </c>
      <c r="AJ120" s="41">
        <v>0.86911760024133544</v>
      </c>
      <c r="AK120" s="84">
        <v>145</v>
      </c>
      <c r="AL120" s="93">
        <v>7</v>
      </c>
      <c r="AM120" s="41">
        <v>0.3770314917120221</v>
      </c>
      <c r="AN120" s="6">
        <v>145</v>
      </c>
      <c r="AO120" s="41">
        <v>0.3770314917120221</v>
      </c>
      <c r="AP120" s="84">
        <v>145</v>
      </c>
      <c r="AQ120" s="91">
        <v>45</v>
      </c>
      <c r="AR120" s="41">
        <v>0.57888195490672523</v>
      </c>
      <c r="AS120" s="6">
        <v>145</v>
      </c>
      <c r="AT120" s="41">
        <v>0.57888195490672523</v>
      </c>
      <c r="AU120" s="89">
        <v>145</v>
      </c>
      <c r="AV120" s="97">
        <v>51</v>
      </c>
      <c r="AW120" s="41">
        <v>0.86911760024133544</v>
      </c>
      <c r="AX120" s="6">
        <v>145</v>
      </c>
      <c r="AY120" s="41">
        <v>0.86911760024133544</v>
      </c>
      <c r="AZ120" s="94">
        <v>145</v>
      </c>
    </row>
  </sheetData>
  <autoFilter ref="A4:AZ76" xr:uid="{A63CA558-3F40-463D-93F5-3E4C2572FE45}">
    <sortState xmlns:xlrd2="http://schemas.microsoft.com/office/spreadsheetml/2017/richdata2" ref="A5:AZ120">
      <sortCondition descending="1" ref="C4:C76"/>
    </sortState>
  </autoFilter>
  <mergeCells count="29">
    <mergeCell ref="AT3:AU3"/>
    <mergeCell ref="AW3:AX3"/>
    <mergeCell ref="AY3:AZ3"/>
    <mergeCell ref="AE3:AF3"/>
    <mergeCell ref="AH3:AI3"/>
    <mergeCell ref="AJ3:AK3"/>
    <mergeCell ref="AM3:AN3"/>
    <mergeCell ref="AO3:AP3"/>
    <mergeCell ref="AR3:AS3"/>
    <mergeCell ref="S3:T3"/>
    <mergeCell ref="U3:V3"/>
    <mergeCell ref="X3:Y3"/>
    <mergeCell ref="Z3:AA3"/>
    <mergeCell ref="AC3:AD3"/>
    <mergeCell ref="A1:R1"/>
    <mergeCell ref="S1:AZ1"/>
    <mergeCell ref="B2:D2"/>
    <mergeCell ref="E2:F2"/>
    <mergeCell ref="G2:H2"/>
    <mergeCell ref="I2:L2"/>
    <mergeCell ref="M2:O2"/>
    <mergeCell ref="P2:R2"/>
    <mergeCell ref="S2:V2"/>
    <mergeCell ref="W2:AA2"/>
    <mergeCell ref="AB2:AF2"/>
    <mergeCell ref="AG2:AK2"/>
    <mergeCell ref="AL2:AP2"/>
    <mergeCell ref="AQ2:AU2"/>
    <mergeCell ref="AV2:AZ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C6C1-1FBC-42FB-945B-4D925B310A3F}">
  <dimension ref="A1:BA15"/>
  <sheetViews>
    <sheetView zoomScale="85" zoomScaleNormal="85" workbookViewId="0">
      <pane xSplit="5" ySplit="4" topLeftCell="F5" activePane="bottomRight" state="frozen"/>
      <selection pane="topRight" activeCell="D1" sqref="D1"/>
      <selection pane="bottomLeft" activeCell="A2" sqref="A2"/>
      <selection pane="bottomRight" activeCell="M24" sqref="M24"/>
    </sheetView>
  </sheetViews>
  <sheetFormatPr defaultRowHeight="14.4" outlineLevelCol="1" x14ac:dyDescent="0.3"/>
  <cols>
    <col min="2" max="2" width="8.88671875" style="8"/>
    <col min="3" max="4" width="11" style="25" customWidth="1"/>
    <col min="5" max="5" width="11" style="24" bestFit="1" customWidth="1"/>
    <col min="6" max="7" width="9.88671875" style="2" customWidth="1" outlineLevel="1"/>
    <col min="8" max="8" width="9.88671875" style="15" customWidth="1" outlineLevel="1"/>
    <col min="9" max="9" width="9.88671875" style="16" customWidth="1" outlineLevel="1"/>
    <col min="10" max="10" width="6.88671875" style="17" customWidth="1" outlineLevel="1"/>
    <col min="11" max="11" width="12.33203125" style="18" customWidth="1" outlineLevel="1"/>
    <col min="12" max="12" width="6.6640625" style="19" customWidth="1" outlineLevel="1"/>
    <col min="13" max="13" width="12.109375" style="18" customWidth="1" outlineLevel="1"/>
    <col min="14" max="14" width="10.109375" style="26" customWidth="1" outlineLevel="1"/>
    <col min="15" max="15" width="10.109375" style="28" customWidth="1" outlineLevel="1"/>
    <col min="16" max="16" width="10.109375" style="87" customWidth="1" outlineLevel="1"/>
    <col min="17" max="19" width="10.109375" style="28" customWidth="1" outlineLevel="1"/>
    <col min="20" max="20" width="6.5546875" style="98" bestFit="1" customWidth="1"/>
    <col min="21" max="21" width="5.5546875" style="6" bestFit="1" customWidth="1"/>
    <col min="22" max="22" width="6.5546875" style="41" bestFit="1" customWidth="1"/>
    <col min="23" max="23" width="5.5546875" style="94" bestFit="1" customWidth="1"/>
    <col min="24" max="24" width="9.44140625" style="64" bestFit="1" customWidth="1"/>
    <col min="25" max="25" width="6.5546875" style="41" bestFit="1" customWidth="1"/>
    <col min="26" max="26" width="5.5546875" style="6" bestFit="1" customWidth="1"/>
    <col min="27" max="27" width="6.5546875" style="41" bestFit="1" customWidth="1"/>
    <col min="28" max="28" width="5.5546875" style="84" bestFit="1" customWidth="1"/>
    <col min="29" max="29" width="9.44140625" style="63" bestFit="1" customWidth="1"/>
    <col min="30" max="30" width="6.5546875" style="41" bestFit="1" customWidth="1"/>
    <col min="31" max="31" width="5.5546875" style="6" bestFit="1" customWidth="1"/>
    <col min="32" max="32" width="6.5546875" style="41" bestFit="1" customWidth="1"/>
    <col min="33" max="33" width="5.5546875" style="84" bestFit="1" customWidth="1"/>
    <col min="34" max="34" width="9.44140625" style="63" bestFit="1" customWidth="1"/>
    <col min="35" max="35" width="6.5546875" style="41" bestFit="1" customWidth="1"/>
    <col min="36" max="36" width="5.5546875" style="6" bestFit="1" customWidth="1"/>
    <col min="37" max="37" width="6.5546875" style="41" bestFit="1" customWidth="1"/>
    <col min="38" max="38" width="5.5546875" style="84" bestFit="1" customWidth="1"/>
    <col min="39" max="39" width="9.44140625" style="95" bestFit="1" customWidth="1"/>
    <col min="40" max="40" width="6.5546875" style="41" bestFit="1" customWidth="1"/>
    <col min="41" max="41" width="5.5546875" style="6" bestFit="1" customWidth="1"/>
    <col min="42" max="42" width="6.5546875" style="41" bestFit="1" customWidth="1"/>
    <col min="43" max="43" width="5.5546875" style="84" bestFit="1" customWidth="1"/>
    <col min="44" max="44" width="9.44140625" style="63" bestFit="1" customWidth="1"/>
    <col min="45" max="45" width="6.5546875" style="41" bestFit="1" customWidth="1"/>
    <col min="46" max="46" width="5.5546875" style="6" bestFit="1" customWidth="1"/>
    <col min="47" max="47" width="6.5546875" style="41" bestFit="1" customWidth="1"/>
    <col min="48" max="48" width="5.5546875" style="89" bestFit="1" customWidth="1"/>
    <col min="49" max="49" width="9.44140625" style="64" bestFit="1" customWidth="1"/>
    <col min="50" max="50" width="6.5546875" style="41" bestFit="1" customWidth="1"/>
    <col min="51" max="51" width="5.5546875" style="6" bestFit="1" customWidth="1"/>
    <col min="52" max="52" width="6.5546875" style="41" bestFit="1" customWidth="1"/>
    <col min="53" max="53" width="5.5546875" style="94" bestFit="1" customWidth="1"/>
  </cols>
  <sheetData>
    <row r="1" spans="1:53" ht="15" thickBot="1" x14ac:dyDescent="0.35"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6"/>
      <c r="R1" s="135"/>
      <c r="S1" s="135"/>
      <c r="T1" s="137" t="s">
        <v>65</v>
      </c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8"/>
    </row>
    <row r="2" spans="1:53" s="34" customFormat="1" ht="30.6" customHeight="1" x14ac:dyDescent="0.3">
      <c r="B2" s="110"/>
      <c r="C2" s="139" t="s">
        <v>37</v>
      </c>
      <c r="D2" s="139"/>
      <c r="E2" s="139"/>
      <c r="F2" s="140" t="s">
        <v>30</v>
      </c>
      <c r="G2" s="140"/>
      <c r="H2" s="141" t="s">
        <v>31</v>
      </c>
      <c r="I2" s="142"/>
      <c r="J2" s="141" t="s">
        <v>59</v>
      </c>
      <c r="K2" s="143"/>
      <c r="L2" s="142"/>
      <c r="M2" s="143"/>
      <c r="N2" s="144" t="s">
        <v>100</v>
      </c>
      <c r="O2" s="145"/>
      <c r="P2" s="146"/>
      <c r="Q2" s="145" t="s">
        <v>101</v>
      </c>
      <c r="R2" s="145"/>
      <c r="S2" s="146"/>
      <c r="T2" s="147" t="s">
        <v>98</v>
      </c>
      <c r="U2" s="148"/>
      <c r="V2" s="148"/>
      <c r="W2" s="149"/>
      <c r="X2" s="150" t="s">
        <v>102</v>
      </c>
      <c r="Y2" s="151"/>
      <c r="Z2" s="151"/>
      <c r="AA2" s="151"/>
      <c r="AB2" s="152"/>
      <c r="AC2" s="120" t="s">
        <v>103</v>
      </c>
      <c r="AD2" s="121"/>
      <c r="AE2" s="121"/>
      <c r="AF2" s="121"/>
      <c r="AG2" s="122"/>
      <c r="AH2" s="123" t="s">
        <v>104</v>
      </c>
      <c r="AI2" s="124"/>
      <c r="AJ2" s="124"/>
      <c r="AK2" s="124"/>
      <c r="AL2" s="125"/>
      <c r="AM2" s="126" t="s">
        <v>107</v>
      </c>
      <c r="AN2" s="127"/>
      <c r="AO2" s="127"/>
      <c r="AP2" s="127"/>
      <c r="AQ2" s="128"/>
      <c r="AR2" s="129" t="s">
        <v>108</v>
      </c>
      <c r="AS2" s="130"/>
      <c r="AT2" s="130"/>
      <c r="AU2" s="130"/>
      <c r="AV2" s="131"/>
      <c r="AW2" s="132" t="s">
        <v>109</v>
      </c>
      <c r="AX2" s="132"/>
      <c r="AY2" s="132"/>
      <c r="AZ2" s="132"/>
      <c r="BA2" s="133"/>
    </row>
    <row r="3" spans="1:53" s="34" customFormat="1" ht="80.400000000000006" customHeight="1" x14ac:dyDescent="0.3">
      <c r="B3" s="110"/>
      <c r="C3" s="79"/>
      <c r="D3" s="79"/>
      <c r="E3" s="79"/>
      <c r="F3" s="80"/>
      <c r="G3" s="80"/>
      <c r="H3" s="81"/>
      <c r="I3" s="82"/>
      <c r="J3" s="81"/>
      <c r="K3" s="33"/>
      <c r="L3" s="82"/>
      <c r="M3" s="33"/>
      <c r="N3" s="85"/>
      <c r="O3" s="83"/>
      <c r="P3" s="86"/>
      <c r="Q3" s="83"/>
      <c r="R3" s="83"/>
      <c r="S3" s="83"/>
      <c r="T3" s="134" t="s">
        <v>97</v>
      </c>
      <c r="U3" s="118"/>
      <c r="V3" s="116" t="s">
        <v>99</v>
      </c>
      <c r="W3" s="119"/>
      <c r="X3" s="96"/>
      <c r="Y3" s="118" t="s">
        <v>97</v>
      </c>
      <c r="Z3" s="118"/>
      <c r="AA3" s="116" t="s">
        <v>99</v>
      </c>
      <c r="AB3" s="117"/>
      <c r="AC3" s="90"/>
      <c r="AD3" s="118" t="s">
        <v>97</v>
      </c>
      <c r="AE3" s="118"/>
      <c r="AF3" s="116" t="s">
        <v>99</v>
      </c>
      <c r="AG3" s="117"/>
      <c r="AH3" s="90"/>
      <c r="AI3" s="118" t="s">
        <v>97</v>
      </c>
      <c r="AJ3" s="118"/>
      <c r="AK3" s="116" t="s">
        <v>99</v>
      </c>
      <c r="AL3" s="119"/>
      <c r="AM3" s="92"/>
      <c r="AN3" s="118" t="s">
        <v>97</v>
      </c>
      <c r="AO3" s="118"/>
      <c r="AP3" s="116" t="s">
        <v>99</v>
      </c>
      <c r="AQ3" s="116"/>
      <c r="AR3" s="90"/>
      <c r="AS3" s="118" t="s">
        <v>97</v>
      </c>
      <c r="AT3" s="118"/>
      <c r="AU3" s="116" t="s">
        <v>99</v>
      </c>
      <c r="AV3" s="117"/>
      <c r="AW3" s="96"/>
      <c r="AX3" s="118" t="s">
        <v>97</v>
      </c>
      <c r="AY3" s="118"/>
      <c r="AZ3" s="116" t="s">
        <v>99</v>
      </c>
      <c r="BA3" s="119"/>
    </row>
    <row r="4" spans="1:53" s="100" customFormat="1" x14ac:dyDescent="0.3">
      <c r="B4" s="108" t="s">
        <v>1</v>
      </c>
      <c r="C4" s="101" t="s">
        <v>40</v>
      </c>
      <c r="D4" s="101" t="s">
        <v>41</v>
      </c>
      <c r="E4" s="102" t="s">
        <v>42</v>
      </c>
      <c r="F4" s="103" t="s">
        <v>32</v>
      </c>
      <c r="G4" s="103" t="s">
        <v>28</v>
      </c>
      <c r="H4" s="104" t="s">
        <v>33</v>
      </c>
      <c r="I4" s="104" t="s">
        <v>34</v>
      </c>
      <c r="J4" s="105" t="s">
        <v>2</v>
      </c>
      <c r="K4" s="106" t="s">
        <v>3</v>
      </c>
      <c r="L4" s="105" t="s">
        <v>4</v>
      </c>
      <c r="M4" s="106" t="s">
        <v>5</v>
      </c>
      <c r="N4" s="107">
        <v>0.1</v>
      </c>
      <c r="O4" s="107">
        <v>0.2</v>
      </c>
      <c r="P4" s="107">
        <v>0.3</v>
      </c>
      <c r="Q4" s="107">
        <v>-0.1</v>
      </c>
      <c r="R4" s="107">
        <v>-0.2</v>
      </c>
      <c r="S4" s="107">
        <v>-0.3</v>
      </c>
      <c r="T4" s="104" t="s">
        <v>105</v>
      </c>
      <c r="U4" s="108" t="s">
        <v>106</v>
      </c>
      <c r="V4" s="104" t="s">
        <v>105</v>
      </c>
      <c r="W4" s="108" t="s">
        <v>106</v>
      </c>
      <c r="X4" s="99" t="s">
        <v>68</v>
      </c>
      <c r="Y4" s="104" t="s">
        <v>105</v>
      </c>
      <c r="Z4" s="108" t="s">
        <v>106</v>
      </c>
      <c r="AA4" s="104" t="s">
        <v>105</v>
      </c>
      <c r="AB4" s="108" t="s">
        <v>106</v>
      </c>
      <c r="AC4" s="99" t="s">
        <v>68</v>
      </c>
      <c r="AD4" s="104" t="s">
        <v>105</v>
      </c>
      <c r="AE4" s="108" t="s">
        <v>106</v>
      </c>
      <c r="AF4" s="104" t="s">
        <v>105</v>
      </c>
      <c r="AG4" s="108" t="s">
        <v>106</v>
      </c>
      <c r="AH4" s="99" t="s">
        <v>68</v>
      </c>
      <c r="AI4" s="104" t="s">
        <v>105</v>
      </c>
      <c r="AJ4" s="108" t="s">
        <v>106</v>
      </c>
      <c r="AK4" s="104" t="s">
        <v>105</v>
      </c>
      <c r="AL4" s="108" t="s">
        <v>106</v>
      </c>
      <c r="AM4" s="99" t="s">
        <v>68</v>
      </c>
      <c r="AN4" s="104" t="s">
        <v>105</v>
      </c>
      <c r="AO4" s="108" t="s">
        <v>106</v>
      </c>
      <c r="AP4" s="104" t="s">
        <v>105</v>
      </c>
      <c r="AQ4" s="108" t="s">
        <v>106</v>
      </c>
      <c r="AR4" s="99" t="s">
        <v>68</v>
      </c>
      <c r="AS4" s="104" t="s">
        <v>105</v>
      </c>
      <c r="AT4" s="108" t="s">
        <v>106</v>
      </c>
      <c r="AU4" s="104" t="s">
        <v>105</v>
      </c>
      <c r="AV4" s="108" t="s">
        <v>106</v>
      </c>
      <c r="AW4" s="99" t="s">
        <v>68</v>
      </c>
      <c r="AX4" s="104" t="s">
        <v>105</v>
      </c>
      <c r="AY4" s="108" t="s">
        <v>106</v>
      </c>
      <c r="AZ4" s="104" t="s">
        <v>105</v>
      </c>
      <c r="BA4" s="108" t="s">
        <v>106</v>
      </c>
    </row>
    <row r="5" spans="1:53" x14ac:dyDescent="0.3">
      <c r="A5" s="111" t="s">
        <v>91</v>
      </c>
      <c r="B5" s="8" t="s">
        <v>94</v>
      </c>
      <c r="C5" s="25" t="s">
        <v>240</v>
      </c>
      <c r="D5" s="25" t="s">
        <v>241</v>
      </c>
      <c r="E5" s="24">
        <v>2.2999999523162842</v>
      </c>
      <c r="F5" s="2">
        <v>-0.2307692491704588</v>
      </c>
      <c r="G5" s="2">
        <v>-0.160583961930296</v>
      </c>
      <c r="H5" s="15">
        <v>3.969565453105707</v>
      </c>
      <c r="I5" s="16">
        <v>2.9652174237545141</v>
      </c>
      <c r="J5" s="17">
        <v>5.4217394625982909</v>
      </c>
      <c r="K5" s="18">
        <v>82</v>
      </c>
      <c r="L5" s="19">
        <v>-0.19130432484055229</v>
      </c>
      <c r="M5" s="18">
        <v>13</v>
      </c>
      <c r="N5" s="26">
        <v>23</v>
      </c>
      <c r="O5" s="28">
        <v>23</v>
      </c>
      <c r="P5" s="87">
        <v>23</v>
      </c>
      <c r="Q5" s="28">
        <v>9</v>
      </c>
      <c r="T5" s="98">
        <v>2.2892999309203859</v>
      </c>
      <c r="U5" s="6">
        <v>999</v>
      </c>
      <c r="V5" s="41">
        <v>2.2892999309203859</v>
      </c>
      <c r="W5" s="94">
        <v>999</v>
      </c>
      <c r="X5" s="97">
        <v>9</v>
      </c>
      <c r="Y5" s="41">
        <v>2.5957884315331281</v>
      </c>
      <c r="Z5" s="6">
        <v>999</v>
      </c>
      <c r="AA5" s="41">
        <v>2.5957884315331281</v>
      </c>
      <c r="AB5" s="84">
        <v>999</v>
      </c>
      <c r="AC5" s="91"/>
      <c r="AH5" s="91"/>
      <c r="AM5" s="93">
        <v>9</v>
      </c>
      <c r="AN5" s="41">
        <v>2.5957884315331281</v>
      </c>
      <c r="AO5" s="6">
        <v>999</v>
      </c>
      <c r="AP5" s="41">
        <v>2.5957884315331281</v>
      </c>
      <c r="AQ5" s="84">
        <v>999</v>
      </c>
      <c r="AR5" s="91">
        <v>23</v>
      </c>
      <c r="AS5" s="41">
        <v>1.42388735217777</v>
      </c>
      <c r="AT5" s="6">
        <v>999</v>
      </c>
      <c r="AU5" s="41">
        <v>1.42388735217777</v>
      </c>
      <c r="AV5" s="89">
        <v>999</v>
      </c>
      <c r="AW5" s="97">
        <v>23</v>
      </c>
      <c r="AX5" s="41">
        <v>1.42388735217777</v>
      </c>
      <c r="AY5" s="6">
        <v>999</v>
      </c>
      <c r="AZ5" s="41">
        <v>1.42388735217777</v>
      </c>
      <c r="BA5" s="94">
        <v>999</v>
      </c>
    </row>
    <row r="6" spans="1:53" x14ac:dyDescent="0.3">
      <c r="A6" s="111" t="s">
        <v>91</v>
      </c>
      <c r="B6" s="8" t="s">
        <v>95</v>
      </c>
      <c r="C6" s="25" t="s">
        <v>234</v>
      </c>
      <c r="D6" s="25" t="s">
        <v>232</v>
      </c>
      <c r="E6" s="24">
        <v>8.3399996757507324</v>
      </c>
      <c r="F6" s="7">
        <v>-0.72745099438622429</v>
      </c>
      <c r="G6" s="7">
        <v>0.13008123935273691</v>
      </c>
      <c r="H6" s="13">
        <v>-0.7410071738838222</v>
      </c>
      <c r="I6" s="14"/>
      <c r="J6" s="20">
        <v>5.7174721401764828E-8</v>
      </c>
      <c r="K6" s="21">
        <v>2</v>
      </c>
      <c r="L6" s="22">
        <v>-0.7410071738838222</v>
      </c>
      <c r="M6" s="21">
        <v>75</v>
      </c>
      <c r="N6" s="27"/>
      <c r="O6" s="29"/>
      <c r="P6" s="88"/>
      <c r="Q6" s="29">
        <v>5</v>
      </c>
      <c r="R6" s="29">
        <v>14</v>
      </c>
      <c r="S6" s="29">
        <v>40</v>
      </c>
      <c r="T6" s="98">
        <v>-0.20295200906799979</v>
      </c>
      <c r="U6" s="6">
        <v>45</v>
      </c>
      <c r="V6" s="41">
        <v>-0.31734317424333341</v>
      </c>
      <c r="W6" s="94">
        <v>53</v>
      </c>
      <c r="X6" s="97">
        <v>7</v>
      </c>
      <c r="Y6" s="41">
        <v>2.9569864045651869E-2</v>
      </c>
      <c r="Z6" s="6">
        <v>75</v>
      </c>
      <c r="AA6" s="41">
        <v>2.9569864045651869E-2</v>
      </c>
      <c r="AB6" s="84">
        <v>75</v>
      </c>
      <c r="AC6" s="91">
        <v>14</v>
      </c>
      <c r="AD6" s="41">
        <v>0.15015015359025449</v>
      </c>
      <c r="AE6" s="6">
        <v>75</v>
      </c>
      <c r="AF6" s="41">
        <v>0.15015015359025449</v>
      </c>
      <c r="AG6" s="84">
        <v>75</v>
      </c>
      <c r="AH6" s="91">
        <v>40</v>
      </c>
      <c r="AI6" s="41">
        <v>0</v>
      </c>
      <c r="AJ6" s="6">
        <v>75</v>
      </c>
      <c r="AK6" s="41">
        <v>0</v>
      </c>
      <c r="AL6" s="84">
        <v>75</v>
      </c>
      <c r="AM6" s="93">
        <v>7</v>
      </c>
      <c r="AN6" s="41">
        <v>2.9569864045651869E-2</v>
      </c>
      <c r="AO6" s="6">
        <v>75</v>
      </c>
      <c r="AP6" s="41">
        <v>2.9569864045651869E-2</v>
      </c>
      <c r="AQ6" s="84">
        <v>75</v>
      </c>
      <c r="AR6" s="91">
        <v>14</v>
      </c>
      <c r="AS6" s="41">
        <v>0.15015015359025449</v>
      </c>
      <c r="AT6" s="6">
        <v>75</v>
      </c>
      <c r="AU6" s="41">
        <v>0.15015015359025449</v>
      </c>
      <c r="AV6" s="89">
        <v>75</v>
      </c>
      <c r="AW6" s="97">
        <v>40</v>
      </c>
      <c r="AX6" s="41">
        <v>0</v>
      </c>
      <c r="AY6" s="6">
        <v>75</v>
      </c>
      <c r="AZ6" s="41">
        <v>0</v>
      </c>
      <c r="BA6" s="94">
        <v>75</v>
      </c>
    </row>
    <row r="7" spans="1:53" x14ac:dyDescent="0.3">
      <c r="A7" s="111" t="s">
        <v>91</v>
      </c>
      <c r="B7" s="8" t="s">
        <v>9</v>
      </c>
      <c r="C7" s="25" t="s">
        <v>238</v>
      </c>
      <c r="D7" s="25" t="s">
        <v>236</v>
      </c>
      <c r="E7" s="24">
        <v>3.9199999570846562</v>
      </c>
      <c r="F7" s="2">
        <v>-0.83037646674363186</v>
      </c>
      <c r="G7" s="2">
        <v>-0.64999999787126272</v>
      </c>
      <c r="H7" s="15">
        <v>-0.77321428359640931</v>
      </c>
      <c r="I7" s="16">
        <v>-0.90818877508895612</v>
      </c>
      <c r="J7" s="17">
        <v>0.53826537648559647</v>
      </c>
      <c r="K7" s="18">
        <v>10</v>
      </c>
      <c r="L7" s="19">
        <v>-0.91701530315819779</v>
      </c>
      <c r="M7" s="18">
        <v>144</v>
      </c>
      <c r="N7" s="26">
        <v>1</v>
      </c>
      <c r="O7" s="28">
        <v>1</v>
      </c>
      <c r="P7" s="87">
        <v>4</v>
      </c>
      <c r="Q7" s="28">
        <v>18</v>
      </c>
      <c r="R7" s="28">
        <v>20</v>
      </c>
      <c r="S7" s="28">
        <v>24</v>
      </c>
      <c r="T7" s="98">
        <v>-0.23471400728385181</v>
      </c>
      <c r="U7" s="6">
        <v>34</v>
      </c>
      <c r="V7" s="41">
        <v>-0.30177517909372897</v>
      </c>
      <c r="W7" s="94">
        <v>35</v>
      </c>
      <c r="X7" s="97">
        <v>18</v>
      </c>
      <c r="Y7" s="41">
        <v>0.26060603258257248</v>
      </c>
      <c r="Z7" s="6">
        <v>144</v>
      </c>
      <c r="AA7" s="41">
        <v>0.26060603258257248</v>
      </c>
      <c r="AB7" s="84">
        <v>144</v>
      </c>
      <c r="AC7" s="91">
        <v>20</v>
      </c>
      <c r="AD7" s="41">
        <v>0.32907338508362027</v>
      </c>
      <c r="AE7" s="6">
        <v>144</v>
      </c>
      <c r="AF7" s="41">
        <v>0.32907338508362027</v>
      </c>
      <c r="AG7" s="84">
        <v>144</v>
      </c>
      <c r="AH7" s="91">
        <v>24</v>
      </c>
      <c r="AI7" s="41">
        <v>0.64102552527091095</v>
      </c>
      <c r="AJ7" s="6">
        <v>144</v>
      </c>
      <c r="AK7" s="41">
        <v>0.64102552527091095</v>
      </c>
      <c r="AL7" s="84">
        <v>144</v>
      </c>
      <c r="AM7" s="93">
        <v>7</v>
      </c>
      <c r="AN7" s="41">
        <v>9.8360739745568804E-2</v>
      </c>
      <c r="AO7" s="6">
        <v>144</v>
      </c>
      <c r="AP7" s="41">
        <v>9.8360739745568804E-2</v>
      </c>
      <c r="AQ7" s="84">
        <v>144</v>
      </c>
      <c r="AR7" s="91">
        <v>7</v>
      </c>
      <c r="AS7" s="41">
        <v>9.8360739745568804E-2</v>
      </c>
      <c r="AT7" s="6">
        <v>144</v>
      </c>
      <c r="AU7" s="41">
        <v>9.8360739745568804E-2</v>
      </c>
      <c r="AV7" s="89">
        <v>144</v>
      </c>
      <c r="AW7" s="97">
        <v>7</v>
      </c>
      <c r="AX7" s="41">
        <v>9.8360739745568804E-2</v>
      </c>
      <c r="AY7" s="6">
        <v>144</v>
      </c>
      <c r="AZ7" s="41">
        <v>9.8360739745568804E-2</v>
      </c>
      <c r="BA7" s="94">
        <v>144</v>
      </c>
    </row>
    <row r="8" spans="1:53" x14ac:dyDescent="0.3">
      <c r="A8" s="111" t="s">
        <v>91</v>
      </c>
      <c r="B8" s="8" t="s">
        <v>11</v>
      </c>
      <c r="C8" s="25" t="s">
        <v>233</v>
      </c>
      <c r="D8" s="25" t="s">
        <v>242</v>
      </c>
      <c r="E8" s="24">
        <v>2.8199999332427979</v>
      </c>
      <c r="F8" s="2">
        <v>-0.76998369652559195</v>
      </c>
      <c r="G8" s="2">
        <v>0.1848738645566157</v>
      </c>
      <c r="J8" s="17">
        <v>0.15957448877179539</v>
      </c>
      <c r="K8" s="18">
        <v>2</v>
      </c>
      <c r="L8" s="19">
        <v>-0.53546100220182091</v>
      </c>
      <c r="M8" s="18">
        <v>29</v>
      </c>
      <c r="N8" s="26">
        <v>2</v>
      </c>
      <c r="Q8" s="28">
        <v>7</v>
      </c>
      <c r="R8" s="28">
        <v>13</v>
      </c>
      <c r="S8" s="28">
        <v>25</v>
      </c>
      <c r="T8" s="98">
        <v>-0.4653061562108769</v>
      </c>
      <c r="U8" s="6">
        <v>29</v>
      </c>
      <c r="V8" s="41">
        <v>-0.4653061562108769</v>
      </c>
      <c r="W8" s="94">
        <v>29</v>
      </c>
      <c r="X8" s="97">
        <v>7</v>
      </c>
      <c r="Y8" s="41">
        <v>-0.1139833845500763</v>
      </c>
      <c r="Z8" s="6">
        <v>999</v>
      </c>
      <c r="AA8" s="41">
        <v>-0.1139833845500763</v>
      </c>
      <c r="AB8" s="84">
        <v>999</v>
      </c>
      <c r="AC8" s="91">
        <v>13</v>
      </c>
      <c r="AD8" s="41">
        <v>-6.0740740841658723E-2</v>
      </c>
      <c r="AE8" s="6">
        <v>999</v>
      </c>
      <c r="AF8" s="41">
        <v>-6.0740740841658723E-2</v>
      </c>
      <c r="AG8" s="84">
        <v>999</v>
      </c>
      <c r="AH8" s="91">
        <v>25</v>
      </c>
      <c r="AI8" s="41">
        <v>0.17222225013233411</v>
      </c>
      <c r="AJ8" s="6">
        <v>999</v>
      </c>
      <c r="AK8" s="41">
        <v>0.17222225013233411</v>
      </c>
      <c r="AL8" s="84">
        <v>999</v>
      </c>
      <c r="AM8" s="93">
        <v>7</v>
      </c>
      <c r="AN8" s="41">
        <v>-0.1139833845500763</v>
      </c>
      <c r="AO8" s="6">
        <v>999</v>
      </c>
      <c r="AP8" s="41">
        <v>-0.1139833845500763</v>
      </c>
      <c r="AQ8" s="84">
        <v>999</v>
      </c>
      <c r="AR8" s="91">
        <v>13</v>
      </c>
      <c r="AS8" s="41">
        <v>-6.0740740841658723E-2</v>
      </c>
      <c r="AT8" s="6">
        <v>999</v>
      </c>
      <c r="AU8" s="41">
        <v>-6.0740740841658723E-2</v>
      </c>
      <c r="AV8" s="89">
        <v>999</v>
      </c>
      <c r="AW8" s="97">
        <v>25</v>
      </c>
      <c r="AX8" s="41">
        <v>0.17222225013233411</v>
      </c>
      <c r="AY8" s="6">
        <v>999</v>
      </c>
      <c r="AZ8" s="41">
        <v>0.17222225013233411</v>
      </c>
      <c r="BA8" s="94">
        <v>999</v>
      </c>
    </row>
    <row r="9" spans="1:53" x14ac:dyDescent="0.3">
      <c r="A9" s="111" t="s">
        <v>91</v>
      </c>
      <c r="B9" s="8" t="s">
        <v>10</v>
      </c>
      <c r="C9" s="25" t="s">
        <v>226</v>
      </c>
      <c r="D9" s="25" t="s">
        <v>227</v>
      </c>
      <c r="E9" s="24">
        <v>43.840000152587891</v>
      </c>
      <c r="F9" s="2">
        <v>-1.9678019769548419E-2</v>
      </c>
      <c r="G9" s="2">
        <v>-0.11255063161037231</v>
      </c>
      <c r="H9" s="15">
        <v>-6.0675178790004843E-2</v>
      </c>
      <c r="I9" s="16">
        <v>-0.27965328891902669</v>
      </c>
      <c r="J9" s="17">
        <v>0.1156478028553323</v>
      </c>
      <c r="K9" s="18">
        <v>10</v>
      </c>
      <c r="L9" s="19">
        <v>-0.4461678694767921</v>
      </c>
      <c r="M9" s="18">
        <v>137</v>
      </c>
      <c r="N9" s="26">
        <v>10</v>
      </c>
      <c r="Q9" s="28">
        <v>46</v>
      </c>
      <c r="R9" s="28">
        <v>108</v>
      </c>
      <c r="S9" s="28">
        <v>126</v>
      </c>
      <c r="T9" s="98">
        <v>-0.43521749851879887</v>
      </c>
      <c r="U9" s="6">
        <v>137</v>
      </c>
      <c r="V9" s="41">
        <v>-0.43521749851879887</v>
      </c>
      <c r="W9" s="94">
        <v>137</v>
      </c>
      <c r="X9" s="97">
        <v>46</v>
      </c>
      <c r="Y9" s="41">
        <v>0.27344789183795881</v>
      </c>
      <c r="Z9" s="6">
        <v>137</v>
      </c>
      <c r="AA9" s="41">
        <v>0.27344789183795881</v>
      </c>
      <c r="AB9" s="84">
        <v>137</v>
      </c>
      <c r="AC9" s="91">
        <v>108</v>
      </c>
      <c r="AD9" s="41">
        <v>3.049710192372879E-2</v>
      </c>
      <c r="AE9" s="6">
        <v>137</v>
      </c>
      <c r="AF9" s="41">
        <v>3.049710192372879E-2</v>
      </c>
      <c r="AG9" s="84">
        <v>137</v>
      </c>
      <c r="AH9" s="91">
        <v>126</v>
      </c>
      <c r="AI9" s="41">
        <v>-4.7142864512244538E-2</v>
      </c>
      <c r="AJ9" s="6">
        <v>999</v>
      </c>
      <c r="AK9" s="41">
        <v>-4.7142864512244538E-2</v>
      </c>
      <c r="AL9" s="84">
        <v>999</v>
      </c>
      <c r="AM9" s="93">
        <v>10</v>
      </c>
      <c r="AN9" s="41">
        <v>0</v>
      </c>
      <c r="AO9" s="6">
        <v>137</v>
      </c>
      <c r="AP9" s="41">
        <v>0</v>
      </c>
      <c r="AQ9" s="84">
        <v>137</v>
      </c>
      <c r="AR9" s="91">
        <v>108</v>
      </c>
      <c r="AS9" s="41">
        <v>3.049710192372879E-2</v>
      </c>
      <c r="AT9" s="6">
        <v>137</v>
      </c>
      <c r="AU9" s="41">
        <v>3.049710192372879E-2</v>
      </c>
      <c r="AV9" s="89">
        <v>137</v>
      </c>
      <c r="AW9" s="97">
        <v>126</v>
      </c>
      <c r="AX9" s="41">
        <v>-4.7142864512244538E-2</v>
      </c>
      <c r="AY9" s="6">
        <v>999</v>
      </c>
      <c r="AZ9" s="41">
        <v>-4.7142864512244538E-2</v>
      </c>
      <c r="BA9" s="94">
        <v>999</v>
      </c>
    </row>
    <row r="10" spans="1:53" x14ac:dyDescent="0.3">
      <c r="A10" s="111" t="s">
        <v>92</v>
      </c>
      <c r="B10" s="8" t="s">
        <v>38</v>
      </c>
      <c r="C10" s="25" t="s">
        <v>243</v>
      </c>
      <c r="D10" s="25" t="s">
        <v>244</v>
      </c>
      <c r="E10" s="24">
        <v>19.270000457763668</v>
      </c>
      <c r="F10" s="2">
        <v>0.12822017235597419</v>
      </c>
      <c r="G10" s="2">
        <v>-0.21507124005634279</v>
      </c>
      <c r="H10" s="15">
        <v>-5.7083567998906903E-2</v>
      </c>
      <c r="I10" s="16">
        <v>-0.55215361134233976</v>
      </c>
      <c r="J10" s="17">
        <v>9.3409402921697859E-2</v>
      </c>
      <c r="K10" s="18">
        <v>8</v>
      </c>
      <c r="L10" s="19">
        <v>-0.55215361134233976</v>
      </c>
      <c r="M10" s="18">
        <v>150</v>
      </c>
      <c r="Q10" s="28">
        <v>12</v>
      </c>
      <c r="R10" s="28">
        <v>108</v>
      </c>
      <c r="S10" s="28">
        <v>109</v>
      </c>
      <c r="T10" s="98">
        <v>-0.23923199277840401</v>
      </c>
      <c r="U10" s="6">
        <v>108</v>
      </c>
      <c r="V10" s="41">
        <v>-0.31966791150773538</v>
      </c>
      <c r="W10" s="94">
        <v>109</v>
      </c>
      <c r="X10" s="97">
        <v>12</v>
      </c>
      <c r="Y10" s="41">
        <v>0.16889146400026031</v>
      </c>
      <c r="Z10" s="6">
        <v>150</v>
      </c>
      <c r="AA10" s="41">
        <v>0.16889146400026031</v>
      </c>
      <c r="AB10" s="84">
        <v>150</v>
      </c>
      <c r="AC10" s="91">
        <v>108</v>
      </c>
      <c r="AD10" s="41">
        <v>0</v>
      </c>
      <c r="AE10" s="6">
        <v>150</v>
      </c>
      <c r="AF10" s="41">
        <v>0</v>
      </c>
      <c r="AG10" s="84">
        <v>150</v>
      </c>
      <c r="AH10" s="91">
        <v>109</v>
      </c>
      <c r="AI10" s="41">
        <v>4.2715517489085419E-2</v>
      </c>
      <c r="AJ10" s="6">
        <v>150</v>
      </c>
      <c r="AK10" s="41">
        <v>4.2715517489085419E-2</v>
      </c>
      <c r="AL10" s="84">
        <v>150</v>
      </c>
      <c r="AM10" s="93">
        <v>12</v>
      </c>
      <c r="AN10" s="41">
        <v>0.16889146400026031</v>
      </c>
      <c r="AO10" s="6">
        <v>150</v>
      </c>
      <c r="AP10" s="41">
        <v>0.16889146400026031</v>
      </c>
      <c r="AQ10" s="84">
        <v>150</v>
      </c>
      <c r="AR10" s="91">
        <v>108</v>
      </c>
      <c r="AS10" s="41">
        <v>0</v>
      </c>
      <c r="AT10" s="6">
        <v>150</v>
      </c>
      <c r="AU10" s="41">
        <v>0</v>
      </c>
      <c r="AV10" s="89">
        <v>150</v>
      </c>
      <c r="AW10" s="97">
        <v>109</v>
      </c>
      <c r="AX10" s="41">
        <v>4.2715517489085419E-2</v>
      </c>
      <c r="AY10" s="6">
        <v>150</v>
      </c>
      <c r="AZ10" s="41">
        <v>4.2715517489085419E-2</v>
      </c>
      <c r="BA10" s="94">
        <v>150</v>
      </c>
    </row>
    <row r="11" spans="1:53" x14ac:dyDescent="0.3">
      <c r="A11" s="111" t="s">
        <v>92</v>
      </c>
      <c r="B11" s="8" t="s">
        <v>13</v>
      </c>
      <c r="C11" s="25" t="s">
        <v>232</v>
      </c>
      <c r="D11" s="25" t="s">
        <v>233</v>
      </c>
      <c r="E11" s="24">
        <v>6.3899998664855957</v>
      </c>
      <c r="F11" s="7">
        <v>-0.70805942665950017</v>
      </c>
      <c r="G11" s="7">
        <v>-0.13297151075859809</v>
      </c>
      <c r="H11" s="13"/>
      <c r="I11" s="14"/>
      <c r="J11" s="20">
        <v>0.2034429135989706</v>
      </c>
      <c r="K11" s="21">
        <v>38</v>
      </c>
      <c r="L11" s="22">
        <v>-5.4773069162059818E-2</v>
      </c>
      <c r="M11" s="21">
        <v>9</v>
      </c>
      <c r="N11" s="27">
        <v>30</v>
      </c>
      <c r="O11" s="29">
        <v>38</v>
      </c>
      <c r="P11" s="88"/>
      <c r="Q11" s="29"/>
      <c r="R11" s="29"/>
      <c r="S11" s="29"/>
      <c r="T11" s="98">
        <v>8.0839211869563984E-2</v>
      </c>
      <c r="U11" s="6">
        <v>999</v>
      </c>
      <c r="V11" s="41">
        <v>8.0839211869563984E-2</v>
      </c>
      <c r="W11" s="94">
        <v>999</v>
      </c>
      <c r="X11" s="97"/>
      <c r="AC11" s="91"/>
      <c r="AH11" s="91"/>
      <c r="AM11" s="93">
        <v>30</v>
      </c>
      <c r="AN11" s="41">
        <v>-3.8765596445708962E-2</v>
      </c>
      <c r="AO11" s="6">
        <v>999</v>
      </c>
      <c r="AP11" s="41">
        <v>-3.8765596445708962E-2</v>
      </c>
      <c r="AQ11" s="84">
        <v>999</v>
      </c>
      <c r="AR11" s="91">
        <v>38</v>
      </c>
      <c r="AS11" s="41">
        <v>-5.5483313452028102E-2</v>
      </c>
      <c r="AT11" s="6">
        <v>999</v>
      </c>
      <c r="AU11" s="41">
        <v>-5.5483313452028102E-2</v>
      </c>
      <c r="AV11" s="89">
        <v>999</v>
      </c>
      <c r="AW11" s="97"/>
    </row>
    <row r="12" spans="1:53" x14ac:dyDescent="0.3">
      <c r="A12" s="111" t="s">
        <v>92</v>
      </c>
      <c r="B12" s="8" t="s">
        <v>93</v>
      </c>
      <c r="C12" s="25" t="s">
        <v>227</v>
      </c>
      <c r="D12" s="25" t="s">
        <v>228</v>
      </c>
      <c r="K12" s="18">
        <v>145</v>
      </c>
      <c r="M12" s="18">
        <v>114</v>
      </c>
      <c r="U12" s="6">
        <v>114</v>
      </c>
      <c r="W12" s="94">
        <v>114</v>
      </c>
      <c r="X12" s="97"/>
      <c r="AC12" s="91"/>
      <c r="AH12" s="91"/>
      <c r="AM12" s="93"/>
      <c r="AR12" s="91"/>
      <c r="AW12" s="97"/>
    </row>
    <row r="13" spans="1:53" x14ac:dyDescent="0.3">
      <c r="A13" s="111" t="s">
        <v>92</v>
      </c>
      <c r="B13" s="8" t="s">
        <v>90</v>
      </c>
      <c r="C13" s="25" t="s">
        <v>242</v>
      </c>
      <c r="D13" s="25" t="s">
        <v>245</v>
      </c>
      <c r="E13" s="24">
        <v>44.799999237060547</v>
      </c>
      <c r="J13" s="17">
        <v>9.3750444373921216E-3</v>
      </c>
      <c r="K13" s="18">
        <v>12</v>
      </c>
      <c r="L13" s="19">
        <v>-4.8437459953128759E-2</v>
      </c>
      <c r="M13" s="18">
        <v>3</v>
      </c>
      <c r="T13" s="98">
        <v>2.0130302787111139E-2</v>
      </c>
      <c r="U13" s="6">
        <v>999</v>
      </c>
      <c r="V13" s="41">
        <v>2.0130302787111139E-2</v>
      </c>
      <c r="W13" s="94">
        <v>999</v>
      </c>
      <c r="X13" s="97"/>
      <c r="AC13" s="91"/>
      <c r="AH13" s="91"/>
      <c r="AM13" s="93"/>
      <c r="AR13" s="91"/>
      <c r="AW13" s="97"/>
    </row>
    <row r="14" spans="1:53" x14ac:dyDescent="0.3">
      <c r="A14" s="111" t="s">
        <v>92</v>
      </c>
      <c r="B14" s="8" t="s">
        <v>12</v>
      </c>
      <c r="C14" s="25" t="s">
        <v>232</v>
      </c>
      <c r="D14" s="25" t="s">
        <v>233</v>
      </c>
      <c r="E14" s="24">
        <v>1.6599999666213989</v>
      </c>
      <c r="F14" s="2">
        <v>-0.70357142948374451</v>
      </c>
      <c r="G14" s="2">
        <v>-0.1122994853537366</v>
      </c>
      <c r="J14" s="17">
        <v>0.29518080638479249</v>
      </c>
      <c r="K14" s="18">
        <v>51</v>
      </c>
      <c r="L14" s="19">
        <v>-0.13253006856904109</v>
      </c>
      <c r="M14" s="18">
        <v>54</v>
      </c>
      <c r="N14" s="26">
        <v>14</v>
      </c>
      <c r="O14" s="28">
        <v>50</v>
      </c>
      <c r="Q14" s="28">
        <v>53</v>
      </c>
      <c r="T14" s="98">
        <v>-9.4339605666174831E-2</v>
      </c>
      <c r="U14" s="6">
        <v>54</v>
      </c>
      <c r="V14" s="41">
        <v>-9.4339605666174831E-2</v>
      </c>
      <c r="W14" s="94">
        <v>54</v>
      </c>
      <c r="X14" s="97">
        <v>53</v>
      </c>
      <c r="Y14" s="41">
        <v>-1.1185671587530069E-2</v>
      </c>
      <c r="Z14" s="6">
        <v>999</v>
      </c>
      <c r="AA14" s="41">
        <v>-1.1185671587530069E-2</v>
      </c>
      <c r="AB14" s="84">
        <v>999</v>
      </c>
      <c r="AC14" s="91"/>
      <c r="AH14" s="91"/>
      <c r="AM14" s="93">
        <v>14</v>
      </c>
      <c r="AN14" s="41">
        <v>0.16847829150285931</v>
      </c>
      <c r="AO14" s="6">
        <v>54</v>
      </c>
      <c r="AP14" s="41">
        <v>0.16847829150285931</v>
      </c>
      <c r="AQ14" s="84">
        <v>54</v>
      </c>
      <c r="AR14" s="91">
        <v>50</v>
      </c>
      <c r="AS14" s="41">
        <v>-0.18946536017776719</v>
      </c>
      <c r="AT14" s="6">
        <v>999</v>
      </c>
      <c r="AU14" s="41">
        <v>-0.18946536017776719</v>
      </c>
      <c r="AV14" s="89">
        <v>999</v>
      </c>
      <c r="AW14" s="97"/>
    </row>
    <row r="15" spans="1:53" x14ac:dyDescent="0.3">
      <c r="A15" s="111" t="s">
        <v>92</v>
      </c>
      <c r="B15" s="8" t="s">
        <v>11</v>
      </c>
      <c r="C15" s="25" t="s">
        <v>227</v>
      </c>
      <c r="D15" s="25" t="s">
        <v>228</v>
      </c>
      <c r="E15" s="24">
        <v>8</v>
      </c>
      <c r="F15" s="2">
        <v>-0.70046774777070309</v>
      </c>
      <c r="G15" s="2">
        <v>-0.18116687562252379</v>
      </c>
      <c r="H15" s="15">
        <v>0.36249995231628368</v>
      </c>
      <c r="I15" s="16">
        <v>-0.59999999403953552</v>
      </c>
      <c r="J15" s="17">
        <v>1.037499904632569</v>
      </c>
      <c r="K15" s="18">
        <v>41</v>
      </c>
      <c r="L15" s="19">
        <v>-0.6887499988079071</v>
      </c>
      <c r="M15" s="18">
        <v>142</v>
      </c>
      <c r="N15" s="26">
        <v>2</v>
      </c>
      <c r="O15" s="28">
        <v>6</v>
      </c>
      <c r="P15" s="87">
        <v>18</v>
      </c>
      <c r="Q15" s="28">
        <v>103</v>
      </c>
      <c r="R15" s="28">
        <v>104</v>
      </c>
      <c r="S15" s="28">
        <v>104</v>
      </c>
      <c r="T15" s="98">
        <v>-0.31749999523162842</v>
      </c>
      <c r="U15" s="6">
        <v>104</v>
      </c>
      <c r="V15" s="41">
        <v>-0.31749999523162842</v>
      </c>
      <c r="W15" s="94">
        <v>104</v>
      </c>
      <c r="X15" s="97">
        <v>103</v>
      </c>
      <c r="Y15" s="41">
        <v>2.396513527492283E-2</v>
      </c>
      <c r="Z15" s="6">
        <v>142</v>
      </c>
      <c r="AA15" s="41">
        <v>2.396513527492283E-2</v>
      </c>
      <c r="AB15" s="84">
        <v>142</v>
      </c>
      <c r="AC15" s="91">
        <v>104</v>
      </c>
      <c r="AD15" s="41">
        <v>0.29120881712072461</v>
      </c>
      <c r="AE15" s="6">
        <v>142</v>
      </c>
      <c r="AF15" s="41">
        <v>0.29120881712072461</v>
      </c>
      <c r="AG15" s="84">
        <v>142</v>
      </c>
      <c r="AH15" s="91">
        <v>104</v>
      </c>
      <c r="AI15" s="41">
        <v>0.29120881712072461</v>
      </c>
      <c r="AJ15" s="6">
        <v>142</v>
      </c>
      <c r="AK15" s="41">
        <v>0.29120881712072461</v>
      </c>
      <c r="AL15" s="84">
        <v>142</v>
      </c>
      <c r="AM15" s="93">
        <v>7</v>
      </c>
      <c r="AN15" s="41">
        <v>0.735889099157649</v>
      </c>
      <c r="AO15" s="6">
        <v>142</v>
      </c>
      <c r="AP15" s="41">
        <v>0.735889099157649</v>
      </c>
      <c r="AQ15" s="84">
        <v>142</v>
      </c>
      <c r="AR15" s="91">
        <v>7</v>
      </c>
      <c r="AS15" s="41">
        <v>0.735889099157649</v>
      </c>
      <c r="AT15" s="6">
        <v>142</v>
      </c>
      <c r="AU15" s="41">
        <v>0.735889099157649</v>
      </c>
      <c r="AV15" s="89">
        <v>142</v>
      </c>
      <c r="AW15" s="97">
        <v>18</v>
      </c>
      <c r="AX15" s="41">
        <v>0.55534350658781517</v>
      </c>
      <c r="AY15" s="6">
        <v>142</v>
      </c>
      <c r="AZ15" s="41">
        <v>0.55534350658781517</v>
      </c>
      <c r="BA15" s="94">
        <v>142</v>
      </c>
    </row>
  </sheetData>
  <autoFilter ref="B4:BA32" xr:uid="{A63CA558-3F40-463D-93F5-3E4C2572FE45}">
    <sortState xmlns:xlrd2="http://schemas.microsoft.com/office/spreadsheetml/2017/richdata2" ref="B5:BA9">
      <sortCondition descending="1" ref="AO4:AO32"/>
    </sortState>
  </autoFilter>
  <mergeCells count="29">
    <mergeCell ref="B1:S1"/>
    <mergeCell ref="T1:BA1"/>
    <mergeCell ref="C2:E2"/>
    <mergeCell ref="F2:G2"/>
    <mergeCell ref="H2:I2"/>
    <mergeCell ref="J2:M2"/>
    <mergeCell ref="N2:P2"/>
    <mergeCell ref="Q2:S2"/>
    <mergeCell ref="T2:W2"/>
    <mergeCell ref="X2:AB2"/>
    <mergeCell ref="AC2:AG2"/>
    <mergeCell ref="AH2:AL2"/>
    <mergeCell ref="AM2:AQ2"/>
    <mergeCell ref="AR2:AV2"/>
    <mergeCell ref="AW2:BA2"/>
    <mergeCell ref="T3:U3"/>
    <mergeCell ref="V3:W3"/>
    <mergeCell ref="Y3:Z3"/>
    <mergeCell ref="AA3:AB3"/>
    <mergeCell ref="AD3:AE3"/>
    <mergeCell ref="AU3:AV3"/>
    <mergeCell ref="AX3:AY3"/>
    <mergeCell ref="AZ3:BA3"/>
    <mergeCell ref="AF3:AG3"/>
    <mergeCell ref="AI3:AJ3"/>
    <mergeCell ref="AK3:AL3"/>
    <mergeCell ref="AN3:AO3"/>
    <mergeCell ref="AP3:AQ3"/>
    <mergeCell ref="AS3:A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370C-AB77-4754-87F5-C83D94EDA714}">
  <dimension ref="A1:AP57"/>
  <sheetViews>
    <sheetView topLeftCell="P1" workbookViewId="0">
      <selection activeCell="AG2" sqref="AE2:AG3"/>
    </sheetView>
  </sheetViews>
  <sheetFormatPr defaultRowHeight="14.4" x14ac:dyDescent="0.3"/>
  <cols>
    <col min="1" max="1" width="18" bestFit="1" customWidth="1"/>
    <col min="2" max="2" width="15.33203125" customWidth="1"/>
    <col min="3" max="3" width="14.88671875" customWidth="1"/>
    <col min="4" max="4" width="12" bestFit="1" customWidth="1"/>
    <col min="5" max="5" width="13" customWidth="1"/>
    <col min="6" max="6" width="13.109375" customWidth="1"/>
    <col min="7" max="7" width="12.88671875" customWidth="1"/>
    <col min="9" max="9" width="18" bestFit="1" customWidth="1"/>
    <col min="10" max="10" width="15.88671875" customWidth="1"/>
    <col min="11" max="11" width="15.44140625" customWidth="1"/>
    <col min="12" max="12" width="13.109375" customWidth="1"/>
    <col min="13" max="15" width="13.21875" customWidth="1"/>
    <col min="17" max="17" width="18.88671875" bestFit="1" customWidth="1"/>
    <col min="18" max="18" width="15.33203125" customWidth="1"/>
    <col min="19" max="19" width="14.88671875" customWidth="1"/>
    <col min="20" max="20" width="12" bestFit="1" customWidth="1"/>
    <col min="21" max="21" width="13" customWidth="1"/>
    <col min="22" max="22" width="13.109375" customWidth="1"/>
    <col min="23" max="24" width="12.88671875" customWidth="1"/>
    <col min="25" max="25" width="11" customWidth="1"/>
    <col min="26" max="26" width="18.88671875" bestFit="1" customWidth="1"/>
    <col min="27" max="27" width="15.33203125" customWidth="1"/>
    <col min="28" max="28" width="14.88671875" customWidth="1"/>
    <col min="29" max="29" width="10.33203125" customWidth="1"/>
    <col min="30" max="30" width="13" customWidth="1"/>
    <col min="31" max="32" width="13.109375" customWidth="1"/>
    <col min="33" max="34" width="12.88671875" customWidth="1"/>
    <col min="36" max="36" width="20.21875" bestFit="1" customWidth="1"/>
    <col min="37" max="37" width="15.88671875" customWidth="1"/>
    <col min="38" max="38" width="15.44140625" customWidth="1"/>
    <col min="39" max="39" width="10.44140625" customWidth="1"/>
    <col min="40" max="42" width="13.21875" customWidth="1"/>
  </cols>
  <sheetData>
    <row r="1" spans="1:42" x14ac:dyDescent="0.3">
      <c r="A1" t="s">
        <v>211</v>
      </c>
      <c r="B1" t="s">
        <v>182</v>
      </c>
      <c r="C1" t="s">
        <v>164</v>
      </c>
      <c r="D1" t="s">
        <v>81</v>
      </c>
      <c r="E1" t="s">
        <v>165</v>
      </c>
      <c r="F1" t="s">
        <v>166</v>
      </c>
      <c r="G1" t="s">
        <v>181</v>
      </c>
      <c r="I1" t="s">
        <v>211</v>
      </c>
      <c r="J1" t="s">
        <v>182</v>
      </c>
      <c r="K1" t="s">
        <v>164</v>
      </c>
      <c r="L1" t="s">
        <v>81</v>
      </c>
      <c r="M1" t="s">
        <v>165</v>
      </c>
      <c r="N1" t="s">
        <v>166</v>
      </c>
      <c r="O1" t="s">
        <v>181</v>
      </c>
      <c r="Q1" s="4" t="s">
        <v>360</v>
      </c>
      <c r="Z1" t="s">
        <v>211</v>
      </c>
      <c r="AA1" t="s">
        <v>182</v>
      </c>
      <c r="AB1" t="s">
        <v>164</v>
      </c>
      <c r="AC1" t="s">
        <v>81</v>
      </c>
      <c r="AD1" t="s">
        <v>165</v>
      </c>
      <c r="AE1" t="s">
        <v>166</v>
      </c>
      <c r="AF1" t="s">
        <v>181</v>
      </c>
      <c r="AG1" t="s">
        <v>362</v>
      </c>
      <c r="AJ1" t="s">
        <v>211</v>
      </c>
      <c r="AK1" t="s">
        <v>182</v>
      </c>
      <c r="AL1" t="s">
        <v>164</v>
      </c>
      <c r="AM1" t="s">
        <v>81</v>
      </c>
      <c r="AN1" t="s">
        <v>165</v>
      </c>
      <c r="AO1" t="s">
        <v>166</v>
      </c>
      <c r="AP1" t="s">
        <v>181</v>
      </c>
    </row>
    <row r="2" spans="1:42" x14ac:dyDescent="0.3">
      <c r="A2" t="s">
        <v>168</v>
      </c>
      <c r="B2" s="109">
        <v>0.61346376682306003</v>
      </c>
      <c r="C2" s="109">
        <v>0.45283659071661803</v>
      </c>
      <c r="D2" s="109">
        <v>0.75</v>
      </c>
      <c r="E2" s="109">
        <v>14.1354652235919</v>
      </c>
      <c r="F2" s="109">
        <v>42.406395670775801</v>
      </c>
      <c r="G2">
        <v>16</v>
      </c>
      <c r="I2" t="s">
        <v>193</v>
      </c>
      <c r="J2" s="109">
        <v>0.21128731908321099</v>
      </c>
      <c r="K2" s="109">
        <v>0.18099346904601901</v>
      </c>
      <c r="L2" s="109">
        <v>0.75</v>
      </c>
      <c r="M2" s="109">
        <v>1.6400340638705599</v>
      </c>
      <c r="N2" s="109">
        <v>4.9201021916116803</v>
      </c>
      <c r="O2">
        <v>28</v>
      </c>
      <c r="Q2" t="s">
        <v>357</v>
      </c>
      <c r="Z2" t="s">
        <v>199</v>
      </c>
      <c r="AA2" s="109">
        <v>0.45181996117600598</v>
      </c>
      <c r="AB2" s="109">
        <v>0.18832730017826699</v>
      </c>
      <c r="AC2" s="109">
        <v>0.71875</v>
      </c>
      <c r="AD2" s="109">
        <v>6.0785405502657897</v>
      </c>
      <c r="AE2" s="109">
        <v>15.534048072901401</v>
      </c>
      <c r="AF2">
        <v>32</v>
      </c>
      <c r="AG2" s="109">
        <v>4.5530918534871603</v>
      </c>
      <c r="AJ2" t="s">
        <v>214</v>
      </c>
      <c r="AK2" s="109">
        <v>0.296969643095507</v>
      </c>
      <c r="AL2" s="109">
        <v>0.15265558125055401</v>
      </c>
      <c r="AM2" s="109">
        <v>0.64285714285714202</v>
      </c>
      <c r="AN2" s="109">
        <v>4.6821045245326403</v>
      </c>
      <c r="AO2" s="109">
        <v>8.4277881441587503</v>
      </c>
      <c r="AP2">
        <v>14</v>
      </c>
    </row>
    <row r="3" spans="1:42" x14ac:dyDescent="0.3">
      <c r="A3" t="s">
        <v>167</v>
      </c>
      <c r="B3" s="109">
        <v>0.61346376682306003</v>
      </c>
      <c r="C3" s="109">
        <v>0.45283659071661803</v>
      </c>
      <c r="D3" s="109">
        <v>0.75</v>
      </c>
      <c r="E3" s="109">
        <v>14.1354652235919</v>
      </c>
      <c r="F3" s="109">
        <v>42.406395670775801</v>
      </c>
      <c r="G3">
        <v>16</v>
      </c>
      <c r="I3" t="s">
        <v>194</v>
      </c>
      <c r="J3" s="109">
        <v>0.21128731908321099</v>
      </c>
      <c r="K3" s="109">
        <v>0.18099346904601901</v>
      </c>
      <c r="L3" s="109">
        <v>0.75</v>
      </c>
      <c r="M3" s="109">
        <v>1.6400340638705599</v>
      </c>
      <c r="N3" s="109">
        <v>4.9201021916116803</v>
      </c>
      <c r="O3">
        <v>28</v>
      </c>
      <c r="Q3" t="s">
        <v>211</v>
      </c>
      <c r="R3" t="s">
        <v>182</v>
      </c>
      <c r="S3" t="s">
        <v>164</v>
      </c>
      <c r="T3" t="s">
        <v>81</v>
      </c>
      <c r="U3" t="s">
        <v>165</v>
      </c>
      <c r="V3" t="s">
        <v>166</v>
      </c>
      <c r="W3" t="s">
        <v>181</v>
      </c>
      <c r="X3" t="s">
        <v>362</v>
      </c>
      <c r="Z3" t="s">
        <v>200</v>
      </c>
      <c r="AA3" s="109">
        <v>0.45181996117600598</v>
      </c>
      <c r="AB3" s="109">
        <v>0.18832730017826699</v>
      </c>
      <c r="AC3" s="109">
        <v>0.71875</v>
      </c>
      <c r="AD3" s="109">
        <v>6.0785405502657897</v>
      </c>
      <c r="AE3" s="109">
        <v>15.534048072901401</v>
      </c>
      <c r="AF3">
        <v>32</v>
      </c>
      <c r="AG3" s="109">
        <v>4.5530918534871603</v>
      </c>
      <c r="AJ3" t="s">
        <v>215</v>
      </c>
      <c r="AK3" s="109">
        <v>0.296969643095507</v>
      </c>
      <c r="AL3" s="109">
        <v>0.15265558125055401</v>
      </c>
      <c r="AM3" s="109">
        <v>0.64285714285714202</v>
      </c>
      <c r="AN3" s="109">
        <v>4.6821045245326403</v>
      </c>
      <c r="AO3" s="109">
        <v>8.4277881441587503</v>
      </c>
      <c r="AP3">
        <v>14</v>
      </c>
    </row>
    <row r="4" spans="1:42" x14ac:dyDescent="0.3">
      <c r="A4" t="s">
        <v>170</v>
      </c>
      <c r="B4" s="109">
        <v>0.57767844553699899</v>
      </c>
      <c r="C4" s="109">
        <v>0.38495604241905801</v>
      </c>
      <c r="D4" s="109">
        <v>0.84210526315789402</v>
      </c>
      <c r="E4" s="109">
        <v>5.2995762204768004</v>
      </c>
      <c r="F4" s="109">
        <v>28.2644065092096</v>
      </c>
      <c r="G4">
        <v>19</v>
      </c>
      <c r="I4" t="s">
        <v>191</v>
      </c>
      <c r="J4" s="109">
        <v>0.203862416091629</v>
      </c>
      <c r="K4" s="109">
        <v>0.16326470726506401</v>
      </c>
      <c r="L4" s="109">
        <v>0.67500000000000004</v>
      </c>
      <c r="M4" s="109">
        <v>2.3383558636174402</v>
      </c>
      <c r="N4" s="109">
        <v>4.8565852552054602</v>
      </c>
      <c r="O4">
        <v>40</v>
      </c>
      <c r="Q4" t="s">
        <v>168</v>
      </c>
      <c r="R4" s="109">
        <v>0.33284621031406803</v>
      </c>
      <c r="S4" s="109">
        <v>0.22680410850768901</v>
      </c>
      <c r="T4" s="109">
        <v>0.68292682926829196</v>
      </c>
      <c r="U4" s="109">
        <v>4.5236272371499</v>
      </c>
      <c r="V4" s="109">
        <v>9.7431971261690204</v>
      </c>
      <c r="W4">
        <v>41</v>
      </c>
      <c r="X4" s="109">
        <v>3.1685788609265901</v>
      </c>
      <c r="Z4" t="s">
        <v>205</v>
      </c>
      <c r="AA4" s="109">
        <v>0.52301329205176295</v>
      </c>
      <c r="AB4" s="109">
        <v>7.3619682153792207E-2</v>
      </c>
      <c r="AC4" s="109">
        <v>0.71428571428571397</v>
      </c>
      <c r="AD4" s="109">
        <v>4.5920822163825399</v>
      </c>
      <c r="AE4" s="109">
        <v>11.4802055409563</v>
      </c>
      <c r="AF4">
        <v>21</v>
      </c>
      <c r="AG4" s="109">
        <v>2.1326090452150201</v>
      </c>
      <c r="AJ4" t="s">
        <v>216</v>
      </c>
      <c r="AK4" s="109">
        <v>0.28911928681735499</v>
      </c>
      <c r="AL4" s="109">
        <v>0.18153262410795101</v>
      </c>
      <c r="AM4" s="109">
        <v>0.69230769230769196</v>
      </c>
      <c r="AN4" s="109">
        <v>2.80292625467108</v>
      </c>
      <c r="AO4" s="109">
        <v>6.3065840730099403</v>
      </c>
      <c r="AP4">
        <v>13</v>
      </c>
    </row>
    <row r="5" spans="1:42" x14ac:dyDescent="0.3">
      <c r="A5" t="s">
        <v>169</v>
      </c>
      <c r="B5" s="109">
        <v>0.57767844553699899</v>
      </c>
      <c r="C5" s="109">
        <v>0.38495604241905801</v>
      </c>
      <c r="D5" s="109">
        <v>0.84210526315789402</v>
      </c>
      <c r="E5" s="109">
        <v>5.2995762204768004</v>
      </c>
      <c r="F5" s="109">
        <v>28.2644065092096</v>
      </c>
      <c r="G5">
        <v>19</v>
      </c>
      <c r="I5" t="s">
        <v>192</v>
      </c>
      <c r="J5" s="109">
        <v>0.203862416091629</v>
      </c>
      <c r="K5" s="109">
        <v>0.16326470726506401</v>
      </c>
      <c r="L5" s="109">
        <v>0.67500000000000004</v>
      </c>
      <c r="M5" s="109">
        <v>2.3383558636174402</v>
      </c>
      <c r="N5" s="109">
        <v>4.8565852552054602</v>
      </c>
      <c r="O5">
        <v>40</v>
      </c>
      <c r="Q5" t="s">
        <v>167</v>
      </c>
      <c r="R5" s="109">
        <v>0.33284621031406803</v>
      </c>
      <c r="S5" s="109">
        <v>0.22680410850768901</v>
      </c>
      <c r="T5" s="109">
        <v>0.68292682926829196</v>
      </c>
      <c r="U5" s="109">
        <v>4.5236272371499</v>
      </c>
      <c r="V5" s="109">
        <v>9.7431971261690204</v>
      </c>
      <c r="W5">
        <v>41</v>
      </c>
      <c r="X5" s="109">
        <v>3.1685788609265901</v>
      </c>
      <c r="Z5" t="s">
        <v>206</v>
      </c>
      <c r="AA5" s="109">
        <v>0.52301329205176295</v>
      </c>
      <c r="AB5" s="109">
        <v>7.3619682153792207E-2</v>
      </c>
      <c r="AC5" s="109">
        <v>0.71428571428571397</v>
      </c>
      <c r="AD5" s="109">
        <v>4.5920822163825399</v>
      </c>
      <c r="AE5" s="109">
        <v>11.4802055409563</v>
      </c>
      <c r="AF5">
        <v>21</v>
      </c>
      <c r="AG5" s="109">
        <v>2.1326090452150201</v>
      </c>
      <c r="AJ5" t="s">
        <v>217</v>
      </c>
      <c r="AK5" s="109">
        <v>0.28911928681735499</v>
      </c>
      <c r="AL5" s="109">
        <v>0.18153262410795101</v>
      </c>
      <c r="AM5" s="109">
        <v>0.69230769230769196</v>
      </c>
      <c r="AN5" s="109">
        <v>2.80292625467108</v>
      </c>
      <c r="AO5" s="109">
        <v>6.3065840730099403</v>
      </c>
      <c r="AP5">
        <v>13</v>
      </c>
    </row>
    <row r="6" spans="1:42" x14ac:dyDescent="0.3">
      <c r="A6" t="s">
        <v>199</v>
      </c>
      <c r="B6" s="109">
        <v>0.46570145368841798</v>
      </c>
      <c r="C6" s="109">
        <v>0.193557686501279</v>
      </c>
      <c r="D6" s="109">
        <v>0.81818181818181801</v>
      </c>
      <c r="E6" s="109">
        <v>5.9810086228904096</v>
      </c>
      <c r="F6" s="109">
        <v>26.914538803006799</v>
      </c>
      <c r="G6">
        <v>22</v>
      </c>
      <c r="I6" t="s">
        <v>185</v>
      </c>
      <c r="J6" s="109">
        <v>0.180846362552154</v>
      </c>
      <c r="K6" s="109">
        <v>0.15146715726316801</v>
      </c>
      <c r="L6" s="109">
        <v>0.69491525423728795</v>
      </c>
      <c r="M6" s="109">
        <v>1.85708016900595</v>
      </c>
      <c r="N6" s="109">
        <v>4.2300159405135496</v>
      </c>
      <c r="O6">
        <v>59</v>
      </c>
      <c r="Q6" t="s">
        <v>170</v>
      </c>
      <c r="R6" s="109">
        <v>0.261168556460947</v>
      </c>
      <c r="S6" s="109">
        <v>0.170517276616376</v>
      </c>
      <c r="T6" s="109">
        <v>0.71698113207547098</v>
      </c>
      <c r="U6" s="109">
        <v>2.7438522319723</v>
      </c>
      <c r="V6" s="109">
        <v>6.9510923209964997</v>
      </c>
      <c r="W6">
        <v>53</v>
      </c>
      <c r="X6" s="109">
        <v>2.5811571921300702</v>
      </c>
      <c r="Z6" t="s">
        <v>207</v>
      </c>
      <c r="AA6" s="109">
        <v>0.652691027832496</v>
      </c>
      <c r="AB6" s="109">
        <v>0.191075226104017</v>
      </c>
      <c r="AC6" s="109">
        <v>0.8125</v>
      </c>
      <c r="AD6" s="109">
        <v>2.6265442308210498</v>
      </c>
      <c r="AE6" s="109">
        <v>11.3816916668912</v>
      </c>
      <c r="AF6">
        <v>16</v>
      </c>
      <c r="AG6" s="109">
        <v>2.6177699519322299</v>
      </c>
      <c r="AJ6" t="s">
        <v>222</v>
      </c>
      <c r="AK6" s="109">
        <v>0.439009745831485</v>
      </c>
      <c r="AL6" s="109">
        <v>0.353488341146317</v>
      </c>
      <c r="AM6" s="109">
        <v>0.77777777777777701</v>
      </c>
      <c r="AN6" s="109">
        <v>1.7924493944526301</v>
      </c>
      <c r="AO6" s="109">
        <v>6.2735728805842204</v>
      </c>
      <c r="AP6">
        <v>9</v>
      </c>
    </row>
    <row r="7" spans="1:42" x14ac:dyDescent="0.3">
      <c r="A7" t="s">
        <v>200</v>
      </c>
      <c r="B7" s="109">
        <v>0.46570145368841798</v>
      </c>
      <c r="C7" s="109">
        <v>0.193557686501279</v>
      </c>
      <c r="D7" s="109">
        <v>0.81818181818181801</v>
      </c>
      <c r="E7" s="109">
        <v>5.9810086228904096</v>
      </c>
      <c r="F7" s="109">
        <v>26.914538803006799</v>
      </c>
      <c r="G7">
        <v>22</v>
      </c>
      <c r="I7" t="s">
        <v>186</v>
      </c>
      <c r="J7" s="109">
        <v>0.180846362552154</v>
      </c>
      <c r="K7" s="109">
        <v>0.15146715726316801</v>
      </c>
      <c r="L7" s="109">
        <v>0.69491525423728795</v>
      </c>
      <c r="M7" s="109">
        <v>1.85708016900595</v>
      </c>
      <c r="N7" s="109">
        <v>4.2300159405135496</v>
      </c>
      <c r="O7">
        <v>59</v>
      </c>
      <c r="Q7" t="s">
        <v>169</v>
      </c>
      <c r="R7" s="109">
        <v>0.261168556460947</v>
      </c>
      <c r="S7" s="109">
        <v>0.170517276616376</v>
      </c>
      <c r="T7" s="109">
        <v>0.71698113207547098</v>
      </c>
      <c r="U7" s="109">
        <v>2.7438522319723</v>
      </c>
      <c r="V7" s="109">
        <v>6.9510923209964997</v>
      </c>
      <c r="W7">
        <v>53</v>
      </c>
      <c r="X7" s="109">
        <v>2.5811571921300702</v>
      </c>
      <c r="Z7" t="s">
        <v>208</v>
      </c>
      <c r="AA7" s="109">
        <v>0.652691027832496</v>
      </c>
      <c r="AB7" s="109">
        <v>0.191075226104017</v>
      </c>
      <c r="AC7" s="109">
        <v>0.8125</v>
      </c>
      <c r="AD7" s="109">
        <v>2.6265442308210498</v>
      </c>
      <c r="AE7" s="109">
        <v>11.3816916668912</v>
      </c>
      <c r="AF7">
        <v>16</v>
      </c>
      <c r="AG7" s="109">
        <v>2.6177699519322299</v>
      </c>
      <c r="AJ7" t="s">
        <v>223</v>
      </c>
      <c r="AK7" s="109">
        <v>0.439009745831485</v>
      </c>
      <c r="AL7" s="109">
        <v>0.353488341146317</v>
      </c>
      <c r="AM7" s="109">
        <v>0.77777777777777701</v>
      </c>
      <c r="AN7" s="109">
        <v>1.7924493944526301</v>
      </c>
      <c r="AO7" s="109">
        <v>6.2735728805842204</v>
      </c>
      <c r="AP7">
        <v>9</v>
      </c>
    </row>
    <row r="8" spans="1:42" x14ac:dyDescent="0.3">
      <c r="A8" t="s">
        <v>172</v>
      </c>
      <c r="B8" s="109">
        <v>0.46660308233549602</v>
      </c>
      <c r="C8" s="109">
        <v>0.319290369421311</v>
      </c>
      <c r="D8" s="109">
        <v>0.88</v>
      </c>
      <c r="E8" s="109">
        <v>1.82667377616925</v>
      </c>
      <c r="F8" s="109">
        <v>13.3956076919078</v>
      </c>
      <c r="G8">
        <v>25</v>
      </c>
      <c r="I8" t="s">
        <v>187</v>
      </c>
      <c r="J8" s="109">
        <v>0.17674254561348901</v>
      </c>
      <c r="K8" s="109">
        <v>0.17154397448176001</v>
      </c>
      <c r="L8" s="109">
        <v>0.71153846153846101</v>
      </c>
      <c r="M8" s="109">
        <v>1.6993868187211001</v>
      </c>
      <c r="N8" s="109">
        <v>4.1918208195120501</v>
      </c>
      <c r="O8">
        <v>52</v>
      </c>
      <c r="Q8" t="s">
        <v>178</v>
      </c>
      <c r="R8" s="109">
        <v>0.247676361774466</v>
      </c>
      <c r="S8" s="109">
        <v>0.20132746396978399</v>
      </c>
      <c r="T8" s="109">
        <v>0.74725274725274704</v>
      </c>
      <c r="U8" s="109">
        <v>2.30724273138605</v>
      </c>
      <c r="V8" s="109">
        <v>6.8214132927935403</v>
      </c>
      <c r="W8">
        <v>91</v>
      </c>
      <c r="X8" s="109">
        <v>2.1720011586314998</v>
      </c>
      <c r="Z8" t="s">
        <v>198</v>
      </c>
      <c r="AA8" s="109">
        <v>0.34115915032924898</v>
      </c>
      <c r="AB8" s="109">
        <v>0.217376946223515</v>
      </c>
      <c r="AC8" s="109">
        <v>0.75</v>
      </c>
      <c r="AD8" s="109">
        <v>2.5004005307244301</v>
      </c>
      <c r="AE8" s="109">
        <v>7.5012015921733104</v>
      </c>
      <c r="AF8">
        <v>32</v>
      </c>
      <c r="AG8" s="109">
        <v>2.3638023226744602</v>
      </c>
      <c r="AJ8" t="s">
        <v>224</v>
      </c>
      <c r="AK8" s="109">
        <v>0.51442451067536099</v>
      </c>
      <c r="AL8" s="109">
        <v>0.18385863347931</v>
      </c>
      <c r="AM8" s="109">
        <v>0.5</v>
      </c>
      <c r="AN8" s="109">
        <v>5.6349511024960703</v>
      </c>
      <c r="AO8" s="109">
        <v>5.6349511024960703</v>
      </c>
      <c r="AP8">
        <v>6</v>
      </c>
    </row>
    <row r="9" spans="1:42" x14ac:dyDescent="0.3">
      <c r="A9" t="s">
        <v>171</v>
      </c>
      <c r="B9" s="109">
        <v>0.46660308233549602</v>
      </c>
      <c r="C9" s="109">
        <v>0.319290369421311</v>
      </c>
      <c r="D9" s="109">
        <v>0.88</v>
      </c>
      <c r="E9" s="109">
        <v>1.82667377616925</v>
      </c>
      <c r="F9" s="109">
        <v>13.3956076919078</v>
      </c>
      <c r="G9">
        <v>25</v>
      </c>
      <c r="I9" t="s">
        <v>188</v>
      </c>
      <c r="J9" s="109">
        <v>0.17674254561348901</v>
      </c>
      <c r="K9" s="109">
        <v>0.17154397448176001</v>
      </c>
      <c r="L9" s="109">
        <v>0.71153846153846101</v>
      </c>
      <c r="M9" s="109">
        <v>1.6993868187211001</v>
      </c>
      <c r="N9" s="109">
        <v>4.1918208195120501</v>
      </c>
      <c r="O9">
        <v>52</v>
      </c>
      <c r="Q9" t="s">
        <v>177</v>
      </c>
      <c r="R9" s="109">
        <v>0.247676361774466</v>
      </c>
      <c r="S9" s="109">
        <v>0.20132746396978399</v>
      </c>
      <c r="T9" s="109">
        <v>0.74725274725274704</v>
      </c>
      <c r="U9" s="109">
        <v>2.30724273138605</v>
      </c>
      <c r="V9" s="109">
        <v>6.8214132927935403</v>
      </c>
      <c r="W9">
        <v>91</v>
      </c>
      <c r="X9" s="109">
        <v>2.1720011586314998</v>
      </c>
      <c r="Z9" t="s">
        <v>201</v>
      </c>
      <c r="AA9" s="109">
        <v>0.37096929668953899</v>
      </c>
      <c r="AB9" s="109">
        <v>0.10078831948519</v>
      </c>
      <c r="AC9" s="109">
        <v>0.64285714285714202</v>
      </c>
      <c r="AD9" s="109">
        <v>3.0856873353991001</v>
      </c>
      <c r="AE9" s="109">
        <v>5.5542372037183902</v>
      </c>
      <c r="AF9">
        <v>28</v>
      </c>
      <c r="AG9" s="109">
        <v>2.9579671395752301</v>
      </c>
      <c r="AJ9" t="s">
        <v>225</v>
      </c>
      <c r="AK9" s="109">
        <v>0.51442451067536099</v>
      </c>
      <c r="AL9" s="109">
        <v>0.18385863347931</v>
      </c>
      <c r="AM9" s="109">
        <v>0.5</v>
      </c>
      <c r="AN9" s="109">
        <v>5.6349511024960703</v>
      </c>
      <c r="AO9" s="109">
        <v>5.6349511024960703</v>
      </c>
      <c r="AP9">
        <v>6</v>
      </c>
    </row>
    <row r="10" spans="1:42" x14ac:dyDescent="0.3">
      <c r="A10" t="s">
        <v>178</v>
      </c>
      <c r="B10" s="109">
        <v>0.40079758291060802</v>
      </c>
      <c r="C10" s="109">
        <v>0.31311056338191701</v>
      </c>
      <c r="D10" s="109">
        <v>0.85714285714285698</v>
      </c>
      <c r="E10" s="109">
        <v>2.05297125646395</v>
      </c>
      <c r="F10" s="109">
        <v>12.3178275387837</v>
      </c>
      <c r="G10">
        <v>28</v>
      </c>
      <c r="I10" t="s">
        <v>195</v>
      </c>
      <c r="J10" s="109">
        <v>0.17644341099833499</v>
      </c>
      <c r="K10" s="109">
        <v>7.8097522975054096E-2</v>
      </c>
      <c r="L10" s="109">
        <v>0.71428571428571397</v>
      </c>
      <c r="M10" s="109">
        <v>1.59225986981379</v>
      </c>
      <c r="N10" s="109">
        <v>3.9806496745344901</v>
      </c>
      <c r="O10">
        <v>21</v>
      </c>
      <c r="Q10" t="s">
        <v>172</v>
      </c>
      <c r="R10" s="109">
        <v>0.25452460806171201</v>
      </c>
      <c r="S10" s="109">
        <v>0.16779753871375799</v>
      </c>
      <c r="T10" s="109">
        <v>0.71830985915492895</v>
      </c>
      <c r="U10" s="109">
        <v>2.2532113255263702</v>
      </c>
      <c r="V10" s="109">
        <v>5.7456888800922501</v>
      </c>
      <c r="W10">
        <v>71</v>
      </c>
      <c r="X10" s="109">
        <v>2.35084506373975</v>
      </c>
      <c r="Z10" t="s">
        <v>202</v>
      </c>
      <c r="AA10" s="109">
        <v>0.37096929668953899</v>
      </c>
      <c r="AB10" s="109">
        <v>0.10078831948519</v>
      </c>
      <c r="AC10" s="109">
        <v>0.64285714285714202</v>
      </c>
      <c r="AD10" s="109">
        <v>3.0856873353991001</v>
      </c>
      <c r="AE10" s="109">
        <v>5.5542372037183902</v>
      </c>
      <c r="AF10">
        <v>28</v>
      </c>
      <c r="AG10" s="109">
        <v>2.9579671395752301</v>
      </c>
      <c r="AJ10" t="s">
        <v>220</v>
      </c>
      <c r="AK10" s="109">
        <v>0.315338045782243</v>
      </c>
      <c r="AL10" s="109">
        <v>9.9559964853455293E-2</v>
      </c>
      <c r="AM10" s="109">
        <v>0.63636363636363602</v>
      </c>
      <c r="AN10" s="109">
        <v>2.9577901168587002</v>
      </c>
      <c r="AO10" s="109">
        <v>5.1761327045027397</v>
      </c>
      <c r="AP10">
        <v>11</v>
      </c>
    </row>
    <row r="11" spans="1:42" x14ac:dyDescent="0.3">
      <c r="A11" t="s">
        <v>177</v>
      </c>
      <c r="B11" s="109">
        <v>0.40079758291060802</v>
      </c>
      <c r="C11" s="109">
        <v>0.31311056338191701</v>
      </c>
      <c r="D11" s="109">
        <v>0.85714285714285698</v>
      </c>
      <c r="E11" s="109">
        <v>2.05297125646395</v>
      </c>
      <c r="F11" s="109">
        <v>12.3178275387837</v>
      </c>
      <c r="G11">
        <v>28</v>
      </c>
      <c r="I11" t="s">
        <v>196</v>
      </c>
      <c r="J11" s="109">
        <v>0.17644341099833499</v>
      </c>
      <c r="K11" s="109">
        <v>7.8097522975054096E-2</v>
      </c>
      <c r="L11" s="109">
        <v>0.71428571428571397</v>
      </c>
      <c r="M11" s="109">
        <v>1.59225986981379</v>
      </c>
      <c r="N11" s="109">
        <v>3.9806496745344901</v>
      </c>
      <c r="O11">
        <v>21</v>
      </c>
      <c r="Q11" t="s">
        <v>171</v>
      </c>
      <c r="R11" s="109">
        <v>0.25452460806171201</v>
      </c>
      <c r="S11" s="109">
        <v>0.16779753871375799</v>
      </c>
      <c r="T11" s="109">
        <v>0.71830985915492895</v>
      </c>
      <c r="U11" s="109">
        <v>2.2532113255263702</v>
      </c>
      <c r="V11" s="109">
        <v>5.7456888800922501</v>
      </c>
      <c r="W11">
        <v>71</v>
      </c>
      <c r="X11" s="109">
        <v>2.35084506373975</v>
      </c>
      <c r="Z11" t="s">
        <v>197</v>
      </c>
      <c r="AA11" s="109">
        <v>0.25121370496794398</v>
      </c>
      <c r="AB11" s="109">
        <v>0.188404193834079</v>
      </c>
      <c r="AC11" s="109">
        <v>0.65625</v>
      </c>
      <c r="AD11" s="109">
        <v>2.671828826219</v>
      </c>
      <c r="AE11" s="109">
        <v>5.1007641227817402</v>
      </c>
      <c r="AF11">
        <v>32</v>
      </c>
      <c r="AG11" s="109">
        <v>3.2718759917740199</v>
      </c>
      <c r="AJ11" t="s">
        <v>221</v>
      </c>
      <c r="AK11" s="109">
        <v>0.315338045782243</v>
      </c>
      <c r="AL11" s="109">
        <v>9.9559964853455293E-2</v>
      </c>
      <c r="AM11" s="109">
        <v>0.63636363636363602</v>
      </c>
      <c r="AN11" s="109">
        <v>2.9577901168587002</v>
      </c>
      <c r="AO11" s="109">
        <v>5.1761327045027397</v>
      </c>
      <c r="AP11">
        <v>11</v>
      </c>
    </row>
    <row r="12" spans="1:42" x14ac:dyDescent="0.3">
      <c r="A12" t="s">
        <v>174</v>
      </c>
      <c r="B12" s="109">
        <v>0.38705895581960398</v>
      </c>
      <c r="C12" s="109">
        <v>0.389473756858847</v>
      </c>
      <c r="D12" s="109">
        <v>0.73913043478260798</v>
      </c>
      <c r="E12" s="109">
        <v>3.7699208348064399</v>
      </c>
      <c r="F12" s="109">
        <v>10.6814423652849</v>
      </c>
      <c r="G12">
        <v>23</v>
      </c>
      <c r="I12" t="s">
        <v>189</v>
      </c>
      <c r="J12" s="109">
        <v>0.137883839579795</v>
      </c>
      <c r="K12" s="109">
        <v>7.2406074816939101E-2</v>
      </c>
      <c r="L12" s="109">
        <v>0.625</v>
      </c>
      <c r="M12" s="109">
        <v>1.63060860445709</v>
      </c>
      <c r="N12" s="109">
        <v>2.7176810074284798</v>
      </c>
      <c r="O12">
        <v>40</v>
      </c>
      <c r="Q12" t="s">
        <v>174</v>
      </c>
      <c r="R12" s="109">
        <v>0.219099291411748</v>
      </c>
      <c r="S12" s="109">
        <v>0.138655988500623</v>
      </c>
      <c r="T12" s="109">
        <v>0.63076923076922997</v>
      </c>
      <c r="U12" s="109">
        <v>2.7794030655783799</v>
      </c>
      <c r="V12" s="109">
        <v>4.7481469036963997</v>
      </c>
      <c r="W12">
        <v>65</v>
      </c>
      <c r="X12" s="109">
        <v>2.0142379087786701</v>
      </c>
      <c r="Z12" t="s">
        <v>209</v>
      </c>
      <c r="AA12" s="109">
        <v>0.35056343925803002</v>
      </c>
      <c r="AB12" s="109">
        <v>0.207882551105178</v>
      </c>
      <c r="AC12" s="109">
        <v>0.7</v>
      </c>
      <c r="AD12" s="109">
        <v>2.0514202674782598</v>
      </c>
      <c r="AE12" s="109">
        <v>4.7866472907826196</v>
      </c>
      <c r="AF12">
        <v>10</v>
      </c>
      <c r="AG12" s="109">
        <v>1.3115958755474</v>
      </c>
      <c r="AJ12" t="s">
        <v>218</v>
      </c>
      <c r="AK12" s="109">
        <v>0.28789774118717798</v>
      </c>
      <c r="AL12" s="109">
        <v>0.42979935744485198</v>
      </c>
      <c r="AM12" s="109">
        <v>0.55555555555555503</v>
      </c>
      <c r="AN12" s="109">
        <v>3.0994835949024502</v>
      </c>
      <c r="AO12" s="109">
        <v>3.8743544936280698</v>
      </c>
      <c r="AP12">
        <v>9</v>
      </c>
    </row>
    <row r="13" spans="1:42" x14ac:dyDescent="0.3">
      <c r="A13" t="s">
        <v>173</v>
      </c>
      <c r="B13" s="109">
        <v>0.38705895581960398</v>
      </c>
      <c r="C13" s="109">
        <v>0.389473756858847</v>
      </c>
      <c r="D13" s="109">
        <v>0.73913043478260798</v>
      </c>
      <c r="E13" s="109">
        <v>3.7699208348064399</v>
      </c>
      <c r="F13" s="109">
        <v>10.6814423652849</v>
      </c>
      <c r="G13">
        <v>23</v>
      </c>
      <c r="I13" t="s">
        <v>190</v>
      </c>
      <c r="J13" s="109">
        <v>0.137883839579795</v>
      </c>
      <c r="K13" s="109">
        <v>7.2406074816939101E-2</v>
      </c>
      <c r="L13" s="109">
        <v>0.625</v>
      </c>
      <c r="M13" s="109">
        <v>1.63060860445709</v>
      </c>
      <c r="N13" s="109">
        <v>2.7176810074284798</v>
      </c>
      <c r="O13">
        <v>40</v>
      </c>
      <c r="Q13" t="s">
        <v>173</v>
      </c>
      <c r="R13" s="109">
        <v>0.219099291411748</v>
      </c>
      <c r="S13" s="109">
        <v>0.138655988500623</v>
      </c>
      <c r="T13" s="109">
        <v>0.63076923076922997</v>
      </c>
      <c r="U13" s="109">
        <v>2.7794030655783799</v>
      </c>
      <c r="V13" s="109">
        <v>4.7481469036963997</v>
      </c>
      <c r="W13">
        <v>65</v>
      </c>
      <c r="X13" s="109">
        <v>2.0142379087786701</v>
      </c>
      <c r="Z13" t="s">
        <v>210</v>
      </c>
      <c r="AA13" s="109">
        <v>0.35056343925803002</v>
      </c>
      <c r="AB13" s="109">
        <v>0.207882551105178</v>
      </c>
      <c r="AC13" s="109">
        <v>0.7</v>
      </c>
      <c r="AD13" s="109">
        <v>2.0514202674782598</v>
      </c>
      <c r="AE13" s="109">
        <v>4.7866472907826196</v>
      </c>
      <c r="AF13">
        <v>10</v>
      </c>
      <c r="AG13" s="109">
        <v>1.3115958755474</v>
      </c>
      <c r="AJ13" t="s">
        <v>219</v>
      </c>
      <c r="AK13" s="109">
        <v>0.28789774118717798</v>
      </c>
      <c r="AL13" s="109">
        <v>0.42979935744485198</v>
      </c>
      <c r="AM13" s="109">
        <v>0.55555555555555503</v>
      </c>
      <c r="AN13" s="109">
        <v>3.0994835949024502</v>
      </c>
      <c r="AO13" s="109">
        <v>3.8743544936280698</v>
      </c>
      <c r="AP13">
        <v>9</v>
      </c>
    </row>
    <row r="14" spans="1:42" x14ac:dyDescent="0.3">
      <c r="A14" t="s">
        <v>198</v>
      </c>
      <c r="B14" s="109">
        <v>0.39856736665742598</v>
      </c>
      <c r="C14" s="109">
        <v>0.23131097884806001</v>
      </c>
      <c r="D14" s="109">
        <v>0.82608695652173902</v>
      </c>
      <c r="E14" s="109">
        <v>2.2113567756621602</v>
      </c>
      <c r="F14" s="109">
        <v>10.503944684395201</v>
      </c>
      <c r="G14">
        <v>23</v>
      </c>
      <c r="I14" t="s">
        <v>184</v>
      </c>
      <c r="J14" s="109">
        <v>0.13743254806685301</v>
      </c>
      <c r="K14" s="109">
        <v>0.143911446472889</v>
      </c>
      <c r="L14" s="109">
        <v>0.67213114754098302</v>
      </c>
      <c r="M14" s="109">
        <v>1.2739871725834999</v>
      </c>
      <c r="N14" s="109">
        <v>2.6116737037961801</v>
      </c>
      <c r="O14">
        <v>61</v>
      </c>
      <c r="Q14" t="s">
        <v>179</v>
      </c>
      <c r="R14" s="109">
        <v>0.22198018347849599</v>
      </c>
      <c r="S14" s="109">
        <v>0.25283402766068502</v>
      </c>
      <c r="T14" s="109">
        <v>0.76344086021505297</v>
      </c>
      <c r="U14" s="109">
        <v>1.3641355878477399</v>
      </c>
      <c r="V14" s="109">
        <v>4.4024375789631902</v>
      </c>
      <c r="W14">
        <v>93</v>
      </c>
      <c r="X14" s="109">
        <v>2.1548162040496601</v>
      </c>
      <c r="Z14" t="s">
        <v>203</v>
      </c>
      <c r="AA14" s="109">
        <v>0.30738707557737499</v>
      </c>
      <c r="AB14" s="109">
        <v>2.0758166496684698E-2</v>
      </c>
      <c r="AC14" s="109">
        <v>0.5</v>
      </c>
      <c r="AD14" s="109">
        <v>3.8974849777919198</v>
      </c>
      <c r="AE14" s="109">
        <v>3.8974849777919198</v>
      </c>
      <c r="AF14">
        <v>24</v>
      </c>
      <c r="AG14" s="109">
        <v>1.7400594642709</v>
      </c>
      <c r="AJ14" t="s">
        <v>213</v>
      </c>
      <c r="AK14" s="109">
        <v>0.103514930851523</v>
      </c>
      <c r="AL14" s="109">
        <v>-2.7661361135781701E-2</v>
      </c>
      <c r="AM14" s="109">
        <v>0.42857142857142799</v>
      </c>
      <c r="AN14" s="109">
        <v>2.6050019966799902</v>
      </c>
      <c r="AO14" s="109">
        <v>1.9537514975099901</v>
      </c>
      <c r="AP14">
        <v>14</v>
      </c>
    </row>
    <row r="15" spans="1:42" x14ac:dyDescent="0.3">
      <c r="A15" t="s">
        <v>214</v>
      </c>
      <c r="B15" s="109">
        <v>0.296969643095507</v>
      </c>
      <c r="C15" s="109">
        <v>0.15265558125055401</v>
      </c>
      <c r="D15" s="109">
        <v>0.64285714285714202</v>
      </c>
      <c r="E15" s="109">
        <v>4.6821045245326403</v>
      </c>
      <c r="F15" s="109">
        <v>8.4277881441587503</v>
      </c>
      <c r="G15">
        <v>14</v>
      </c>
      <c r="I15" t="s">
        <v>183</v>
      </c>
      <c r="J15" s="109">
        <v>0.105522684274622</v>
      </c>
      <c r="K15" s="109">
        <v>8.0135424338578301E-2</v>
      </c>
      <c r="L15" s="109">
        <v>0.55737704918032704</v>
      </c>
      <c r="M15" s="109">
        <v>1.6465478919135701</v>
      </c>
      <c r="N15" s="109">
        <v>2.07343067870598</v>
      </c>
      <c r="O15">
        <v>61</v>
      </c>
      <c r="Q15" t="s">
        <v>176</v>
      </c>
      <c r="R15" s="109">
        <v>0.19530005095151201</v>
      </c>
      <c r="S15" s="109">
        <v>0.147060206571625</v>
      </c>
      <c r="T15" s="109">
        <v>0.68292682926829196</v>
      </c>
      <c r="U15" s="109">
        <v>1.9949406601916</v>
      </c>
      <c r="V15" s="109">
        <v>4.2967952681049901</v>
      </c>
      <c r="W15">
        <v>82</v>
      </c>
      <c r="X15" s="109">
        <v>1.62649556293466</v>
      </c>
      <c r="Z15" t="s">
        <v>204</v>
      </c>
      <c r="AA15" s="109">
        <v>0.30738707557737499</v>
      </c>
      <c r="AB15" s="109">
        <v>2.0758166496684698E-2</v>
      </c>
      <c r="AC15" s="109">
        <v>0.5</v>
      </c>
      <c r="AD15" s="109">
        <v>3.8974849777919198</v>
      </c>
      <c r="AE15" s="109">
        <v>3.8974849777919198</v>
      </c>
      <c r="AF15">
        <v>24</v>
      </c>
      <c r="AG15" s="109">
        <v>1.7400594642709</v>
      </c>
      <c r="AJ15" t="s">
        <v>212</v>
      </c>
      <c r="AK15" s="109">
        <v>8.5742718377023297E-2</v>
      </c>
      <c r="AL15" s="109">
        <v>-0.105970849435257</v>
      </c>
      <c r="AM15" s="109">
        <v>0.42857142857142799</v>
      </c>
      <c r="AN15" s="109">
        <v>2.2384604857572099</v>
      </c>
      <c r="AO15" s="109">
        <v>1.6788453643179</v>
      </c>
      <c r="AP15">
        <v>14</v>
      </c>
    </row>
    <row r="16" spans="1:42" x14ac:dyDescent="0.3">
      <c r="A16" t="s">
        <v>215</v>
      </c>
      <c r="B16" s="109">
        <v>0.296969643095507</v>
      </c>
      <c r="C16" s="109">
        <v>0.15265558125055401</v>
      </c>
      <c r="D16" s="109">
        <v>0.64285714285714202</v>
      </c>
      <c r="E16" s="109">
        <v>4.6821045245326403</v>
      </c>
      <c r="F16" s="109">
        <v>8.4277881441587503</v>
      </c>
      <c r="G16">
        <v>14</v>
      </c>
      <c r="Q16" t="s">
        <v>175</v>
      </c>
      <c r="R16" s="109">
        <v>0.19530005095151201</v>
      </c>
      <c r="S16" s="109">
        <v>0.147060206571625</v>
      </c>
      <c r="T16" s="109">
        <v>0.68292682926829196</v>
      </c>
      <c r="U16" s="109">
        <v>1.9949406601916</v>
      </c>
      <c r="V16" s="109">
        <v>4.2967952681049901</v>
      </c>
      <c r="W16">
        <v>82</v>
      </c>
      <c r="X16" s="109">
        <v>1.62649556293466</v>
      </c>
    </row>
    <row r="17" spans="1:28" x14ac:dyDescent="0.3">
      <c r="A17" t="s">
        <v>176</v>
      </c>
      <c r="B17" s="109">
        <v>0.38022384792793401</v>
      </c>
      <c r="C17" s="109">
        <v>0.34569261534194801</v>
      </c>
      <c r="D17" s="109">
        <v>0.80769230769230704</v>
      </c>
      <c r="E17" s="109">
        <v>2.0015617037726701</v>
      </c>
      <c r="F17" s="109">
        <v>8.4065591558452208</v>
      </c>
      <c r="G17">
        <v>26</v>
      </c>
      <c r="Q17" t="s">
        <v>180</v>
      </c>
      <c r="R17" s="109">
        <v>0.156697391470669</v>
      </c>
      <c r="S17" s="109">
        <v>0.172681936794538</v>
      </c>
      <c r="T17" s="109">
        <v>0.66666666666666596</v>
      </c>
      <c r="U17" s="109">
        <v>1.5542314355853399</v>
      </c>
      <c r="V17" s="109">
        <v>3.1084628711706901</v>
      </c>
      <c r="W17">
        <v>93</v>
      </c>
      <c r="X17" s="109">
        <v>2.4009394896899101</v>
      </c>
    </row>
    <row r="18" spans="1:28" x14ac:dyDescent="0.3">
      <c r="A18" t="s">
        <v>175</v>
      </c>
      <c r="B18" s="109">
        <v>0.38022384792793401</v>
      </c>
      <c r="C18" s="109">
        <v>0.34569261534194801</v>
      </c>
      <c r="D18" s="109">
        <v>0.80769230769230704</v>
      </c>
      <c r="E18" s="109">
        <v>2.0015617037726701</v>
      </c>
      <c r="F18" s="109">
        <v>8.4065591558452208</v>
      </c>
      <c r="G18">
        <v>26</v>
      </c>
    </row>
    <row r="19" spans="1:28" x14ac:dyDescent="0.3">
      <c r="A19" t="s">
        <v>197</v>
      </c>
      <c r="B19" s="109">
        <v>0.30236359733681001</v>
      </c>
      <c r="C19" s="109">
        <v>0.19081785374151899</v>
      </c>
      <c r="D19" s="109">
        <v>0.73913043478260798</v>
      </c>
      <c r="E19" s="109">
        <v>2.5285681770470099</v>
      </c>
      <c r="F19" s="109">
        <v>7.1642765016332</v>
      </c>
      <c r="G19">
        <v>23</v>
      </c>
      <c r="Q19" s="4" t="s">
        <v>359</v>
      </c>
    </row>
    <row r="20" spans="1:28" x14ac:dyDescent="0.3">
      <c r="A20" t="s">
        <v>201</v>
      </c>
      <c r="B20" s="109">
        <v>0.36901423666253502</v>
      </c>
      <c r="C20" s="109">
        <v>0.11405618463954401</v>
      </c>
      <c r="D20" s="109">
        <v>0.7</v>
      </c>
      <c r="E20" s="109">
        <v>2.8235948383203802</v>
      </c>
      <c r="F20" s="109">
        <v>6.5883879560808998</v>
      </c>
      <c r="G20">
        <v>20</v>
      </c>
      <c r="Q20" t="s">
        <v>358</v>
      </c>
    </row>
    <row r="21" spans="1:28" x14ac:dyDescent="0.3">
      <c r="A21" t="s">
        <v>202</v>
      </c>
      <c r="B21" s="109">
        <v>0.36901423666253502</v>
      </c>
      <c r="C21" s="109">
        <v>0.11405618463954401</v>
      </c>
      <c r="D21" s="109">
        <v>0.7</v>
      </c>
      <c r="E21" s="109">
        <v>2.8235948383203802</v>
      </c>
      <c r="F21" s="109">
        <v>6.5883879560808998</v>
      </c>
      <c r="G21">
        <v>20</v>
      </c>
      <c r="Q21" t="s">
        <v>211</v>
      </c>
      <c r="R21" t="s">
        <v>182</v>
      </c>
      <c r="S21" t="s">
        <v>164</v>
      </c>
      <c r="T21" t="s">
        <v>81</v>
      </c>
      <c r="U21" t="s">
        <v>165</v>
      </c>
      <c r="V21" t="s">
        <v>166</v>
      </c>
      <c r="W21" t="s">
        <v>181</v>
      </c>
      <c r="X21" t="s">
        <v>362</v>
      </c>
    </row>
    <row r="22" spans="1:28" x14ac:dyDescent="0.3">
      <c r="A22" t="s">
        <v>216</v>
      </c>
      <c r="B22" s="109">
        <v>0.28911928681735499</v>
      </c>
      <c r="C22" s="109">
        <v>0.18153262410795101</v>
      </c>
      <c r="D22" s="109">
        <v>0.69230769230769196</v>
      </c>
      <c r="E22" s="109">
        <v>2.80292625467108</v>
      </c>
      <c r="F22" s="109">
        <v>6.3065840730099403</v>
      </c>
      <c r="G22">
        <v>13</v>
      </c>
      <c r="Q22" t="s">
        <v>180</v>
      </c>
      <c r="R22" s="109">
        <v>0.14711295853835199</v>
      </c>
      <c r="S22" s="109">
        <v>0.16593397933063</v>
      </c>
      <c r="T22" s="109">
        <v>0.63440860215053696</v>
      </c>
      <c r="U22" s="109">
        <v>1.6134447698330201</v>
      </c>
      <c r="V22" s="109">
        <v>2.7998012182396601</v>
      </c>
      <c r="W22">
        <v>93</v>
      </c>
      <c r="X22" s="109">
        <v>1.75041175119819</v>
      </c>
    </row>
    <row r="23" spans="1:28" x14ac:dyDescent="0.3">
      <c r="A23" t="s">
        <v>217</v>
      </c>
      <c r="B23" s="109">
        <v>0.28911928681735499</v>
      </c>
      <c r="C23" s="109">
        <v>0.18153262410795101</v>
      </c>
      <c r="D23" s="109">
        <v>0.69230769230769196</v>
      </c>
      <c r="E23" s="109">
        <v>2.80292625467108</v>
      </c>
      <c r="F23" s="109">
        <v>6.3065840730099403</v>
      </c>
      <c r="G23">
        <v>13</v>
      </c>
      <c r="Q23" t="s">
        <v>179</v>
      </c>
      <c r="R23" s="109">
        <v>0.21056258188876301</v>
      </c>
      <c r="S23" s="109">
        <v>0.24045608101223001</v>
      </c>
      <c r="T23" s="109">
        <v>0.72043010752688097</v>
      </c>
      <c r="U23" s="109">
        <v>1.4220477777429299</v>
      </c>
      <c r="V23" s="109">
        <v>3.66450773495295</v>
      </c>
      <c r="W23">
        <v>93</v>
      </c>
      <c r="X23" s="109">
        <v>1.5284967218376999</v>
      </c>
      <c r="AB23" t="s">
        <v>239</v>
      </c>
    </row>
    <row r="24" spans="1:28" x14ac:dyDescent="0.3">
      <c r="A24" t="s">
        <v>222</v>
      </c>
      <c r="B24" s="109">
        <v>0.439009745831485</v>
      </c>
      <c r="C24" s="109">
        <v>0.353488341146317</v>
      </c>
      <c r="D24" s="109">
        <v>0.77777777777777701</v>
      </c>
      <c r="E24" s="109">
        <v>1.7924493944526301</v>
      </c>
      <c r="F24" s="109">
        <v>6.2735728805842204</v>
      </c>
      <c r="G24">
        <v>9</v>
      </c>
      <c r="Q24" t="s">
        <v>172</v>
      </c>
      <c r="R24" s="109">
        <v>0.235464364500442</v>
      </c>
      <c r="S24" s="109">
        <v>0.14894869318808801</v>
      </c>
      <c r="T24" s="109">
        <v>0.68656716417910402</v>
      </c>
      <c r="U24" s="109">
        <v>2.1870786472649901</v>
      </c>
      <c r="V24" s="109">
        <v>4.79074370353284</v>
      </c>
      <c r="W24">
        <v>67</v>
      </c>
      <c r="X24" s="109">
        <v>2.3298804377339</v>
      </c>
    </row>
    <row r="25" spans="1:28" x14ac:dyDescent="0.3">
      <c r="A25" t="s">
        <v>223</v>
      </c>
      <c r="B25" s="109">
        <v>0.439009745831485</v>
      </c>
      <c r="C25" s="109">
        <v>0.353488341146317</v>
      </c>
      <c r="D25" s="109">
        <v>0.77777777777777701</v>
      </c>
      <c r="E25" s="109">
        <v>1.7924493944526301</v>
      </c>
      <c r="F25" s="109">
        <v>6.2735728805842204</v>
      </c>
      <c r="G25">
        <v>9</v>
      </c>
      <c r="Q25" t="s">
        <v>171</v>
      </c>
      <c r="R25" s="109">
        <v>0.235464364500442</v>
      </c>
      <c r="S25" s="109">
        <v>0.14894869318808801</v>
      </c>
      <c r="T25" s="109">
        <v>0.68656716417910402</v>
      </c>
      <c r="U25" s="109">
        <v>2.1870786472649901</v>
      </c>
      <c r="V25" s="109">
        <v>4.79074370353284</v>
      </c>
      <c r="W25">
        <v>67</v>
      </c>
      <c r="X25" s="109">
        <v>2.3298804377339</v>
      </c>
    </row>
    <row r="26" spans="1:28" x14ac:dyDescent="0.3">
      <c r="A26" t="s">
        <v>205</v>
      </c>
      <c r="B26" s="109">
        <v>0.35939708004104698</v>
      </c>
      <c r="C26" s="109">
        <v>0.121879416238192</v>
      </c>
      <c r="D26" s="109">
        <v>0.71428571428571397</v>
      </c>
      <c r="E26" s="109">
        <v>2.44642315288247</v>
      </c>
      <c r="F26" s="109">
        <v>6.11605788220617</v>
      </c>
      <c r="G26">
        <v>14</v>
      </c>
      <c r="Q26" t="s">
        <v>170</v>
      </c>
      <c r="R26" s="109">
        <v>0.24826201753764199</v>
      </c>
      <c r="S26" s="109">
        <v>0.15213157329012</v>
      </c>
      <c r="T26" s="109">
        <v>0.7</v>
      </c>
      <c r="U26" s="109">
        <v>2.5917231914180898</v>
      </c>
      <c r="V26" s="109">
        <v>6.0473541133088702</v>
      </c>
      <c r="W26">
        <v>50</v>
      </c>
      <c r="X26" s="109">
        <v>2.10671257060419</v>
      </c>
    </row>
    <row r="27" spans="1:28" x14ac:dyDescent="0.3">
      <c r="A27" t="s">
        <v>206</v>
      </c>
      <c r="B27" s="109">
        <v>0.35939708004104698</v>
      </c>
      <c r="C27" s="109">
        <v>0.121879416238192</v>
      </c>
      <c r="D27" s="109">
        <v>0.71428571428571397</v>
      </c>
      <c r="E27" s="109">
        <v>2.44642315288247</v>
      </c>
      <c r="F27" s="109">
        <v>6.11605788220617</v>
      </c>
      <c r="G27">
        <v>14</v>
      </c>
      <c r="Q27" t="s">
        <v>169</v>
      </c>
      <c r="R27" s="109">
        <v>0.24826201753764199</v>
      </c>
      <c r="S27" s="109">
        <v>0.15213157329012</v>
      </c>
      <c r="T27" s="109">
        <v>0.7</v>
      </c>
      <c r="U27" s="109">
        <v>2.5917231914180898</v>
      </c>
      <c r="V27" s="109">
        <v>6.0473541133088702</v>
      </c>
      <c r="W27">
        <v>50</v>
      </c>
      <c r="X27" s="109">
        <v>2.10671257060419</v>
      </c>
    </row>
    <row r="28" spans="1:28" x14ac:dyDescent="0.3">
      <c r="A28" t="s">
        <v>224</v>
      </c>
      <c r="B28" s="109">
        <v>0.51442451067536099</v>
      </c>
      <c r="C28" s="109">
        <v>0.18385863347931</v>
      </c>
      <c r="D28" s="109">
        <v>0.5</v>
      </c>
      <c r="E28" s="109">
        <v>5.6349511024960703</v>
      </c>
      <c r="F28" s="109">
        <v>5.6349511024960703</v>
      </c>
      <c r="G28">
        <v>6</v>
      </c>
      <c r="Q28" t="s">
        <v>168</v>
      </c>
      <c r="R28" s="109">
        <v>0.32066061541625102</v>
      </c>
      <c r="S28" s="109">
        <v>0.215658190912314</v>
      </c>
      <c r="T28" s="109">
        <v>0.67500000000000004</v>
      </c>
      <c r="U28" s="109">
        <v>4.6312496908098204</v>
      </c>
      <c r="V28" s="109">
        <v>9.6187493578357905</v>
      </c>
      <c r="W28">
        <v>40</v>
      </c>
      <c r="X28" s="109">
        <v>2.3731394233412701</v>
      </c>
    </row>
    <row r="29" spans="1:28" x14ac:dyDescent="0.3">
      <c r="A29" t="s">
        <v>225</v>
      </c>
      <c r="B29" s="109">
        <v>0.51442451067536099</v>
      </c>
      <c r="C29" s="109">
        <v>0.18385863347931</v>
      </c>
      <c r="D29" s="109">
        <v>0.5</v>
      </c>
      <c r="E29" s="109">
        <v>5.6349511024960703</v>
      </c>
      <c r="F29" s="109">
        <v>5.6349511024960703</v>
      </c>
      <c r="G29">
        <v>6</v>
      </c>
      <c r="Q29" t="s">
        <v>167</v>
      </c>
      <c r="R29" s="109">
        <v>0.32066061541625102</v>
      </c>
      <c r="S29" s="109">
        <v>0.215658190912314</v>
      </c>
      <c r="T29" s="109">
        <v>0.67500000000000004</v>
      </c>
      <c r="U29" s="109">
        <v>4.6312496908098204</v>
      </c>
      <c r="V29" s="109">
        <v>9.6187493578357905</v>
      </c>
      <c r="W29">
        <v>40</v>
      </c>
      <c r="X29" s="109">
        <v>1.8438912046963201</v>
      </c>
    </row>
    <row r="30" spans="1:28" x14ac:dyDescent="0.3">
      <c r="A30" t="s">
        <v>220</v>
      </c>
      <c r="B30" s="109">
        <v>0.315338045782243</v>
      </c>
      <c r="C30" s="109">
        <v>9.9559964853455293E-2</v>
      </c>
      <c r="D30" s="109">
        <v>0.63636363636363602</v>
      </c>
      <c r="E30" s="109">
        <v>2.9577901168587002</v>
      </c>
      <c r="F30" s="109">
        <v>5.1761327045027397</v>
      </c>
      <c r="G30">
        <v>11</v>
      </c>
      <c r="Q30" t="s">
        <v>178</v>
      </c>
      <c r="R30" s="109">
        <v>0.23490987839877001</v>
      </c>
      <c r="S30" s="109">
        <v>0.19533881044388801</v>
      </c>
      <c r="T30" s="109">
        <v>0.72527472527472503</v>
      </c>
      <c r="U30" s="109">
        <v>2.1918235800815502</v>
      </c>
      <c r="V30" s="109">
        <v>5.7864142514152999</v>
      </c>
      <c r="W30">
        <v>91</v>
      </c>
      <c r="X30" s="109">
        <v>2.9701962253830598</v>
      </c>
    </row>
    <row r="31" spans="1:28" x14ac:dyDescent="0.3">
      <c r="A31" t="s">
        <v>221</v>
      </c>
      <c r="B31" s="109">
        <v>0.315338045782243</v>
      </c>
      <c r="C31" s="109">
        <v>9.9559964853455293E-2</v>
      </c>
      <c r="D31" s="109">
        <v>0.63636363636363602</v>
      </c>
      <c r="E31" s="109">
        <v>2.9577901168587002</v>
      </c>
      <c r="F31" s="109">
        <v>5.1761327045027397</v>
      </c>
      <c r="G31">
        <v>11</v>
      </c>
      <c r="Q31" t="s">
        <v>177</v>
      </c>
      <c r="R31" s="109">
        <v>0.23490987839877001</v>
      </c>
      <c r="S31" s="109">
        <v>0.19533881044388801</v>
      </c>
      <c r="T31" s="109">
        <v>0.72527472527472503</v>
      </c>
      <c r="U31" s="109">
        <v>2.1918235800815502</v>
      </c>
      <c r="V31" s="109">
        <v>5.7864142514152999</v>
      </c>
      <c r="W31">
        <v>91</v>
      </c>
      <c r="X31" s="109">
        <v>2.9701962253830598</v>
      </c>
    </row>
    <row r="32" spans="1:28" x14ac:dyDescent="0.3">
      <c r="A32" t="s">
        <v>207</v>
      </c>
      <c r="B32" s="109">
        <v>0.33471242131607198</v>
      </c>
      <c r="C32" s="109">
        <v>0.20304875537605799</v>
      </c>
      <c r="D32" s="109">
        <v>0.75</v>
      </c>
      <c r="E32" s="109">
        <v>1.6643157610839101</v>
      </c>
      <c r="F32" s="109">
        <v>4.9929472832517297</v>
      </c>
      <c r="G32">
        <v>12</v>
      </c>
      <c r="Q32" t="s">
        <v>176</v>
      </c>
      <c r="R32" s="109">
        <v>0.20201062923980501</v>
      </c>
      <c r="S32" s="109">
        <v>0.164345383920665</v>
      </c>
      <c r="T32" s="109">
        <v>0.69135802469135799</v>
      </c>
      <c r="U32" s="109">
        <v>1.9505038417299201</v>
      </c>
      <c r="V32" s="109">
        <v>4.36912860547503</v>
      </c>
      <c r="W32">
        <v>81</v>
      </c>
      <c r="X32" s="109">
        <v>1.5284967218376999</v>
      </c>
    </row>
    <row r="33" spans="1:24" x14ac:dyDescent="0.3">
      <c r="A33" t="s">
        <v>208</v>
      </c>
      <c r="B33" s="109">
        <v>0.33471242131607198</v>
      </c>
      <c r="C33" s="109">
        <v>0.20304875537605799</v>
      </c>
      <c r="D33" s="109">
        <v>0.75</v>
      </c>
      <c r="E33" s="109">
        <v>1.6643157610839101</v>
      </c>
      <c r="F33" s="109">
        <v>4.9929472832517297</v>
      </c>
      <c r="G33">
        <v>12</v>
      </c>
      <c r="Q33" t="s">
        <v>175</v>
      </c>
      <c r="R33" s="109">
        <v>0.20201062923980501</v>
      </c>
      <c r="S33" s="109">
        <v>0.164345383920665</v>
      </c>
      <c r="T33" s="109">
        <v>0.69135802469135799</v>
      </c>
      <c r="U33" s="109">
        <v>1.9505038417299201</v>
      </c>
      <c r="V33" s="109">
        <v>4.36912860547503</v>
      </c>
      <c r="W33">
        <v>81</v>
      </c>
      <c r="X33" s="109">
        <v>1.75041175119819</v>
      </c>
    </row>
    <row r="34" spans="1:24" x14ac:dyDescent="0.3">
      <c r="A34" t="s">
        <v>193</v>
      </c>
      <c r="B34" s="109">
        <v>0.21128731908321099</v>
      </c>
      <c r="C34" s="109">
        <v>0.18099346904601901</v>
      </c>
      <c r="D34" s="109">
        <v>0.75</v>
      </c>
      <c r="E34" s="109">
        <v>1.6400340638705599</v>
      </c>
      <c r="F34" s="109">
        <v>4.9201021916116803</v>
      </c>
      <c r="G34">
        <v>28</v>
      </c>
      <c r="Q34" t="s">
        <v>174</v>
      </c>
      <c r="R34" s="109">
        <v>0.22295238677578799</v>
      </c>
      <c r="S34" s="109">
        <v>0.18060454587390601</v>
      </c>
      <c r="T34" s="109">
        <v>0.63636363636363602</v>
      </c>
      <c r="U34" s="109">
        <v>2.73989820706197</v>
      </c>
      <c r="V34" s="109">
        <v>4.79482186235846</v>
      </c>
      <c r="W34">
        <v>66</v>
      </c>
      <c r="X34" s="109">
        <v>2.0471068067550799</v>
      </c>
    </row>
    <row r="35" spans="1:24" x14ac:dyDescent="0.3">
      <c r="A35" t="s">
        <v>194</v>
      </c>
      <c r="B35" s="109">
        <v>0.21128731908321099</v>
      </c>
      <c r="C35" s="109">
        <v>0.18099346904601901</v>
      </c>
      <c r="D35" s="109">
        <v>0.75</v>
      </c>
      <c r="E35" s="109">
        <v>1.6400340638705599</v>
      </c>
      <c r="F35" s="109">
        <v>4.9201021916116803</v>
      </c>
      <c r="G35">
        <v>28</v>
      </c>
      <c r="Q35" t="s">
        <v>173</v>
      </c>
      <c r="R35" s="109">
        <v>0.22295238677578799</v>
      </c>
      <c r="S35" s="109">
        <v>0.18060454587390601</v>
      </c>
      <c r="T35" s="109">
        <v>0.63636363636363602</v>
      </c>
      <c r="U35" s="109">
        <v>2.73989820706197</v>
      </c>
      <c r="V35" s="109">
        <v>4.79482186235846</v>
      </c>
      <c r="W35">
        <v>66</v>
      </c>
      <c r="X35" s="109">
        <v>2.0471068067550799</v>
      </c>
    </row>
    <row r="36" spans="1:24" x14ac:dyDescent="0.3">
      <c r="A36" t="s">
        <v>191</v>
      </c>
      <c r="B36" s="109">
        <v>0.203862416091629</v>
      </c>
      <c r="C36" s="109">
        <v>0.16326470726506401</v>
      </c>
      <c r="D36" s="109">
        <v>0.67500000000000004</v>
      </c>
      <c r="E36" s="109">
        <v>2.3383558636174402</v>
      </c>
      <c r="F36" s="109">
        <v>4.8565852552054602</v>
      </c>
      <c r="G36">
        <v>40</v>
      </c>
    </row>
    <row r="37" spans="1:24" x14ac:dyDescent="0.3">
      <c r="A37" t="s">
        <v>192</v>
      </c>
      <c r="B37" s="109">
        <v>0.203862416091629</v>
      </c>
      <c r="C37" s="109">
        <v>0.16326470726506401</v>
      </c>
      <c r="D37" s="109">
        <v>0.67500000000000004</v>
      </c>
      <c r="E37" s="109">
        <v>2.3383558636174402</v>
      </c>
      <c r="F37" s="109">
        <v>4.8565852552054602</v>
      </c>
      <c r="G37">
        <v>40</v>
      </c>
      <c r="R37" t="s">
        <v>363</v>
      </c>
    </row>
    <row r="38" spans="1:24" x14ac:dyDescent="0.3">
      <c r="A38" t="s">
        <v>185</v>
      </c>
      <c r="B38" s="109">
        <v>0.180846362552154</v>
      </c>
      <c r="C38" s="109">
        <v>0.15146715726316801</v>
      </c>
      <c r="D38" s="109">
        <v>0.69491525423728795</v>
      </c>
      <c r="E38" s="109">
        <v>1.85708016900595</v>
      </c>
      <c r="F38" s="109">
        <v>4.2300159405135496</v>
      </c>
      <c r="G38">
        <v>59</v>
      </c>
      <c r="Q38" s="112" t="s">
        <v>211</v>
      </c>
      <c r="R38" s="112" t="s">
        <v>182</v>
      </c>
      <c r="S38" s="112" t="s">
        <v>164</v>
      </c>
      <c r="T38" s="112" t="s">
        <v>81</v>
      </c>
      <c r="U38" s="112" t="s">
        <v>165</v>
      </c>
      <c r="V38" s="112" t="s">
        <v>166</v>
      </c>
      <c r="W38" s="112" t="s">
        <v>181</v>
      </c>
      <c r="X38" s="112" t="s">
        <v>362</v>
      </c>
    </row>
    <row r="39" spans="1:24" x14ac:dyDescent="0.3">
      <c r="A39" t="s">
        <v>186</v>
      </c>
      <c r="B39" s="109">
        <v>0.180846362552154</v>
      </c>
      <c r="C39" s="109">
        <v>0.15146715726316801</v>
      </c>
      <c r="D39" s="109">
        <v>0.69491525423728795</v>
      </c>
      <c r="E39" s="109">
        <v>1.85708016900595</v>
      </c>
      <c r="F39" s="109">
        <v>4.2300159405135496</v>
      </c>
      <c r="G39">
        <v>59</v>
      </c>
      <c r="Q39" s="114" t="s">
        <v>180</v>
      </c>
      <c r="R39" s="115">
        <v>9.5844329323170052E-3</v>
      </c>
      <c r="S39" s="115">
        <v>6.7479574639079942E-3</v>
      </c>
      <c r="T39" s="115">
        <v>3.2258064516129004E-2</v>
      </c>
      <c r="U39" s="115">
        <v>-5.9213334247680161E-2</v>
      </c>
      <c r="V39" s="115">
        <v>0.30866165293102998</v>
      </c>
      <c r="W39" s="115">
        <v>0</v>
      </c>
      <c r="X39" s="115">
        <v>0.65052773849172008</v>
      </c>
    </row>
    <row r="40" spans="1:24" x14ac:dyDescent="0.3">
      <c r="A40" t="s">
        <v>179</v>
      </c>
      <c r="B40" s="109">
        <v>0.27623223984727502</v>
      </c>
      <c r="C40" s="109">
        <v>0.29183590996083297</v>
      </c>
      <c r="D40" s="109">
        <v>0.75</v>
      </c>
      <c r="E40" s="109">
        <v>1.3973344398774299</v>
      </c>
      <c r="F40" s="109">
        <v>4.1920033196322901</v>
      </c>
      <c r="G40">
        <v>28</v>
      </c>
      <c r="Q40" t="s">
        <v>179</v>
      </c>
      <c r="R40" s="115">
        <v>1.1417601589732984E-2</v>
      </c>
      <c r="S40" s="115">
        <v>1.2377946648455013E-2</v>
      </c>
      <c r="T40" s="115">
        <v>4.3010752688172005E-2</v>
      </c>
      <c r="U40" s="115">
        <v>-5.7912189895189981E-2</v>
      </c>
      <c r="V40" s="115">
        <v>0.7379298440102402</v>
      </c>
      <c r="W40" s="115">
        <v>0</v>
      </c>
      <c r="X40" s="115">
        <v>0.62631948221196021</v>
      </c>
    </row>
    <row r="41" spans="1:24" x14ac:dyDescent="0.3">
      <c r="A41" t="s">
        <v>187</v>
      </c>
      <c r="B41" s="109">
        <v>0.17674254561348901</v>
      </c>
      <c r="C41" s="109">
        <v>0.17154397448176001</v>
      </c>
      <c r="D41" s="109">
        <v>0.71153846153846101</v>
      </c>
      <c r="E41" s="109">
        <v>1.6993868187211001</v>
      </c>
      <c r="F41" s="109">
        <v>4.1918208195120501</v>
      </c>
      <c r="G41">
        <v>52</v>
      </c>
      <c r="Q41" s="114" t="s">
        <v>172</v>
      </c>
      <c r="R41" s="115">
        <v>1.9060243561270007E-2</v>
      </c>
      <c r="S41" s="115">
        <v>1.8848845525669983E-2</v>
      </c>
      <c r="T41" s="115">
        <v>3.1742694975824937E-2</v>
      </c>
      <c r="U41" s="115">
        <v>6.6132678261380029E-2</v>
      </c>
      <c r="V41" s="115">
        <v>0.95494517655941014</v>
      </c>
      <c r="W41" s="115">
        <v>4</v>
      </c>
      <c r="X41" s="115">
        <v>2.0964626005850029E-2</v>
      </c>
    </row>
    <row r="42" spans="1:24" x14ac:dyDescent="0.3">
      <c r="A42" t="s">
        <v>188</v>
      </c>
      <c r="B42" s="109">
        <v>0.17674254561348901</v>
      </c>
      <c r="C42" s="109">
        <v>0.17154397448176001</v>
      </c>
      <c r="D42" s="109">
        <v>0.71153846153846101</v>
      </c>
      <c r="E42" s="109">
        <v>1.6993868187211001</v>
      </c>
      <c r="F42" s="109">
        <v>4.1918208195120501</v>
      </c>
      <c r="G42">
        <v>52</v>
      </c>
      <c r="Q42" t="s">
        <v>171</v>
      </c>
      <c r="R42" s="115">
        <v>1.9060243561270007E-2</v>
      </c>
      <c r="S42" s="115">
        <v>1.8848845525669983E-2</v>
      </c>
      <c r="T42" s="115">
        <v>3.1742694975824937E-2</v>
      </c>
      <c r="U42" s="115">
        <v>6.6132678261380029E-2</v>
      </c>
      <c r="V42" s="115">
        <v>0.95494517655941014</v>
      </c>
      <c r="W42" s="115">
        <v>4</v>
      </c>
      <c r="X42" s="115">
        <v>2.0964626005850029E-2</v>
      </c>
    </row>
    <row r="43" spans="1:24" x14ac:dyDescent="0.3">
      <c r="A43" t="s">
        <v>209</v>
      </c>
      <c r="B43" s="109">
        <v>0.355986008148305</v>
      </c>
      <c r="C43" s="109">
        <v>0.20788254550304899</v>
      </c>
      <c r="D43" s="109">
        <v>0.625</v>
      </c>
      <c r="E43" s="109">
        <v>2.4457054704816898</v>
      </c>
      <c r="F43" s="109">
        <v>4.0761757841361597</v>
      </c>
      <c r="G43">
        <v>8</v>
      </c>
      <c r="Q43" s="114" t="s">
        <v>170</v>
      </c>
      <c r="R43" s="115">
        <v>1.2906538923305011E-2</v>
      </c>
      <c r="S43" s="115">
        <v>1.8385703326255998E-2</v>
      </c>
      <c r="T43" s="115">
        <v>1.6981132075471028E-2</v>
      </c>
      <c r="U43" s="115">
        <v>0.15212904055421017</v>
      </c>
      <c r="V43" s="115">
        <v>0.90373820768762947</v>
      </c>
      <c r="W43" s="115">
        <v>3</v>
      </c>
      <c r="X43" s="115">
        <v>0.47444462152588018</v>
      </c>
    </row>
    <row r="44" spans="1:24" x14ac:dyDescent="0.3">
      <c r="A44" t="s">
        <v>210</v>
      </c>
      <c r="B44" s="109">
        <v>0.355986008148305</v>
      </c>
      <c r="C44" s="109">
        <v>0.20788254550304899</v>
      </c>
      <c r="D44" s="109">
        <v>0.625</v>
      </c>
      <c r="E44" s="109">
        <v>2.4457054704816898</v>
      </c>
      <c r="F44" s="109">
        <v>4.0761757841361597</v>
      </c>
      <c r="G44">
        <v>8</v>
      </c>
      <c r="Q44" t="s">
        <v>169</v>
      </c>
      <c r="R44" s="115">
        <v>1.2906538923305011E-2</v>
      </c>
      <c r="S44" s="115">
        <v>1.8385703326255998E-2</v>
      </c>
      <c r="T44" s="115">
        <v>1.6981132075471028E-2</v>
      </c>
      <c r="U44" s="115">
        <v>0.15212904055421017</v>
      </c>
      <c r="V44" s="115">
        <v>0.90373820768762947</v>
      </c>
      <c r="W44" s="115">
        <v>3</v>
      </c>
      <c r="X44" s="115">
        <v>0.47444462152588018</v>
      </c>
    </row>
    <row r="45" spans="1:24" x14ac:dyDescent="0.3">
      <c r="A45" t="s">
        <v>195</v>
      </c>
      <c r="B45" s="109">
        <v>0.17644341099833499</v>
      </c>
      <c r="C45" s="109">
        <v>7.8097522975054096E-2</v>
      </c>
      <c r="D45" s="109">
        <v>0.71428571428571397</v>
      </c>
      <c r="E45" s="109">
        <v>1.59225986981379</v>
      </c>
      <c r="F45" s="109">
        <v>3.9806496745344901</v>
      </c>
      <c r="G45">
        <v>21</v>
      </c>
      <c r="Q45" s="114" t="s">
        <v>168</v>
      </c>
      <c r="R45" s="115">
        <v>1.2185594897817009E-2</v>
      </c>
      <c r="S45" s="115">
        <v>1.1145917595375004E-2</v>
      </c>
      <c r="T45" s="115">
        <v>7.9268292682919128E-3</v>
      </c>
      <c r="U45" s="115">
        <v>-0.1076224536599204</v>
      </c>
      <c r="V45" s="115">
        <v>0.1244477683332299</v>
      </c>
      <c r="W45" s="115">
        <v>1</v>
      </c>
      <c r="X45" s="115">
        <v>0.79543943758531999</v>
      </c>
    </row>
    <row r="46" spans="1:24" x14ac:dyDescent="0.3">
      <c r="A46" t="s">
        <v>196</v>
      </c>
      <c r="B46" s="109">
        <v>0.17644341099833499</v>
      </c>
      <c r="C46" s="109">
        <v>7.8097522975054096E-2</v>
      </c>
      <c r="D46" s="109">
        <v>0.71428571428571397</v>
      </c>
      <c r="E46" s="109">
        <v>1.59225986981379</v>
      </c>
      <c r="F46" s="109">
        <v>3.9806496745344901</v>
      </c>
      <c r="G46">
        <v>21</v>
      </c>
      <c r="Q46" t="s">
        <v>167</v>
      </c>
      <c r="R46" s="115">
        <v>1.2185594897817009E-2</v>
      </c>
      <c r="S46" s="115">
        <v>1.1145917595375004E-2</v>
      </c>
      <c r="T46" s="115">
        <v>7.9268292682919128E-3</v>
      </c>
      <c r="U46" s="115">
        <v>-0.1076224536599204</v>
      </c>
      <c r="V46" s="115">
        <v>0.1244477683332299</v>
      </c>
      <c r="W46" s="115">
        <v>1</v>
      </c>
      <c r="X46" s="115">
        <v>1.3246876562302701</v>
      </c>
    </row>
    <row r="47" spans="1:24" x14ac:dyDescent="0.3">
      <c r="A47" t="s">
        <v>218</v>
      </c>
      <c r="B47" s="109">
        <v>0.28789774118717798</v>
      </c>
      <c r="C47" s="109">
        <v>0.42979935744485198</v>
      </c>
      <c r="D47" s="109">
        <v>0.55555555555555503</v>
      </c>
      <c r="E47" s="109">
        <v>3.0994835949024502</v>
      </c>
      <c r="F47" s="109">
        <v>3.8743544936280698</v>
      </c>
      <c r="G47">
        <v>9</v>
      </c>
      <c r="Q47" s="114" t="s">
        <v>178</v>
      </c>
      <c r="R47" s="115">
        <v>1.2766483375695997E-2</v>
      </c>
      <c r="S47" s="115">
        <v>5.9886535258959761E-3</v>
      </c>
      <c r="T47" s="115">
        <v>2.1978021978022011E-2</v>
      </c>
      <c r="U47" s="115">
        <v>0.11541915130449976</v>
      </c>
      <c r="V47" s="115">
        <v>1.0349990413782404</v>
      </c>
      <c r="W47" s="115">
        <v>0</v>
      </c>
      <c r="X47" s="115">
        <v>-0.79819506675156005</v>
      </c>
    </row>
    <row r="48" spans="1:24" x14ac:dyDescent="0.3">
      <c r="A48" t="s">
        <v>219</v>
      </c>
      <c r="B48" s="109">
        <v>0.28789774118717798</v>
      </c>
      <c r="C48" s="109">
        <v>0.42979935744485198</v>
      </c>
      <c r="D48" s="109">
        <v>0.55555555555555503</v>
      </c>
      <c r="E48" s="109">
        <v>3.0994835949024502</v>
      </c>
      <c r="F48" s="109">
        <v>3.8743544936280698</v>
      </c>
      <c r="G48">
        <v>9</v>
      </c>
      <c r="Q48" t="s">
        <v>177</v>
      </c>
      <c r="R48" s="115">
        <v>1.2766483375695997E-2</v>
      </c>
      <c r="S48" s="115">
        <v>5.9886535258959761E-3</v>
      </c>
      <c r="T48" s="115">
        <v>2.1978021978022011E-2</v>
      </c>
      <c r="U48" s="115">
        <v>0.11541915130449976</v>
      </c>
      <c r="V48" s="115">
        <v>1.0349990413782404</v>
      </c>
      <c r="W48" s="115">
        <v>0</v>
      </c>
      <c r="X48" s="115">
        <v>-0.79819506675156005</v>
      </c>
    </row>
    <row r="49" spans="1:24" x14ac:dyDescent="0.3">
      <c r="A49" t="s">
        <v>203</v>
      </c>
      <c r="B49" s="109">
        <v>0.26499293855616901</v>
      </c>
      <c r="C49" s="109">
        <v>-5.3154629968879099E-3</v>
      </c>
      <c r="D49" s="109">
        <v>0.47058823529411697</v>
      </c>
      <c r="E49" s="109">
        <v>3.99882918202991</v>
      </c>
      <c r="F49" s="109">
        <v>3.5545148284710302</v>
      </c>
      <c r="G49">
        <v>17</v>
      </c>
      <c r="Q49" s="114" t="s">
        <v>176</v>
      </c>
      <c r="R49" s="115">
        <v>-6.7105782882929954E-3</v>
      </c>
      <c r="S49" s="115">
        <v>-1.7285177349040004E-2</v>
      </c>
      <c r="T49" s="115">
        <v>-8.4311954230660291E-3</v>
      </c>
      <c r="U49" s="115">
        <v>4.4436818461679906E-2</v>
      </c>
      <c r="V49" s="115">
        <v>-7.2333337370039885E-2</v>
      </c>
      <c r="W49" s="115">
        <v>1</v>
      </c>
      <c r="X49" s="115">
        <v>9.799884109696011E-2</v>
      </c>
    </row>
    <row r="50" spans="1:24" x14ac:dyDescent="0.3">
      <c r="A50" t="s">
        <v>204</v>
      </c>
      <c r="B50" s="109">
        <v>0.26499293855616901</v>
      </c>
      <c r="C50" s="109">
        <v>-5.3154629968879099E-3</v>
      </c>
      <c r="D50" s="109">
        <v>0.47058823529411697</v>
      </c>
      <c r="E50" s="109">
        <v>3.99882918202991</v>
      </c>
      <c r="F50" s="109">
        <v>3.5545148284710302</v>
      </c>
      <c r="G50">
        <v>17</v>
      </c>
      <c r="Q50" t="s">
        <v>175</v>
      </c>
      <c r="R50" s="115">
        <v>-6.7105782882929954E-3</v>
      </c>
      <c r="S50" s="115">
        <v>-1.7285177349040004E-2</v>
      </c>
      <c r="T50" s="115">
        <v>-8.4311954230660291E-3</v>
      </c>
      <c r="U50" s="115">
        <v>4.4436818461679906E-2</v>
      </c>
      <c r="V50" s="115">
        <v>-7.2333337370039885E-2</v>
      </c>
      <c r="W50" s="115">
        <v>1</v>
      </c>
      <c r="X50" s="115">
        <v>-0.12391618826353001</v>
      </c>
    </row>
    <row r="51" spans="1:24" x14ac:dyDescent="0.3">
      <c r="A51" t="s">
        <v>189</v>
      </c>
      <c r="B51" s="109">
        <v>0.137883839579795</v>
      </c>
      <c r="C51" s="109">
        <v>7.2406074816939101E-2</v>
      </c>
      <c r="D51" s="109">
        <v>0.625</v>
      </c>
      <c r="E51" s="109">
        <v>1.63060860445709</v>
      </c>
      <c r="F51" s="109">
        <v>2.7176810074284798</v>
      </c>
      <c r="G51">
        <v>40</v>
      </c>
      <c r="Q51" s="114" t="s">
        <v>174</v>
      </c>
      <c r="R51" s="115">
        <v>-3.8530953640399934E-3</v>
      </c>
      <c r="S51" s="115">
        <v>-4.1948557373283013E-2</v>
      </c>
      <c r="T51" s="115">
        <v>-5.5944055944060489E-3</v>
      </c>
      <c r="U51" s="115">
        <v>3.9504858516409946E-2</v>
      </c>
      <c r="V51" s="115">
        <v>-4.6674958662060284E-2</v>
      </c>
      <c r="W51" s="115">
        <v>-1</v>
      </c>
      <c r="X51" s="115">
        <v>-3.2868897976409794E-2</v>
      </c>
    </row>
    <row r="52" spans="1:24" x14ac:dyDescent="0.3">
      <c r="A52" t="s">
        <v>190</v>
      </c>
      <c r="B52" s="109">
        <v>0.137883839579795</v>
      </c>
      <c r="C52" s="109">
        <v>7.2406074816939101E-2</v>
      </c>
      <c r="D52" s="109">
        <v>0.625</v>
      </c>
      <c r="E52" s="109">
        <v>1.63060860445709</v>
      </c>
      <c r="F52" s="109">
        <v>2.7176810074284798</v>
      </c>
      <c r="G52">
        <v>40</v>
      </c>
      <c r="Q52" s="113" t="s">
        <v>173</v>
      </c>
      <c r="R52" s="115">
        <v>-3.8530953640399934E-3</v>
      </c>
      <c r="S52" s="115">
        <v>-4.1948557373283013E-2</v>
      </c>
      <c r="T52" s="115">
        <v>-5.5944055944060489E-3</v>
      </c>
      <c r="U52" s="115">
        <v>3.9504858516409946E-2</v>
      </c>
      <c r="V52" s="115">
        <v>-4.6674958662060284E-2</v>
      </c>
      <c r="W52" s="115">
        <v>-1</v>
      </c>
      <c r="X52" s="115">
        <v>-3.2868897976409794E-2</v>
      </c>
    </row>
    <row r="53" spans="1:24" x14ac:dyDescent="0.3">
      <c r="A53" t="s">
        <v>184</v>
      </c>
      <c r="B53" s="109">
        <v>0.13743254806685301</v>
      </c>
      <c r="C53" s="109">
        <v>0.143911446472889</v>
      </c>
      <c r="D53" s="109">
        <v>0.67213114754098302</v>
      </c>
      <c r="E53" s="109">
        <v>1.2739871725834999</v>
      </c>
      <c r="F53" s="109">
        <v>2.6116737037961801</v>
      </c>
      <c r="G53">
        <v>61</v>
      </c>
    </row>
    <row r="54" spans="1:24" x14ac:dyDescent="0.3">
      <c r="A54" t="s">
        <v>180</v>
      </c>
      <c r="B54" s="109">
        <v>0.14165593463894599</v>
      </c>
      <c r="C54" s="109">
        <v>8.3965581881881399E-2</v>
      </c>
      <c r="D54" s="109">
        <v>0.57142857142857095</v>
      </c>
      <c r="E54" s="109">
        <v>1.71310928220138</v>
      </c>
      <c r="F54" s="109">
        <v>2.28414570960184</v>
      </c>
      <c r="G54">
        <v>28</v>
      </c>
    </row>
    <row r="55" spans="1:24" x14ac:dyDescent="0.3">
      <c r="A55" t="s">
        <v>183</v>
      </c>
      <c r="B55" s="109">
        <v>0.105522684274622</v>
      </c>
      <c r="C55" s="109">
        <v>8.0135424338578301E-2</v>
      </c>
      <c r="D55" s="109">
        <v>0.55737704918032704</v>
      </c>
      <c r="E55" s="109">
        <v>1.6465478919135701</v>
      </c>
      <c r="F55" s="109">
        <v>2.07343067870598</v>
      </c>
      <c r="G55">
        <v>61</v>
      </c>
    </row>
    <row r="56" spans="1:24" x14ac:dyDescent="0.3">
      <c r="A56" t="s">
        <v>213</v>
      </c>
      <c r="B56" s="109">
        <v>0.103514930851523</v>
      </c>
      <c r="C56" s="109">
        <v>-2.7661361135781701E-2</v>
      </c>
      <c r="D56" s="109">
        <v>0.42857142857142799</v>
      </c>
      <c r="E56" s="109">
        <v>2.6050019966799902</v>
      </c>
      <c r="F56" s="109">
        <v>1.9537514975099901</v>
      </c>
      <c r="G56">
        <v>14</v>
      </c>
    </row>
    <row r="57" spans="1:24" x14ac:dyDescent="0.3">
      <c r="A57" t="s">
        <v>212</v>
      </c>
      <c r="B57" s="109">
        <v>8.5742718377023297E-2</v>
      </c>
      <c r="C57" s="109">
        <v>-0.105970849435257</v>
      </c>
      <c r="D57" s="109">
        <v>0.42857142857142799</v>
      </c>
      <c r="E57" s="109">
        <v>2.2384604857572099</v>
      </c>
      <c r="F57" s="109">
        <v>1.6788453643179</v>
      </c>
      <c r="G57">
        <v>14</v>
      </c>
    </row>
  </sheetData>
  <conditionalFormatting sqref="B1:B104857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{4824F314-0A28-4B39-BDFB-7E98F95A99AE}</x14:id>
        </ext>
      </extLst>
    </cfRule>
  </conditionalFormatting>
  <conditionalFormatting sqref="B2:B15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{5047EFCF-BE42-489A-BE97-84BEEE2FD862}</x14:id>
        </ext>
      </extLst>
    </cfRule>
  </conditionalFormatting>
  <conditionalFormatting sqref="B2:B57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{52991E3C-1AF0-449F-911E-89419E17FF9E}</x14:id>
        </ext>
      </extLst>
    </cfRule>
  </conditionalFormatting>
  <conditionalFormatting sqref="B16:B29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{C1DF6075-D503-4642-985B-F61F96CA2CF7}</x14:id>
        </ext>
      </extLst>
    </cfRule>
  </conditionalFormatting>
  <conditionalFormatting sqref="B30:B4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{9EB365CE-CC58-47A2-8414-D5D22931D3A2}</x14:id>
        </ext>
      </extLst>
    </cfRule>
  </conditionalFormatting>
  <conditionalFormatting sqref="B44:B5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{B3E204B9-4301-4C27-AAC9-3ADA4F43C1D1}</x14:id>
        </ext>
      </extLst>
    </cfRule>
  </conditionalFormatting>
  <conditionalFormatting sqref="C1:C1048576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{F52EBE82-642A-4AAE-BF39-4FDE3855B24B}</x14:id>
        </ext>
      </extLst>
    </cfRule>
  </conditionalFormatting>
  <conditionalFormatting sqref="C2:C15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{7E956BBD-54A1-4BB7-8AF3-34D266931CC6}</x14:id>
        </ext>
      </extLst>
    </cfRule>
  </conditionalFormatting>
  <conditionalFormatting sqref="C2:C57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{9FE1227C-25FD-4DAD-B95D-2EC2DD8045C9}</x14:id>
        </ext>
      </extLst>
    </cfRule>
  </conditionalFormatting>
  <conditionalFormatting sqref="C16:C29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{387548F3-3A24-4CA0-A896-A4B9A2330076}</x14:id>
        </ext>
      </extLst>
    </cfRule>
  </conditionalFormatting>
  <conditionalFormatting sqref="C30:C43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{2139AF70-9411-4944-9BDE-55231414E806}</x14:id>
        </ext>
      </extLst>
    </cfRule>
  </conditionalFormatting>
  <conditionalFormatting sqref="C44:C57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{D3ECEA93-2F3F-45C6-A008-BE7AAC7D6B9E}</x14:id>
        </ext>
      </extLst>
    </cfRule>
  </conditionalFormatting>
  <conditionalFormatting sqref="D1:D104857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{43EDFDC4-3582-42DB-AD62-AC9F6F0940A9}</x14:id>
        </ext>
      </extLst>
    </cfRule>
  </conditionalFormatting>
  <conditionalFormatting sqref="D2:D15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{4CCC14CF-8DDC-4B88-972A-B2D7AADF9AA9}</x14:id>
        </ext>
      </extLst>
    </cfRule>
  </conditionalFormatting>
  <conditionalFormatting sqref="D2:D57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{E1F8E189-5351-4C20-B169-1CCC6A22F871}</x14:id>
        </ext>
      </extLst>
    </cfRule>
  </conditionalFormatting>
  <conditionalFormatting sqref="D16:D29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{001D1234-FAC8-4423-9671-E02544338637}</x14:id>
        </ext>
      </extLst>
    </cfRule>
  </conditionalFormatting>
  <conditionalFormatting sqref="D30:D43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{D75F3071-8359-4945-BAF0-7437394CE956}</x14:id>
        </ext>
      </extLst>
    </cfRule>
  </conditionalFormatting>
  <conditionalFormatting sqref="D44:D57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{67D49309-E9AE-45AB-9CD9-6253CA2B0E15}</x14:id>
        </ext>
      </extLst>
    </cfRule>
  </conditionalFormatting>
  <conditionalFormatting sqref="E1:E104857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{963068E2-9410-4DD7-A0EC-11A77D9EFA27}</x14:id>
        </ext>
      </extLst>
    </cfRule>
  </conditionalFormatting>
  <conditionalFormatting sqref="E2:E15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{4844153C-0A08-476F-9EA9-0E9BD455B507}</x14:id>
        </ext>
      </extLst>
    </cfRule>
  </conditionalFormatting>
  <conditionalFormatting sqref="E2:E5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{341097CD-89DC-45D1-99DC-658ADC34D439}</x14:id>
        </ext>
      </extLst>
    </cfRule>
  </conditionalFormatting>
  <conditionalFormatting sqref="E16:E29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{AAA2B201-A0C4-4220-8C7B-96C6818F8C16}</x14:id>
        </ext>
      </extLst>
    </cfRule>
  </conditionalFormatting>
  <conditionalFormatting sqref="E30:E43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{AE8E3013-FF20-4FAA-AF02-6216254B5BDB}</x14:id>
        </ext>
      </extLst>
    </cfRule>
  </conditionalFormatting>
  <conditionalFormatting sqref="E44:E57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{CA15D031-2C5B-46ED-964D-F64F57B67430}</x14:id>
        </ext>
      </extLst>
    </cfRule>
  </conditionalFormatting>
  <conditionalFormatting sqref="F1:F1048576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{CBBE19C1-64F4-464C-A473-36D78891265F}</x14:id>
        </ext>
      </extLst>
    </cfRule>
  </conditionalFormatting>
  <conditionalFormatting sqref="F2:F15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{A41FC347-156C-44CC-AEA8-A9F8FA892B46}</x14:id>
        </ext>
      </extLst>
    </cfRule>
  </conditionalFormatting>
  <conditionalFormatting sqref="F2:F5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{51FEAC1D-5EFA-4DBB-9460-F8F02E81CF3C}</x14:id>
        </ext>
      </extLst>
    </cfRule>
  </conditionalFormatting>
  <conditionalFormatting sqref="F16:F29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{390EA00A-2EA8-43B5-B52E-ABF53688A9A7}</x14:id>
        </ext>
      </extLst>
    </cfRule>
  </conditionalFormatting>
  <conditionalFormatting sqref="F30:F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{8BE82503-1187-41D2-99F0-3A486C130EEA}</x14:id>
        </ext>
      </extLst>
    </cfRule>
  </conditionalFormatting>
  <conditionalFormatting sqref="F44:F5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{24FDFA8A-24DB-4496-9925-6B420F76D475}</x14:id>
        </ext>
      </extLst>
    </cfRule>
  </conditionalFormatting>
  <conditionalFormatting sqref="G1:G104857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{E55DCEE1-88C2-4C58-AC82-00A1B854393E}</x14:id>
        </ext>
      </extLst>
    </cfRule>
  </conditionalFormatting>
  <conditionalFormatting sqref="G2:G57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{4F9C44FA-7403-4690-BC8B-D4E75757E3C5}</x14:id>
        </ext>
      </extLst>
    </cfRule>
  </conditionalFormatting>
  <conditionalFormatting sqref="G16:G29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{6D519705-9F0C-450F-B637-394F70D8A7ED}</x14:id>
        </ext>
      </extLst>
    </cfRule>
  </conditionalFormatting>
  <conditionalFormatting sqref="J2:J15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{58BEA1BE-BF18-45E2-9584-7FFE6EA44CC5}</x14:id>
        </ext>
      </extLst>
    </cfRule>
  </conditionalFormatting>
  <conditionalFormatting sqref="K2:K15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{648A3063-AA98-467D-92F6-880DFBFF738E}</x14:id>
        </ext>
      </extLst>
    </cfRule>
  </conditionalFormatting>
  <conditionalFormatting sqref="L2:L15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{16AC963F-A950-47A2-BC72-E4FE393D58D2}</x14:id>
        </ext>
      </extLst>
    </cfRule>
  </conditionalFormatting>
  <conditionalFormatting sqref="M2:M15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{66CFEEBD-24F1-4E1A-8D3B-E6BADEB9D1F3}</x14:id>
        </ext>
      </extLst>
    </cfRule>
  </conditionalFormatting>
  <conditionalFormatting sqref="N2:N15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{A21E50C8-37A5-4978-91F9-7B7F859FA5AA}</x14:id>
        </ext>
      </extLst>
    </cfRule>
  </conditionalFormatting>
  <conditionalFormatting sqref="O2:O15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{2E29772B-B6E0-4624-9EEA-27AF4259FB82}</x14:id>
        </ext>
      </extLst>
    </cfRule>
  </conditionalFormatting>
  <conditionalFormatting sqref="R4:R1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{F6B3CF7E-1CD3-4E7D-AD60-D1C4A145D1E6}</x14:id>
        </ext>
      </extLst>
    </cfRule>
  </conditionalFormatting>
  <conditionalFormatting sqref="R22:R3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{3D8769F3-27EA-43C1-BA84-67CE0B02C781}</x14:id>
        </ext>
      </extLst>
    </cfRule>
  </conditionalFormatting>
  <conditionalFormatting sqref="S4:S1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{AB0F6017-DE6A-4A57-9A3F-935F48820030}</x14:id>
        </ext>
      </extLst>
    </cfRule>
  </conditionalFormatting>
  <conditionalFormatting sqref="S22:S3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{4AC1E88F-C0CF-4C01-892E-5380052B85D7}</x14:id>
        </ext>
      </extLst>
    </cfRule>
  </conditionalFormatting>
  <conditionalFormatting sqref="T4:T1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{AB6901CE-B5DE-4AED-9A54-B94DE64E5931}</x14:id>
        </ext>
      </extLst>
    </cfRule>
  </conditionalFormatting>
  <conditionalFormatting sqref="T22:T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{E089FADB-C8C7-44ED-B300-411CAB020233}</x14:id>
        </ext>
      </extLst>
    </cfRule>
  </conditionalFormatting>
  <conditionalFormatting sqref="U4:U1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{3D8D265D-AF8D-4FA1-A4B6-43044A580213}</x14:id>
        </ext>
      </extLst>
    </cfRule>
  </conditionalFormatting>
  <conditionalFormatting sqref="U22:U3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{E888F444-A4C8-41BA-B24D-A6A339180D67}</x14:id>
        </ext>
      </extLst>
    </cfRule>
  </conditionalFormatting>
  <conditionalFormatting sqref="V4:V1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{377FF5AB-64BC-4F9B-AD83-8A90F75A299A}</x14:id>
        </ext>
      </extLst>
    </cfRule>
  </conditionalFormatting>
  <conditionalFormatting sqref="V22:V3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{CD7F15B0-4140-4348-BCBA-F6FF4ECAAF07}</x14:id>
        </ext>
      </extLst>
    </cfRule>
  </conditionalFormatting>
  <conditionalFormatting sqref="X4:X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{1A1EFF54-0690-4A40-B50D-B712E32ABC67}</x14:id>
        </ext>
      </extLst>
    </cfRule>
  </conditionalFormatting>
  <conditionalFormatting sqref="X22:X3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{8E13D2B9-8B5D-449D-A757-5D621F15B885}</x14:id>
        </ext>
      </extLst>
    </cfRule>
  </conditionalFormatting>
  <conditionalFormatting sqref="AA2:AA15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{DE799752-5F11-4820-9B21-3B7CE6C408AB}</x14:id>
        </ext>
      </extLst>
    </cfRule>
  </conditionalFormatting>
  <conditionalFormatting sqref="AB2:AB15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{A1253147-A10E-4AFD-9561-3D2C12A627DB}</x14:id>
        </ext>
      </extLst>
    </cfRule>
  </conditionalFormatting>
  <conditionalFormatting sqref="AC2:AC15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{6B6BF508-9DB5-4965-A875-03E28E2B37C6}</x14:id>
        </ext>
      </extLst>
    </cfRule>
  </conditionalFormatting>
  <conditionalFormatting sqref="AD2:AD15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{B379E835-3F85-4A04-8C45-E4D247130CA4}</x14:id>
        </ext>
      </extLst>
    </cfRule>
  </conditionalFormatting>
  <conditionalFormatting sqref="AE2:AE15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{02771DFE-ABE2-483A-8C69-0469907E1A1E}</x14:id>
        </ext>
      </extLst>
    </cfRule>
  </conditionalFormatting>
  <conditionalFormatting sqref="AG2:AG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{8D6FA0DE-4BA5-420A-9517-65EE48757024}</x14:id>
        </ext>
      </extLst>
    </cfRule>
  </conditionalFormatting>
  <conditionalFormatting sqref="AK2:AK15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{B6D24349-D3DC-45D7-9C61-E16CCA5BB129}</x14:id>
        </ext>
      </extLst>
    </cfRule>
  </conditionalFormatting>
  <conditionalFormatting sqref="AL2:AL1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{6DC67001-6D93-483C-8E30-8AE80CBE5120}</x14:id>
        </ext>
      </extLst>
    </cfRule>
  </conditionalFormatting>
  <conditionalFormatting sqref="AM2:AM1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{47785947-F58B-4790-9B7B-B57ACF8A057F}</x14:id>
        </ext>
      </extLst>
    </cfRule>
  </conditionalFormatting>
  <conditionalFormatting sqref="AN2:AN1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{01524FB3-562E-49A9-B3A9-875E5BB3462F}</x14:id>
        </ext>
      </extLst>
    </cfRule>
  </conditionalFormatting>
  <conditionalFormatting sqref="AO2:AO1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{FBB1B95E-8F5D-462A-9626-D620AC52EE6C}</x14:id>
        </ext>
      </extLst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24F314-0A28-4B39-BDFB-7E98F95A99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  <x14:conditionalFormatting xmlns:xm="http://schemas.microsoft.com/office/excel/2006/main">
          <x14:cfRule type="dataBar" id="{5047EFCF-BE42-489A-BE97-84BEEE2FD8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B2:B15</xm:sqref>
        </x14:conditionalFormatting>
        <x14:conditionalFormatting xmlns:xm="http://schemas.microsoft.com/office/excel/2006/main">
          <x14:cfRule type="dataBar" id="{52991E3C-1AF0-449F-911E-89419E17FF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B2:B57</xm:sqref>
        </x14:conditionalFormatting>
        <x14:conditionalFormatting xmlns:xm="http://schemas.microsoft.com/office/excel/2006/main">
          <x14:cfRule type="dataBar" id="{C1DF6075-D503-4642-985B-F61F96CA2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B16:B29</xm:sqref>
        </x14:conditionalFormatting>
        <x14:conditionalFormatting xmlns:xm="http://schemas.microsoft.com/office/excel/2006/main">
          <x14:cfRule type="dataBar" id="{9EB365CE-CC58-47A2-8414-D5D22931D3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B30:B43</xm:sqref>
        </x14:conditionalFormatting>
        <x14:conditionalFormatting xmlns:xm="http://schemas.microsoft.com/office/excel/2006/main">
          <x14:cfRule type="dataBar" id="{B3E204B9-4301-4C27-AAC9-3ADA4F43C1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B44:B57</xm:sqref>
        </x14:conditionalFormatting>
        <x14:conditionalFormatting xmlns:xm="http://schemas.microsoft.com/office/excel/2006/main">
          <x14:cfRule type="dataBar" id="{F52EBE82-642A-4AAE-BF39-4FDE3855B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dataBar" id="{7E956BBD-54A1-4BB7-8AF3-34D266931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C2:C15</xm:sqref>
        </x14:conditionalFormatting>
        <x14:conditionalFormatting xmlns:xm="http://schemas.microsoft.com/office/excel/2006/main">
          <x14:cfRule type="dataBar" id="{9FE1227C-25FD-4DAD-B95D-2EC2DD8045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C2:C57</xm:sqref>
        </x14:conditionalFormatting>
        <x14:conditionalFormatting xmlns:xm="http://schemas.microsoft.com/office/excel/2006/main">
          <x14:cfRule type="dataBar" id="{387548F3-3A24-4CA0-A896-A4B9A23300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C16:C29</xm:sqref>
        </x14:conditionalFormatting>
        <x14:conditionalFormatting xmlns:xm="http://schemas.microsoft.com/office/excel/2006/main">
          <x14:cfRule type="dataBar" id="{2139AF70-9411-4944-9BDE-55231414E8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C30:C43</xm:sqref>
        </x14:conditionalFormatting>
        <x14:conditionalFormatting xmlns:xm="http://schemas.microsoft.com/office/excel/2006/main">
          <x14:cfRule type="dataBar" id="{D3ECEA93-2F3F-45C6-A008-BE7AAC7D6B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C44:C57</xm:sqref>
        </x14:conditionalFormatting>
        <x14:conditionalFormatting xmlns:xm="http://schemas.microsoft.com/office/excel/2006/main">
          <x14:cfRule type="dataBar" id="{43EDFDC4-3582-42DB-AD62-AC9F6F0940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4CCC14CF-8DDC-4B88-972A-B2D7AADF9A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D2:D15</xm:sqref>
        </x14:conditionalFormatting>
        <x14:conditionalFormatting xmlns:xm="http://schemas.microsoft.com/office/excel/2006/main">
          <x14:cfRule type="dataBar" id="{E1F8E189-5351-4C20-B169-1CCC6A22F8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D2:D57</xm:sqref>
        </x14:conditionalFormatting>
        <x14:conditionalFormatting xmlns:xm="http://schemas.microsoft.com/office/excel/2006/main">
          <x14:cfRule type="dataBar" id="{001D1234-FAC8-4423-9671-E025443386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D16:D29</xm:sqref>
        </x14:conditionalFormatting>
        <x14:conditionalFormatting xmlns:xm="http://schemas.microsoft.com/office/excel/2006/main">
          <x14:cfRule type="dataBar" id="{D75F3071-8359-4945-BAF0-7437394CE9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D30:D43</xm:sqref>
        </x14:conditionalFormatting>
        <x14:conditionalFormatting xmlns:xm="http://schemas.microsoft.com/office/excel/2006/main">
          <x14:cfRule type="dataBar" id="{67D49309-E9AE-45AB-9CD9-6253CA2B0E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D44:D57</xm:sqref>
        </x14:conditionalFormatting>
        <x14:conditionalFormatting xmlns:xm="http://schemas.microsoft.com/office/excel/2006/main">
          <x14:cfRule type="dataBar" id="{963068E2-9410-4DD7-A0EC-11A77D9EFA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4844153C-0A08-476F-9EA9-0E9BD455B5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E2:E15</xm:sqref>
        </x14:conditionalFormatting>
        <x14:conditionalFormatting xmlns:xm="http://schemas.microsoft.com/office/excel/2006/main">
          <x14:cfRule type="dataBar" id="{341097CD-89DC-45D1-99DC-658ADC34D4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E2:E57</xm:sqref>
        </x14:conditionalFormatting>
        <x14:conditionalFormatting xmlns:xm="http://schemas.microsoft.com/office/excel/2006/main">
          <x14:cfRule type="dataBar" id="{AAA2B201-A0C4-4220-8C7B-96C6818F8C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E16:E29</xm:sqref>
        </x14:conditionalFormatting>
        <x14:conditionalFormatting xmlns:xm="http://schemas.microsoft.com/office/excel/2006/main">
          <x14:cfRule type="dataBar" id="{AE8E3013-FF20-4FAA-AF02-6216254B5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E30:E43</xm:sqref>
        </x14:conditionalFormatting>
        <x14:conditionalFormatting xmlns:xm="http://schemas.microsoft.com/office/excel/2006/main">
          <x14:cfRule type="dataBar" id="{CA15D031-2C5B-46ED-964D-F64F57B674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E44:E57</xm:sqref>
        </x14:conditionalFormatting>
        <x14:conditionalFormatting xmlns:xm="http://schemas.microsoft.com/office/excel/2006/main">
          <x14:cfRule type="dataBar" id="{CBBE19C1-64F4-464C-A473-36D7889126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A41FC347-156C-44CC-AEA8-A9F8FA892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F2:F15</xm:sqref>
        </x14:conditionalFormatting>
        <x14:conditionalFormatting xmlns:xm="http://schemas.microsoft.com/office/excel/2006/main">
          <x14:cfRule type="dataBar" id="{51FEAC1D-5EFA-4DBB-9460-F8F02E81C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F2:F57</xm:sqref>
        </x14:conditionalFormatting>
        <x14:conditionalFormatting xmlns:xm="http://schemas.microsoft.com/office/excel/2006/main">
          <x14:cfRule type="dataBar" id="{390EA00A-2EA8-43B5-B52E-ABF53688A9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F16:F29</xm:sqref>
        </x14:conditionalFormatting>
        <x14:conditionalFormatting xmlns:xm="http://schemas.microsoft.com/office/excel/2006/main">
          <x14:cfRule type="dataBar" id="{8BE82503-1187-41D2-99F0-3A486C130E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F30:F43</xm:sqref>
        </x14:conditionalFormatting>
        <x14:conditionalFormatting xmlns:xm="http://schemas.microsoft.com/office/excel/2006/main">
          <x14:cfRule type="dataBar" id="{24FDFA8A-24DB-4496-9925-6B420F76D4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F44:F57</xm:sqref>
        </x14:conditionalFormatting>
        <x14:conditionalFormatting xmlns:xm="http://schemas.microsoft.com/office/excel/2006/main">
          <x14:cfRule type="dataBar" id="{E55DCEE1-88C2-4C58-AC82-00A1B85439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4F9C44FA-7403-4690-BC8B-D4E75757E3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G2:G57</xm:sqref>
        </x14:conditionalFormatting>
        <x14:conditionalFormatting xmlns:xm="http://schemas.microsoft.com/office/excel/2006/main">
          <x14:cfRule type="dataBar" id="{6D519705-9F0C-450F-B637-394F70D8A7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G16:G29</xm:sqref>
        </x14:conditionalFormatting>
        <x14:conditionalFormatting xmlns:xm="http://schemas.microsoft.com/office/excel/2006/main">
          <x14:cfRule type="dataBar" id="{58BEA1BE-BF18-45E2-9584-7FFE6EA44C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J2:J15</xm:sqref>
        </x14:conditionalFormatting>
        <x14:conditionalFormatting xmlns:xm="http://schemas.microsoft.com/office/excel/2006/main">
          <x14:cfRule type="dataBar" id="{648A3063-AA98-467D-92F6-880DFBFF7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K2:K15</xm:sqref>
        </x14:conditionalFormatting>
        <x14:conditionalFormatting xmlns:xm="http://schemas.microsoft.com/office/excel/2006/main">
          <x14:cfRule type="dataBar" id="{16AC963F-A950-47A2-BC72-E4FE393D5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L2:L15</xm:sqref>
        </x14:conditionalFormatting>
        <x14:conditionalFormatting xmlns:xm="http://schemas.microsoft.com/office/excel/2006/main">
          <x14:cfRule type="dataBar" id="{66CFEEBD-24F1-4E1A-8D3B-E6BADEB9D1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M2:M15</xm:sqref>
        </x14:conditionalFormatting>
        <x14:conditionalFormatting xmlns:xm="http://schemas.microsoft.com/office/excel/2006/main">
          <x14:cfRule type="dataBar" id="{A21E50C8-37A5-4978-91F9-7B7F859FA5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N2:N15</xm:sqref>
        </x14:conditionalFormatting>
        <x14:conditionalFormatting xmlns:xm="http://schemas.microsoft.com/office/excel/2006/main">
          <x14:cfRule type="dataBar" id="{2E29772B-B6E0-4624-9EEA-27AF4259FB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O2:O15</xm:sqref>
        </x14:conditionalFormatting>
        <x14:conditionalFormatting xmlns:xm="http://schemas.microsoft.com/office/excel/2006/main">
          <x14:cfRule type="dataBar" id="{F6B3CF7E-1CD3-4E7D-AD60-D1C4A145D1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R4:R17</xm:sqref>
        </x14:conditionalFormatting>
        <x14:conditionalFormatting xmlns:xm="http://schemas.microsoft.com/office/excel/2006/main">
          <x14:cfRule type="dataBar" id="{3D8769F3-27EA-43C1-BA84-67CE0B02C7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R22:R35</xm:sqref>
        </x14:conditionalFormatting>
        <x14:conditionalFormatting xmlns:xm="http://schemas.microsoft.com/office/excel/2006/main">
          <x14:cfRule type="dataBar" id="{AB0F6017-DE6A-4A57-9A3F-935F488200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S4:S17</xm:sqref>
        </x14:conditionalFormatting>
        <x14:conditionalFormatting xmlns:xm="http://schemas.microsoft.com/office/excel/2006/main">
          <x14:cfRule type="dataBar" id="{4AC1E88F-C0CF-4C01-892E-5380052B85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S22:S35</xm:sqref>
        </x14:conditionalFormatting>
        <x14:conditionalFormatting xmlns:xm="http://schemas.microsoft.com/office/excel/2006/main">
          <x14:cfRule type="dataBar" id="{AB6901CE-B5DE-4AED-9A54-B94DE64E59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T4:T17</xm:sqref>
        </x14:conditionalFormatting>
        <x14:conditionalFormatting xmlns:xm="http://schemas.microsoft.com/office/excel/2006/main">
          <x14:cfRule type="dataBar" id="{E089FADB-C8C7-44ED-B300-411CAB0202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T22:T35</xm:sqref>
        </x14:conditionalFormatting>
        <x14:conditionalFormatting xmlns:xm="http://schemas.microsoft.com/office/excel/2006/main">
          <x14:cfRule type="dataBar" id="{3D8D265D-AF8D-4FA1-A4B6-43044A580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U4:U17</xm:sqref>
        </x14:conditionalFormatting>
        <x14:conditionalFormatting xmlns:xm="http://schemas.microsoft.com/office/excel/2006/main">
          <x14:cfRule type="dataBar" id="{E888F444-A4C8-41BA-B24D-A6A339180D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U22:U35</xm:sqref>
        </x14:conditionalFormatting>
        <x14:conditionalFormatting xmlns:xm="http://schemas.microsoft.com/office/excel/2006/main">
          <x14:cfRule type="dataBar" id="{377FF5AB-64BC-4F9B-AD83-8A90F75A29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V4:V17</xm:sqref>
        </x14:conditionalFormatting>
        <x14:conditionalFormatting xmlns:xm="http://schemas.microsoft.com/office/excel/2006/main">
          <x14:cfRule type="dataBar" id="{CD7F15B0-4140-4348-BCBA-F6FF4ECAAF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V22:V35</xm:sqref>
        </x14:conditionalFormatting>
        <x14:conditionalFormatting xmlns:xm="http://schemas.microsoft.com/office/excel/2006/main">
          <x14:cfRule type="dataBar" id="{1A1EFF54-0690-4A40-B50D-B712E32ABC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X4:X17</xm:sqref>
        </x14:conditionalFormatting>
        <x14:conditionalFormatting xmlns:xm="http://schemas.microsoft.com/office/excel/2006/main">
          <x14:cfRule type="dataBar" id="{8E13D2B9-8B5D-449D-A757-5D621F15B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X22:X35</xm:sqref>
        </x14:conditionalFormatting>
        <x14:conditionalFormatting xmlns:xm="http://schemas.microsoft.com/office/excel/2006/main">
          <x14:cfRule type="dataBar" id="{DE799752-5F11-4820-9B21-3B7CE6C408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AA2:AA15</xm:sqref>
        </x14:conditionalFormatting>
        <x14:conditionalFormatting xmlns:xm="http://schemas.microsoft.com/office/excel/2006/main">
          <x14:cfRule type="dataBar" id="{A1253147-A10E-4AFD-9561-3D2C12A62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AB2:AB15</xm:sqref>
        </x14:conditionalFormatting>
        <x14:conditionalFormatting xmlns:xm="http://schemas.microsoft.com/office/excel/2006/main">
          <x14:cfRule type="dataBar" id="{6B6BF508-9DB5-4965-A875-03E28E2B37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AC2:AC15</xm:sqref>
        </x14:conditionalFormatting>
        <x14:conditionalFormatting xmlns:xm="http://schemas.microsoft.com/office/excel/2006/main">
          <x14:cfRule type="dataBar" id="{B379E835-3F85-4A04-8C45-E4D247130C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AD2:AD15</xm:sqref>
        </x14:conditionalFormatting>
        <x14:conditionalFormatting xmlns:xm="http://schemas.microsoft.com/office/excel/2006/main">
          <x14:cfRule type="dataBar" id="{02771DFE-ABE2-483A-8C69-0469907E1A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AE2:AE15</xm:sqref>
        </x14:conditionalFormatting>
        <x14:conditionalFormatting xmlns:xm="http://schemas.microsoft.com/office/excel/2006/main">
          <x14:cfRule type="dataBar" id="{8D6FA0DE-4BA5-420A-9517-65EE487570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AG2:AG15</xm:sqref>
        </x14:conditionalFormatting>
        <x14:conditionalFormatting xmlns:xm="http://schemas.microsoft.com/office/excel/2006/main">
          <x14:cfRule type="dataBar" id="{B6D24349-D3DC-45D7-9C61-E16CCA5BB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AK2:AK15</xm:sqref>
        </x14:conditionalFormatting>
        <x14:conditionalFormatting xmlns:xm="http://schemas.microsoft.com/office/excel/2006/main">
          <x14:cfRule type="dataBar" id="{6DC67001-6D93-483C-8E30-8AE80CBE51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AL2:AL15</xm:sqref>
        </x14:conditionalFormatting>
        <x14:conditionalFormatting xmlns:xm="http://schemas.microsoft.com/office/excel/2006/main">
          <x14:cfRule type="dataBar" id="{47785947-F58B-4790-9B7B-B57ACF8A0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AM2:AM15</xm:sqref>
        </x14:conditionalFormatting>
        <x14:conditionalFormatting xmlns:xm="http://schemas.microsoft.com/office/excel/2006/main">
          <x14:cfRule type="dataBar" id="{01524FB3-562E-49A9-B3A9-875E5BB346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AN2:AN15</xm:sqref>
        </x14:conditionalFormatting>
        <x14:conditionalFormatting xmlns:xm="http://schemas.microsoft.com/office/excel/2006/main">
          <x14:cfRule type="dataBar" id="{FBB1B95E-8F5D-462A-9626-D620AC52EE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AO2:AO15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8ADC-36D7-40A9-9E1D-B03C0E802D53}">
  <dimension ref="A1:AZ18"/>
  <sheetViews>
    <sheetView zoomScale="85" zoomScaleNormal="85" workbookViewId="0">
      <pane xSplit="4" ySplit="4" topLeftCell="E5" activePane="bottomRight" state="frozen"/>
      <selection pane="topRight" activeCell="D1" sqref="D1"/>
      <selection pane="bottomLeft" activeCell="A2" sqref="A2"/>
      <selection pane="bottomRight" activeCell="C17" sqref="C17"/>
    </sheetView>
  </sheetViews>
  <sheetFormatPr defaultRowHeight="14.4" outlineLevelCol="1" x14ac:dyDescent="0.3"/>
  <cols>
    <col min="2" max="3" width="11" style="25" customWidth="1"/>
    <col min="4" max="4" width="11" style="24" bestFit="1" customWidth="1"/>
    <col min="5" max="6" width="9.88671875" style="2" hidden="1" customWidth="1" outlineLevel="1"/>
    <col min="7" max="7" width="9.88671875" style="15" hidden="1" customWidth="1" outlineLevel="1"/>
    <col min="8" max="8" width="9.88671875" style="16" hidden="1" customWidth="1" outlineLevel="1"/>
    <col min="9" max="9" width="6.88671875" style="17" hidden="1" customWidth="1" outlineLevel="1"/>
    <col min="10" max="10" width="12.33203125" style="18" hidden="1" customWidth="1" outlineLevel="1"/>
    <col min="11" max="11" width="6.6640625" style="19" hidden="1" customWidth="1" outlineLevel="1"/>
    <col min="12" max="12" width="12.109375" style="18" hidden="1" customWidth="1" outlineLevel="1"/>
    <col min="13" max="13" width="10.109375" style="26" hidden="1" customWidth="1" outlineLevel="1"/>
    <col min="14" max="14" width="10.109375" style="28" hidden="1" customWidth="1" outlineLevel="1"/>
    <col min="15" max="15" width="10.109375" style="87" hidden="1" customWidth="1" outlineLevel="1"/>
    <col min="16" max="18" width="10.109375" style="28" hidden="1" customWidth="1" outlineLevel="1"/>
    <col min="19" max="19" width="6.5546875" style="98" bestFit="1" customWidth="1" collapsed="1"/>
    <col min="20" max="20" width="5.5546875" style="6" bestFit="1" customWidth="1"/>
    <col min="21" max="21" width="6.5546875" style="41" bestFit="1" customWidth="1"/>
    <col min="22" max="22" width="5.5546875" style="94" bestFit="1" customWidth="1"/>
    <col min="23" max="23" width="9.44140625" style="64" bestFit="1" customWidth="1"/>
    <col min="24" max="24" width="6.5546875" style="41" bestFit="1" customWidth="1"/>
    <col min="25" max="25" width="5.5546875" style="6" bestFit="1" customWidth="1"/>
    <col min="26" max="26" width="6.5546875" style="41" bestFit="1" customWidth="1"/>
    <col min="27" max="27" width="5.5546875" style="84" bestFit="1" customWidth="1"/>
    <col min="28" max="28" width="9.44140625" style="63" bestFit="1" customWidth="1"/>
    <col min="29" max="29" width="6.5546875" style="41" bestFit="1" customWidth="1"/>
    <col min="30" max="30" width="5.5546875" style="6" bestFit="1" customWidth="1"/>
    <col min="31" max="31" width="6.5546875" style="41" bestFit="1" customWidth="1"/>
    <col min="32" max="32" width="5.5546875" style="84" bestFit="1" customWidth="1"/>
    <col min="33" max="33" width="9.44140625" style="63" bestFit="1" customWidth="1"/>
    <col min="34" max="34" width="6.5546875" style="41" bestFit="1" customWidth="1"/>
    <col min="35" max="35" width="5.5546875" style="6" bestFit="1" customWidth="1"/>
    <col min="36" max="36" width="6.5546875" style="41" bestFit="1" customWidth="1"/>
    <col min="37" max="37" width="5.5546875" style="84" bestFit="1" customWidth="1"/>
    <col min="38" max="38" width="9.44140625" style="95" bestFit="1" customWidth="1"/>
    <col min="39" max="39" width="6.5546875" style="41" bestFit="1" customWidth="1"/>
    <col min="40" max="40" width="5.5546875" style="6" bestFit="1" customWidth="1"/>
    <col min="41" max="41" width="6.5546875" style="41" bestFit="1" customWidth="1"/>
    <col min="42" max="42" width="5.5546875" style="84" bestFit="1" customWidth="1"/>
    <col min="43" max="43" width="9.44140625" style="63" bestFit="1" customWidth="1"/>
    <col min="44" max="44" width="6.5546875" style="41" bestFit="1" customWidth="1"/>
    <col min="45" max="45" width="5.5546875" style="6" bestFit="1" customWidth="1"/>
    <col min="46" max="46" width="6.5546875" style="41" bestFit="1" customWidth="1"/>
    <col min="47" max="47" width="5.5546875" style="89" bestFit="1" customWidth="1"/>
    <col min="48" max="48" width="9.44140625" style="64" bestFit="1" customWidth="1"/>
    <col min="49" max="49" width="6.5546875" style="41" bestFit="1" customWidth="1"/>
    <col min="50" max="50" width="5.5546875" style="6" bestFit="1" customWidth="1"/>
    <col min="51" max="51" width="6.5546875" style="41" bestFit="1" customWidth="1"/>
    <col min="52" max="52" width="5.5546875" style="94" bestFit="1" customWidth="1"/>
  </cols>
  <sheetData>
    <row r="1" spans="1:52" ht="15" thickBot="1" x14ac:dyDescent="0.35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6"/>
      <c r="Q1" s="135"/>
      <c r="R1" s="135"/>
      <c r="S1" s="137" t="s">
        <v>65</v>
      </c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8"/>
    </row>
    <row r="2" spans="1:52" s="34" customFormat="1" ht="30.6" customHeight="1" x14ac:dyDescent="0.3">
      <c r="B2" s="139" t="s">
        <v>37</v>
      </c>
      <c r="C2" s="139"/>
      <c r="D2" s="139"/>
      <c r="E2" s="140" t="s">
        <v>30</v>
      </c>
      <c r="F2" s="140"/>
      <c r="G2" s="141" t="s">
        <v>31</v>
      </c>
      <c r="H2" s="142"/>
      <c r="I2" s="141" t="s">
        <v>59</v>
      </c>
      <c r="J2" s="143"/>
      <c r="K2" s="142"/>
      <c r="L2" s="143"/>
      <c r="M2" s="144" t="s">
        <v>100</v>
      </c>
      <c r="N2" s="145"/>
      <c r="O2" s="146"/>
      <c r="P2" s="145" t="s">
        <v>101</v>
      </c>
      <c r="Q2" s="145"/>
      <c r="R2" s="146"/>
      <c r="S2" s="147" t="s">
        <v>98</v>
      </c>
      <c r="T2" s="148"/>
      <c r="U2" s="148"/>
      <c r="V2" s="149"/>
      <c r="W2" s="150" t="s">
        <v>102</v>
      </c>
      <c r="X2" s="151"/>
      <c r="Y2" s="151"/>
      <c r="Z2" s="151"/>
      <c r="AA2" s="152"/>
      <c r="AB2" s="120" t="s">
        <v>103</v>
      </c>
      <c r="AC2" s="121"/>
      <c r="AD2" s="121"/>
      <c r="AE2" s="121"/>
      <c r="AF2" s="122"/>
      <c r="AG2" s="123" t="s">
        <v>104</v>
      </c>
      <c r="AH2" s="124"/>
      <c r="AI2" s="124"/>
      <c r="AJ2" s="124"/>
      <c r="AK2" s="125"/>
      <c r="AL2" s="126" t="s">
        <v>107</v>
      </c>
      <c r="AM2" s="127"/>
      <c r="AN2" s="127"/>
      <c r="AO2" s="127"/>
      <c r="AP2" s="128"/>
      <c r="AQ2" s="129" t="s">
        <v>108</v>
      </c>
      <c r="AR2" s="130"/>
      <c r="AS2" s="130"/>
      <c r="AT2" s="130"/>
      <c r="AU2" s="131"/>
      <c r="AV2" s="132" t="s">
        <v>109</v>
      </c>
      <c r="AW2" s="132"/>
      <c r="AX2" s="132"/>
      <c r="AY2" s="132"/>
      <c r="AZ2" s="133"/>
    </row>
    <row r="3" spans="1:52" s="34" customFormat="1" ht="80.400000000000006" customHeight="1" x14ac:dyDescent="0.3">
      <c r="B3" s="79"/>
      <c r="C3" s="79"/>
      <c r="D3" s="79"/>
      <c r="E3" s="80"/>
      <c r="F3" s="80"/>
      <c r="G3" s="81"/>
      <c r="H3" s="82"/>
      <c r="I3" s="81"/>
      <c r="J3" s="33"/>
      <c r="K3" s="82"/>
      <c r="L3" s="33"/>
      <c r="M3" s="85"/>
      <c r="N3" s="83"/>
      <c r="O3" s="86"/>
      <c r="P3" s="83"/>
      <c r="Q3" s="83"/>
      <c r="R3" s="83"/>
      <c r="S3" s="134" t="s">
        <v>97</v>
      </c>
      <c r="T3" s="118"/>
      <c r="U3" s="116" t="s">
        <v>99</v>
      </c>
      <c r="V3" s="119"/>
      <c r="W3" s="96"/>
      <c r="X3" s="118" t="s">
        <v>97</v>
      </c>
      <c r="Y3" s="118"/>
      <c r="Z3" s="116" t="s">
        <v>99</v>
      </c>
      <c r="AA3" s="117"/>
      <c r="AB3" s="90"/>
      <c r="AC3" s="118" t="s">
        <v>97</v>
      </c>
      <c r="AD3" s="118"/>
      <c r="AE3" s="116" t="s">
        <v>99</v>
      </c>
      <c r="AF3" s="117"/>
      <c r="AG3" s="90"/>
      <c r="AH3" s="118" t="s">
        <v>97</v>
      </c>
      <c r="AI3" s="118"/>
      <c r="AJ3" s="116" t="s">
        <v>99</v>
      </c>
      <c r="AK3" s="119"/>
      <c r="AL3" s="92"/>
      <c r="AM3" s="118" t="s">
        <v>97</v>
      </c>
      <c r="AN3" s="118"/>
      <c r="AO3" s="116" t="s">
        <v>99</v>
      </c>
      <c r="AP3" s="116"/>
      <c r="AQ3" s="90"/>
      <c r="AR3" s="118" t="s">
        <v>97</v>
      </c>
      <c r="AS3" s="118"/>
      <c r="AT3" s="116" t="s">
        <v>99</v>
      </c>
      <c r="AU3" s="117"/>
      <c r="AV3" s="96"/>
      <c r="AW3" s="118" t="s">
        <v>97</v>
      </c>
      <c r="AX3" s="118"/>
      <c r="AY3" s="116" t="s">
        <v>99</v>
      </c>
      <c r="AZ3" s="119"/>
    </row>
    <row r="4" spans="1:52" s="100" customFormat="1" x14ac:dyDescent="0.3">
      <c r="A4" s="100" t="s">
        <v>1</v>
      </c>
      <c r="B4" s="101" t="s">
        <v>40</v>
      </c>
      <c r="C4" s="101" t="s">
        <v>41</v>
      </c>
      <c r="D4" s="102" t="s">
        <v>42</v>
      </c>
      <c r="E4" s="103" t="s">
        <v>32</v>
      </c>
      <c r="F4" s="103" t="s">
        <v>28</v>
      </c>
      <c r="G4" s="104" t="s">
        <v>33</v>
      </c>
      <c r="H4" s="104" t="s">
        <v>34</v>
      </c>
      <c r="I4" s="105" t="s">
        <v>2</v>
      </c>
      <c r="J4" s="106" t="s">
        <v>3</v>
      </c>
      <c r="K4" s="105" t="s">
        <v>4</v>
      </c>
      <c r="L4" s="106" t="s">
        <v>5</v>
      </c>
      <c r="M4" s="107">
        <v>0.1</v>
      </c>
      <c r="N4" s="107">
        <v>0.2</v>
      </c>
      <c r="O4" s="107">
        <v>0.3</v>
      </c>
      <c r="P4" s="107">
        <v>-0.1</v>
      </c>
      <c r="Q4" s="107">
        <v>-0.2</v>
      </c>
      <c r="R4" s="107">
        <v>-0.3</v>
      </c>
      <c r="S4" s="104" t="s">
        <v>105</v>
      </c>
      <c r="T4" s="108" t="s">
        <v>106</v>
      </c>
      <c r="U4" s="104" t="s">
        <v>105</v>
      </c>
      <c r="V4" s="108" t="s">
        <v>106</v>
      </c>
      <c r="W4" s="99" t="s">
        <v>68</v>
      </c>
      <c r="X4" s="104" t="s">
        <v>105</v>
      </c>
      <c r="Y4" s="108" t="s">
        <v>106</v>
      </c>
      <c r="Z4" s="104" t="s">
        <v>105</v>
      </c>
      <c r="AA4" s="108" t="s">
        <v>106</v>
      </c>
      <c r="AB4" s="99" t="s">
        <v>68</v>
      </c>
      <c r="AC4" s="104" t="s">
        <v>105</v>
      </c>
      <c r="AD4" s="108" t="s">
        <v>106</v>
      </c>
      <c r="AE4" s="104" t="s">
        <v>105</v>
      </c>
      <c r="AF4" s="108" t="s">
        <v>106</v>
      </c>
      <c r="AG4" s="99" t="s">
        <v>68</v>
      </c>
      <c r="AH4" s="104" t="s">
        <v>105</v>
      </c>
      <c r="AI4" s="108" t="s">
        <v>106</v>
      </c>
      <c r="AJ4" s="104" t="s">
        <v>105</v>
      </c>
      <c r="AK4" s="108" t="s">
        <v>106</v>
      </c>
      <c r="AL4" s="99" t="s">
        <v>68</v>
      </c>
      <c r="AM4" s="104" t="s">
        <v>105</v>
      </c>
      <c r="AN4" s="108" t="s">
        <v>106</v>
      </c>
      <c r="AO4" s="104" t="s">
        <v>105</v>
      </c>
      <c r="AP4" s="108" t="s">
        <v>106</v>
      </c>
      <c r="AQ4" s="99" t="s">
        <v>68</v>
      </c>
      <c r="AR4" s="104" t="s">
        <v>105</v>
      </c>
      <c r="AS4" s="108" t="s">
        <v>106</v>
      </c>
      <c r="AT4" s="104" t="s">
        <v>105</v>
      </c>
      <c r="AU4" s="108" t="s">
        <v>106</v>
      </c>
      <c r="AV4" s="99" t="s">
        <v>68</v>
      </c>
      <c r="AW4" s="104" t="s">
        <v>105</v>
      </c>
      <c r="AX4" s="108" t="s">
        <v>106</v>
      </c>
      <c r="AY4" s="104" t="s">
        <v>105</v>
      </c>
      <c r="AZ4" s="108" t="s">
        <v>106</v>
      </c>
    </row>
    <row r="5" spans="1:52" x14ac:dyDescent="0.3">
      <c r="A5" t="s">
        <v>9</v>
      </c>
      <c r="B5" s="25" t="s">
        <v>226</v>
      </c>
      <c r="C5" s="25" t="s">
        <v>227</v>
      </c>
      <c r="D5" s="24">
        <v>14.47999954223633</v>
      </c>
      <c r="E5" s="2">
        <v>-0.37505397088663228</v>
      </c>
      <c r="F5" s="2">
        <v>-0.4617100465584516</v>
      </c>
      <c r="G5" s="15">
        <v>-0.58977898860464539</v>
      </c>
      <c r="H5" s="16">
        <v>-0.90676795120717524</v>
      </c>
      <c r="I5" s="17">
        <v>0.29903315335583991</v>
      </c>
      <c r="J5" s="18">
        <v>49</v>
      </c>
      <c r="K5" s="19">
        <v>-0.93191298232014219</v>
      </c>
      <c r="L5" s="18">
        <v>136</v>
      </c>
      <c r="M5" s="26">
        <v>1</v>
      </c>
      <c r="N5" s="28">
        <v>1</v>
      </c>
      <c r="P5" s="28">
        <v>55</v>
      </c>
      <c r="Q5" s="28">
        <v>56</v>
      </c>
      <c r="R5" s="28">
        <v>69</v>
      </c>
      <c r="S5" s="98">
        <v>0.1815326241079516</v>
      </c>
      <c r="T5" s="6">
        <v>49</v>
      </c>
      <c r="U5" s="41">
        <v>0.1815326241079516</v>
      </c>
      <c r="V5" s="94">
        <v>49</v>
      </c>
      <c r="W5" s="97">
        <v>55</v>
      </c>
      <c r="X5" s="41">
        <v>-0.62374362531556382</v>
      </c>
      <c r="Y5" s="6">
        <v>999</v>
      </c>
      <c r="Z5" s="41">
        <v>-0.62374362531556382</v>
      </c>
      <c r="AA5" s="84">
        <v>999</v>
      </c>
      <c r="AB5" s="91">
        <v>56</v>
      </c>
      <c r="AC5" s="41">
        <v>-0.60009590007077163</v>
      </c>
      <c r="AD5" s="6">
        <v>999</v>
      </c>
      <c r="AE5" s="41">
        <v>-0.60009590007077163</v>
      </c>
      <c r="AF5" s="84">
        <v>999</v>
      </c>
      <c r="AG5" s="91">
        <v>69</v>
      </c>
      <c r="AH5" s="41">
        <v>-0.50977691577312423</v>
      </c>
      <c r="AI5" s="6">
        <v>999</v>
      </c>
      <c r="AJ5" s="41">
        <v>-0.50977691577312423</v>
      </c>
      <c r="AK5" s="84">
        <v>999</v>
      </c>
      <c r="AL5" s="93">
        <v>7</v>
      </c>
      <c r="AM5" s="41">
        <v>0.1815326241079516</v>
      </c>
      <c r="AN5" s="6">
        <v>49</v>
      </c>
      <c r="AO5" s="41">
        <v>0.1815326241079516</v>
      </c>
      <c r="AP5" s="84">
        <v>49</v>
      </c>
      <c r="AQ5" s="91">
        <v>7</v>
      </c>
      <c r="AR5" s="41">
        <v>0.1815326241079516</v>
      </c>
      <c r="AS5" s="6">
        <v>49</v>
      </c>
      <c r="AT5" s="41">
        <v>0.1815326241079516</v>
      </c>
      <c r="AU5" s="89">
        <v>49</v>
      </c>
      <c r="AV5" s="97">
        <v>69</v>
      </c>
      <c r="AW5" s="41">
        <v>-0.50977691577312423</v>
      </c>
      <c r="AX5" s="6">
        <v>999</v>
      </c>
      <c r="AY5" s="41">
        <v>-0.50977691577312423</v>
      </c>
      <c r="AZ5" s="94">
        <v>999</v>
      </c>
    </row>
    <row r="6" spans="1:52" x14ac:dyDescent="0.3">
      <c r="A6" t="s">
        <v>16</v>
      </c>
      <c r="B6" s="25" t="s">
        <v>230</v>
      </c>
      <c r="C6" s="25" t="s">
        <v>231</v>
      </c>
      <c r="D6" s="24">
        <v>5.4499998092651367</v>
      </c>
      <c r="E6" s="2">
        <v>0.90559440880068021</v>
      </c>
      <c r="F6" s="2">
        <v>1.113171507714017E-2</v>
      </c>
      <c r="G6" s="15">
        <v>-0.36055045558511067</v>
      </c>
      <c r="H6" s="16">
        <v>-0.46788987213589273</v>
      </c>
      <c r="I6" s="17">
        <v>0</v>
      </c>
      <c r="J6" s="18">
        <v>0</v>
      </c>
      <c r="K6" s="19">
        <v>-0.46972473283556782</v>
      </c>
      <c r="L6" s="18">
        <v>130</v>
      </c>
      <c r="P6" s="28">
        <v>2</v>
      </c>
      <c r="Q6" s="28">
        <v>3</v>
      </c>
      <c r="R6" s="28">
        <v>25</v>
      </c>
      <c r="S6" s="98">
        <v>-0.21654503065505951</v>
      </c>
      <c r="T6" s="6">
        <v>66</v>
      </c>
      <c r="U6" s="41">
        <v>-0.14912816527402251</v>
      </c>
      <c r="V6" s="94">
        <v>999</v>
      </c>
      <c r="W6" s="97">
        <v>7</v>
      </c>
      <c r="X6" s="41">
        <v>-0.14912816527402251</v>
      </c>
      <c r="Y6" s="6">
        <v>999</v>
      </c>
      <c r="Z6" s="41">
        <v>-0.14912816527402251</v>
      </c>
      <c r="AA6" s="84">
        <v>999</v>
      </c>
      <c r="AB6" s="91">
        <v>7</v>
      </c>
      <c r="AC6" s="41">
        <v>-0.14912816527402251</v>
      </c>
      <c r="AD6" s="6">
        <v>999</v>
      </c>
      <c r="AE6" s="41">
        <v>-0.14912816527402251</v>
      </c>
      <c r="AF6" s="84">
        <v>999</v>
      </c>
      <c r="AG6" s="91">
        <v>25</v>
      </c>
      <c r="AH6" s="41">
        <v>-9.4069715704930834E-2</v>
      </c>
      <c r="AI6" s="6">
        <v>999</v>
      </c>
      <c r="AJ6" s="41">
        <v>-9.4069715704930834E-2</v>
      </c>
      <c r="AK6" s="84">
        <v>999</v>
      </c>
      <c r="AL6" s="93">
        <v>7</v>
      </c>
      <c r="AM6" s="41">
        <v>-0.14912816527402251</v>
      </c>
      <c r="AN6" s="6">
        <v>999</v>
      </c>
      <c r="AO6" s="41">
        <v>-0.14912816527402251</v>
      </c>
      <c r="AP6" s="84">
        <v>999</v>
      </c>
      <c r="AQ6" s="91">
        <v>7</v>
      </c>
      <c r="AR6" s="41">
        <v>-0.14912816527402251</v>
      </c>
      <c r="AS6" s="6">
        <v>999</v>
      </c>
      <c r="AT6" s="41">
        <v>-0.14912816527402251</v>
      </c>
      <c r="AU6" s="89">
        <v>999</v>
      </c>
      <c r="AV6" s="97">
        <v>25</v>
      </c>
      <c r="AW6" s="41">
        <v>-9.4069715704930834E-2</v>
      </c>
      <c r="AX6" s="6">
        <v>999</v>
      </c>
      <c r="AY6" s="41">
        <v>-9.4069715704930834E-2</v>
      </c>
      <c r="AZ6" s="94">
        <v>999</v>
      </c>
    </row>
    <row r="7" spans="1:52" x14ac:dyDescent="0.3">
      <c r="A7" t="s">
        <v>17</v>
      </c>
      <c r="B7" s="25" t="s">
        <v>234</v>
      </c>
      <c r="C7" s="25" t="s">
        <v>232</v>
      </c>
      <c r="D7" s="24">
        <v>11.304999828338619</v>
      </c>
      <c r="E7" s="2">
        <v>4.5790877845264477E-2</v>
      </c>
      <c r="F7" s="2">
        <v>3.1478082937122398E-2</v>
      </c>
      <c r="G7" s="15">
        <v>-0.23839011168365801</v>
      </c>
      <c r="I7" s="17">
        <v>5.6169815275264323E-2</v>
      </c>
      <c r="J7" s="18">
        <v>6</v>
      </c>
      <c r="K7" s="19">
        <v>-0.27023439847213032</v>
      </c>
      <c r="L7" s="18">
        <v>56</v>
      </c>
      <c r="P7" s="28">
        <v>14</v>
      </c>
      <c r="Q7" s="28">
        <v>47</v>
      </c>
      <c r="S7" s="98">
        <v>-0.27931039812448472</v>
      </c>
      <c r="T7" s="6">
        <v>47</v>
      </c>
      <c r="U7" s="41">
        <v>-0.15599703168521359</v>
      </c>
      <c r="V7" s="94">
        <v>999</v>
      </c>
      <c r="W7" s="97">
        <v>14</v>
      </c>
      <c r="X7" s="41">
        <v>-4.6543745635079292E-2</v>
      </c>
      <c r="Y7" s="6">
        <v>999</v>
      </c>
      <c r="Z7" s="41">
        <v>-4.6543745635079292E-2</v>
      </c>
      <c r="AA7" s="84">
        <v>999</v>
      </c>
      <c r="AB7" s="91">
        <v>47</v>
      </c>
      <c r="AC7" s="41">
        <v>1.394163417749549E-2</v>
      </c>
      <c r="AD7" s="6">
        <v>999</v>
      </c>
      <c r="AE7" s="41">
        <v>1.394163417749549E-2</v>
      </c>
      <c r="AF7" s="84">
        <v>999</v>
      </c>
      <c r="AG7" s="91"/>
      <c r="AL7" s="93">
        <v>14</v>
      </c>
      <c r="AM7" s="41">
        <v>-4.6543745635079292E-2</v>
      </c>
      <c r="AN7" s="6">
        <v>999</v>
      </c>
      <c r="AO7" s="41">
        <v>-4.6543745635079292E-2</v>
      </c>
      <c r="AP7" s="84">
        <v>999</v>
      </c>
      <c r="AQ7" s="91">
        <v>47</v>
      </c>
      <c r="AR7" s="41">
        <v>1.394163417749549E-2</v>
      </c>
      <c r="AS7" s="6">
        <v>999</v>
      </c>
      <c r="AT7" s="41">
        <v>1.394163417749549E-2</v>
      </c>
      <c r="AU7" s="89">
        <v>999</v>
      </c>
      <c r="AV7" s="97"/>
    </row>
    <row r="8" spans="1:52" x14ac:dyDescent="0.3">
      <c r="A8" t="s">
        <v>26</v>
      </c>
      <c r="B8" s="25" t="s">
        <v>231</v>
      </c>
      <c r="C8" s="25" t="s">
        <v>226</v>
      </c>
      <c r="D8" s="24">
        <v>5.0450000762939453</v>
      </c>
      <c r="E8" s="2">
        <v>-0.55248737357608813</v>
      </c>
      <c r="F8" s="2">
        <v>-0.37716051374079801</v>
      </c>
      <c r="G8" s="15">
        <v>-7.0366702419213722E-2</v>
      </c>
      <c r="H8" s="16">
        <v>-0.21506442452702851</v>
      </c>
      <c r="I8" s="17">
        <v>0.20118926682578239</v>
      </c>
      <c r="J8" s="18">
        <v>28</v>
      </c>
      <c r="K8" s="19">
        <v>-0.38156593887486467</v>
      </c>
      <c r="L8" s="18">
        <v>131</v>
      </c>
      <c r="M8" s="26">
        <v>19</v>
      </c>
      <c r="N8" s="28">
        <v>28</v>
      </c>
      <c r="P8" s="28">
        <v>3</v>
      </c>
      <c r="Q8" s="28">
        <v>14</v>
      </c>
      <c r="R8" s="28">
        <v>105</v>
      </c>
      <c r="S8" s="98">
        <v>0.5</v>
      </c>
      <c r="T8" s="6">
        <v>28</v>
      </c>
      <c r="U8" s="41">
        <v>0.5</v>
      </c>
      <c r="V8" s="94">
        <v>28</v>
      </c>
      <c r="W8" s="97">
        <v>7</v>
      </c>
      <c r="X8" s="41">
        <v>9.9559964853455321E-2</v>
      </c>
      <c r="Y8" s="6">
        <v>999</v>
      </c>
      <c r="Z8" s="41">
        <v>9.9559964853455321E-2</v>
      </c>
      <c r="AA8" s="84">
        <v>999</v>
      </c>
      <c r="AB8" s="91">
        <v>14</v>
      </c>
      <c r="AC8" s="41">
        <v>0.1076914739622178</v>
      </c>
      <c r="AD8" s="6">
        <v>999</v>
      </c>
      <c r="AE8" s="41">
        <v>0.1076914739622178</v>
      </c>
      <c r="AF8" s="84">
        <v>999</v>
      </c>
      <c r="AG8" s="91">
        <v>105</v>
      </c>
      <c r="AH8" s="41">
        <v>0.42979935744485243</v>
      </c>
      <c r="AI8" s="6">
        <v>145</v>
      </c>
      <c r="AJ8" s="41">
        <v>0.42979935744485243</v>
      </c>
      <c r="AK8" s="84">
        <v>145</v>
      </c>
      <c r="AL8" s="93">
        <v>7</v>
      </c>
      <c r="AM8" s="41">
        <v>9.9559964853455321E-2</v>
      </c>
      <c r="AN8" s="6">
        <v>999</v>
      </c>
      <c r="AO8" s="41">
        <v>9.9559964853455321E-2</v>
      </c>
      <c r="AP8" s="84">
        <v>999</v>
      </c>
      <c r="AQ8" s="91">
        <v>14</v>
      </c>
      <c r="AR8" s="41">
        <v>0.1076914739622178</v>
      </c>
      <c r="AS8" s="6">
        <v>999</v>
      </c>
      <c r="AT8" s="41">
        <v>0.1076914739622178</v>
      </c>
      <c r="AU8" s="89">
        <v>999</v>
      </c>
      <c r="AV8" s="97">
        <v>105</v>
      </c>
      <c r="AW8" s="41">
        <v>0.42979935744485243</v>
      </c>
      <c r="AX8" s="6">
        <v>145</v>
      </c>
      <c r="AY8" s="41">
        <v>0.42979935744485243</v>
      </c>
      <c r="AZ8" s="94">
        <v>145</v>
      </c>
    </row>
    <row r="9" spans="1:52" x14ac:dyDescent="0.3">
      <c r="A9" t="s">
        <v>21</v>
      </c>
      <c r="B9" s="25" t="s">
        <v>236</v>
      </c>
      <c r="C9" s="25" t="s">
        <v>237</v>
      </c>
      <c r="D9" s="24">
        <v>16.454999923706051</v>
      </c>
      <c r="E9" s="2">
        <v>-0.26441666042110201</v>
      </c>
      <c r="F9" s="2">
        <v>-8.1374459095937546E-3</v>
      </c>
      <c r="G9" s="15">
        <v>-0.16134911852209999</v>
      </c>
      <c r="I9" s="17">
        <v>8.3561227977831276E-2</v>
      </c>
      <c r="J9" s="18">
        <v>15</v>
      </c>
      <c r="K9" s="19">
        <v>-0.26709204038084838</v>
      </c>
      <c r="L9" s="18">
        <v>44</v>
      </c>
      <c r="P9" s="28">
        <v>24</v>
      </c>
      <c r="Q9" s="28">
        <v>26</v>
      </c>
      <c r="S9" s="98">
        <v>-0.220072617624823</v>
      </c>
      <c r="T9" s="6">
        <v>26</v>
      </c>
      <c r="U9" s="41">
        <v>-8.395401004320216E-2</v>
      </c>
      <c r="V9" s="94">
        <v>999</v>
      </c>
      <c r="W9" s="97">
        <v>24</v>
      </c>
      <c r="X9" s="41">
        <v>0.26613481745988898</v>
      </c>
      <c r="Y9" s="6">
        <v>123</v>
      </c>
      <c r="Z9" s="41">
        <v>0.26613481745988898</v>
      </c>
      <c r="AA9" s="84">
        <v>123</v>
      </c>
      <c r="AB9" s="91">
        <v>26</v>
      </c>
      <c r="AC9" s="41">
        <v>0.35348834114631722</v>
      </c>
      <c r="AD9" s="6">
        <v>123</v>
      </c>
      <c r="AE9" s="41">
        <v>0.35348834114631722</v>
      </c>
      <c r="AF9" s="84">
        <v>123</v>
      </c>
      <c r="AG9" s="91"/>
      <c r="AL9" s="93">
        <v>24</v>
      </c>
      <c r="AM9" s="41">
        <v>0.26613481745988898</v>
      </c>
      <c r="AN9" s="6">
        <v>123</v>
      </c>
      <c r="AO9" s="41">
        <v>0.26613481745988898</v>
      </c>
      <c r="AP9" s="84">
        <v>123</v>
      </c>
      <c r="AQ9" s="91">
        <v>26</v>
      </c>
      <c r="AR9" s="41">
        <v>0.35348834114631722</v>
      </c>
      <c r="AS9" s="6">
        <v>123</v>
      </c>
      <c r="AT9" s="41">
        <v>0.35348834114631722</v>
      </c>
      <c r="AU9" s="89">
        <v>123</v>
      </c>
      <c r="AV9" s="97"/>
    </row>
    <row r="10" spans="1:52" x14ac:dyDescent="0.3">
      <c r="A10" t="s">
        <v>15</v>
      </c>
      <c r="B10" s="25" t="s">
        <v>228</v>
      </c>
      <c r="C10" s="25" t="s">
        <v>229</v>
      </c>
      <c r="D10" s="24">
        <v>3.1800000667572021</v>
      </c>
      <c r="E10" s="7">
        <v>-0.41030216765528182</v>
      </c>
      <c r="F10" s="7">
        <v>-0.45360825206824018</v>
      </c>
      <c r="G10" s="13">
        <v>0.1069182097584125</v>
      </c>
      <c r="H10" s="14">
        <v>-1.886798111275045E-2</v>
      </c>
      <c r="I10" s="20">
        <v>0.29874214708821573</v>
      </c>
      <c r="J10" s="21">
        <v>12</v>
      </c>
      <c r="K10" s="22">
        <v>-0.28616354299597813</v>
      </c>
      <c r="L10" s="21">
        <v>90</v>
      </c>
      <c r="M10" s="27">
        <v>10</v>
      </c>
      <c r="N10" s="29">
        <v>12</v>
      </c>
      <c r="O10" s="88"/>
      <c r="P10" s="29">
        <v>61</v>
      </c>
      <c r="Q10" s="29">
        <v>89</v>
      </c>
      <c r="R10" s="29"/>
      <c r="S10" s="98">
        <v>-0.20809249152373729</v>
      </c>
      <c r="T10" s="6">
        <v>64</v>
      </c>
      <c r="U10" s="41">
        <v>-0.34393064858397282</v>
      </c>
      <c r="V10" s="94">
        <v>90</v>
      </c>
      <c r="W10" s="97">
        <v>61</v>
      </c>
      <c r="X10" s="41">
        <v>-1.118989445637616E-2</v>
      </c>
      <c r="Y10" s="6">
        <v>999</v>
      </c>
      <c r="Z10" s="41">
        <v>-1.118989445637616E-2</v>
      </c>
      <c r="AA10" s="84">
        <v>999</v>
      </c>
      <c r="AB10" s="91">
        <v>89</v>
      </c>
      <c r="AC10" s="41">
        <v>0.37860074592635362</v>
      </c>
      <c r="AD10" s="6">
        <v>131</v>
      </c>
      <c r="AE10" s="41">
        <v>0.37860074592635362</v>
      </c>
      <c r="AF10" s="84">
        <v>131</v>
      </c>
      <c r="AG10" s="91"/>
      <c r="AL10" s="93">
        <v>10</v>
      </c>
      <c r="AM10" s="41">
        <v>-0.15952591575142361</v>
      </c>
      <c r="AN10" s="6">
        <v>999</v>
      </c>
      <c r="AO10" s="41">
        <v>-0.15952591575142361</v>
      </c>
      <c r="AP10" s="84">
        <v>999</v>
      </c>
      <c r="AQ10" s="91">
        <v>12</v>
      </c>
      <c r="AR10" s="41">
        <v>-0.25951541285387653</v>
      </c>
      <c r="AS10" s="6">
        <v>999</v>
      </c>
      <c r="AT10" s="41">
        <v>-0.25951541285387653</v>
      </c>
      <c r="AU10" s="89">
        <v>999</v>
      </c>
      <c r="AV10" s="97"/>
    </row>
    <row r="11" spans="1:52" x14ac:dyDescent="0.3">
      <c r="A11" t="s">
        <v>20</v>
      </c>
      <c r="B11" s="25" t="s">
        <v>230</v>
      </c>
      <c r="C11" s="25" t="s">
        <v>231</v>
      </c>
      <c r="D11" s="24">
        <v>11.19884777069092</v>
      </c>
      <c r="E11" s="2">
        <v>-0.41970785064781291</v>
      </c>
      <c r="F11" s="2">
        <v>0.23202215592176459</v>
      </c>
      <c r="G11" s="15">
        <v>-0.20788432579742411</v>
      </c>
      <c r="H11" s="16">
        <v>-0.47357709713056723</v>
      </c>
      <c r="I11" s="17">
        <v>0.1941357812584221</v>
      </c>
      <c r="J11" s="18">
        <v>88</v>
      </c>
      <c r="K11" s="19">
        <v>-0.47357709713056723</v>
      </c>
      <c r="L11" s="18">
        <v>150</v>
      </c>
      <c r="M11" s="26">
        <v>88</v>
      </c>
      <c r="P11" s="28">
        <v>2</v>
      </c>
      <c r="Q11" s="28">
        <v>59</v>
      </c>
      <c r="R11" s="28">
        <v>148</v>
      </c>
      <c r="S11" s="98">
        <v>0.42552966539995102</v>
      </c>
      <c r="T11" s="6">
        <v>88</v>
      </c>
      <c r="U11" s="41">
        <v>0.42552966539995102</v>
      </c>
      <c r="V11" s="94">
        <v>88</v>
      </c>
      <c r="W11" s="97">
        <v>7</v>
      </c>
      <c r="X11" s="41">
        <v>0.42552966539995102</v>
      </c>
      <c r="Y11" s="6">
        <v>88</v>
      </c>
      <c r="Z11" s="41">
        <v>0.42552966539995102</v>
      </c>
      <c r="AA11" s="84">
        <v>88</v>
      </c>
      <c r="AB11" s="91">
        <v>59</v>
      </c>
      <c r="AC11" s="41">
        <v>0.52391315404417749</v>
      </c>
      <c r="AD11" s="6">
        <v>88</v>
      </c>
      <c r="AE11" s="41">
        <v>0.52391315404417749</v>
      </c>
      <c r="AF11" s="84">
        <v>88</v>
      </c>
      <c r="AG11" s="91">
        <v>148</v>
      </c>
      <c r="AH11" s="41">
        <v>-6.2082090486231263E-2</v>
      </c>
      <c r="AI11" s="6">
        <v>999</v>
      </c>
      <c r="AJ11" s="41">
        <v>-6.2082090486231263E-2</v>
      </c>
      <c r="AK11" s="84">
        <v>999</v>
      </c>
      <c r="AL11" s="93">
        <v>7</v>
      </c>
      <c r="AM11" s="41">
        <v>0.42552966539995102</v>
      </c>
      <c r="AN11" s="6">
        <v>88</v>
      </c>
      <c r="AO11" s="41">
        <v>0.42552966539995102</v>
      </c>
      <c r="AP11" s="84">
        <v>88</v>
      </c>
      <c r="AQ11" s="91">
        <v>59</v>
      </c>
      <c r="AR11" s="41">
        <v>0.52391315404417749</v>
      </c>
      <c r="AS11" s="6">
        <v>88</v>
      </c>
      <c r="AT11" s="41">
        <v>0.52391315404417749</v>
      </c>
      <c r="AU11" s="89">
        <v>88</v>
      </c>
      <c r="AV11" s="97">
        <v>148</v>
      </c>
      <c r="AW11" s="41">
        <v>-6.2082090486231263E-2</v>
      </c>
      <c r="AX11" s="6">
        <v>999</v>
      </c>
      <c r="AY11" s="41">
        <v>-6.2082090486231263E-2</v>
      </c>
      <c r="AZ11" s="94">
        <v>999</v>
      </c>
    </row>
    <row r="12" spans="1:52" x14ac:dyDescent="0.3">
      <c r="A12" t="s">
        <v>23</v>
      </c>
      <c r="B12" s="25" t="s">
        <v>238</v>
      </c>
      <c r="C12" s="25" t="s">
        <v>236</v>
      </c>
      <c r="D12" s="24">
        <v>65.209999084472656</v>
      </c>
      <c r="E12" s="2">
        <v>1.200067490799166</v>
      </c>
      <c r="F12" s="2">
        <v>3.7054675203224592E-2</v>
      </c>
      <c r="G12" s="15">
        <v>-0.40944642137400472</v>
      </c>
      <c r="H12" s="16">
        <v>-5.566626751084125E-2</v>
      </c>
      <c r="I12" s="17">
        <v>1.9168839404226201E-2</v>
      </c>
      <c r="J12" s="18">
        <v>2</v>
      </c>
      <c r="K12" s="19">
        <v>-0.62674435678095941</v>
      </c>
      <c r="L12" s="18">
        <v>53</v>
      </c>
      <c r="P12" s="28">
        <v>4</v>
      </c>
      <c r="Q12" s="28">
        <v>5</v>
      </c>
      <c r="R12" s="28">
        <v>5</v>
      </c>
      <c r="S12" s="98">
        <v>-0.23574354535555159</v>
      </c>
      <c r="T12" s="6">
        <v>43</v>
      </c>
      <c r="U12" s="41">
        <v>-0.33587996891620348</v>
      </c>
      <c r="V12" s="94">
        <v>53</v>
      </c>
      <c r="W12" s="97">
        <v>7</v>
      </c>
      <c r="X12" s="41">
        <v>0.68021826104352168</v>
      </c>
      <c r="Y12" s="6">
        <v>150</v>
      </c>
      <c r="Z12" s="41">
        <v>0.68021826104352168</v>
      </c>
      <c r="AA12" s="84">
        <v>150</v>
      </c>
      <c r="AB12" s="91">
        <v>7</v>
      </c>
      <c r="AC12" s="41">
        <v>0.68021826104352168</v>
      </c>
      <c r="AD12" s="6">
        <v>150</v>
      </c>
      <c r="AE12" s="41">
        <v>0.68021826104352168</v>
      </c>
      <c r="AF12" s="84">
        <v>150</v>
      </c>
      <c r="AG12" s="91">
        <v>7</v>
      </c>
      <c r="AH12" s="41">
        <v>0.68021826104352168</v>
      </c>
      <c r="AI12" s="6">
        <v>150</v>
      </c>
      <c r="AJ12" s="41">
        <v>0.68021826104352168</v>
      </c>
      <c r="AK12" s="84">
        <v>150</v>
      </c>
      <c r="AL12" s="93">
        <v>7</v>
      </c>
      <c r="AM12" s="41">
        <v>0.68021826104352168</v>
      </c>
      <c r="AN12" s="6">
        <v>150</v>
      </c>
      <c r="AO12" s="41">
        <v>0.68021826104352168</v>
      </c>
      <c r="AP12" s="84">
        <v>150</v>
      </c>
      <c r="AQ12" s="91">
        <v>7</v>
      </c>
      <c r="AR12" s="41">
        <v>0.68021826104352168</v>
      </c>
      <c r="AS12" s="6">
        <v>150</v>
      </c>
      <c r="AT12" s="41">
        <v>0.68021826104352168</v>
      </c>
      <c r="AU12" s="89">
        <v>150</v>
      </c>
      <c r="AV12" s="97">
        <v>7</v>
      </c>
      <c r="AW12" s="41">
        <v>0.68021826104352168</v>
      </c>
      <c r="AX12" s="6">
        <v>150</v>
      </c>
      <c r="AY12" s="41">
        <v>0.68021826104352168</v>
      </c>
      <c r="AZ12" s="94">
        <v>150</v>
      </c>
    </row>
    <row r="13" spans="1:52" x14ac:dyDescent="0.3">
      <c r="A13" t="s">
        <v>14</v>
      </c>
      <c r="B13" s="25" t="s">
        <v>226</v>
      </c>
      <c r="C13" s="25" t="s">
        <v>227</v>
      </c>
      <c r="D13" s="24">
        <v>2.809999942779541</v>
      </c>
      <c r="E13" s="2">
        <v>0.37073171128835242</v>
      </c>
      <c r="F13" s="2">
        <v>-0.24258762428933919</v>
      </c>
      <c r="G13" s="15">
        <v>-0.23131667978110301</v>
      </c>
      <c r="H13" s="16">
        <v>0.46975096033478381</v>
      </c>
      <c r="I13" s="17">
        <v>1.320284737969492</v>
      </c>
      <c r="J13" s="18">
        <v>92</v>
      </c>
      <c r="K13" s="19">
        <v>-0.56939499544968353</v>
      </c>
      <c r="L13" s="18">
        <v>35</v>
      </c>
      <c r="M13" s="26">
        <v>6</v>
      </c>
      <c r="N13" s="28">
        <v>8</v>
      </c>
      <c r="O13" s="87">
        <v>20</v>
      </c>
      <c r="P13" s="28">
        <v>27</v>
      </c>
      <c r="Q13" s="28">
        <v>27</v>
      </c>
      <c r="R13" s="28">
        <v>27</v>
      </c>
      <c r="S13" s="98">
        <v>-0.3952702909512098</v>
      </c>
      <c r="T13" s="6">
        <v>27</v>
      </c>
      <c r="U13" s="41">
        <v>-0.3952702909512098</v>
      </c>
      <c r="V13" s="94">
        <v>27</v>
      </c>
      <c r="W13" s="97">
        <v>27</v>
      </c>
      <c r="X13" s="41">
        <v>2.642458167528082</v>
      </c>
      <c r="Y13" s="6">
        <v>92</v>
      </c>
      <c r="Z13" s="41">
        <v>2.642458167528082</v>
      </c>
      <c r="AA13" s="84">
        <v>92</v>
      </c>
      <c r="AB13" s="91">
        <v>27</v>
      </c>
      <c r="AC13" s="41">
        <v>2.642458167528082</v>
      </c>
      <c r="AD13" s="6">
        <v>92</v>
      </c>
      <c r="AE13" s="41">
        <v>2.642458167528082</v>
      </c>
      <c r="AF13" s="84">
        <v>92</v>
      </c>
      <c r="AG13" s="91">
        <v>27</v>
      </c>
      <c r="AH13" s="41">
        <v>2.642458167528082</v>
      </c>
      <c r="AI13" s="6">
        <v>92</v>
      </c>
      <c r="AJ13" s="41">
        <v>2.642458167528082</v>
      </c>
      <c r="AK13" s="84">
        <v>92</v>
      </c>
      <c r="AL13" s="93">
        <v>7</v>
      </c>
      <c r="AM13" s="41">
        <v>1.202702667871647</v>
      </c>
      <c r="AN13" s="6">
        <v>92</v>
      </c>
      <c r="AO13" s="41">
        <v>1.202702667871647</v>
      </c>
      <c r="AP13" s="84">
        <v>92</v>
      </c>
      <c r="AQ13" s="91">
        <v>8</v>
      </c>
      <c r="AR13" s="41">
        <v>0.86819483183668167</v>
      </c>
      <c r="AS13" s="6">
        <v>92</v>
      </c>
      <c r="AT13" s="41">
        <v>0.86819483183668167</v>
      </c>
      <c r="AU13" s="89">
        <v>92</v>
      </c>
      <c r="AV13" s="97">
        <v>20</v>
      </c>
      <c r="AW13" s="41">
        <v>0.76216213429731772</v>
      </c>
      <c r="AX13" s="6">
        <v>92</v>
      </c>
      <c r="AY13" s="41">
        <v>0.76216213429731772</v>
      </c>
      <c r="AZ13" s="94">
        <v>92</v>
      </c>
    </row>
    <row r="14" spans="1:52" x14ac:dyDescent="0.3">
      <c r="A14" t="s">
        <v>19</v>
      </c>
      <c r="B14" s="25" t="s">
        <v>235</v>
      </c>
      <c r="C14" s="25" t="s">
        <v>234</v>
      </c>
      <c r="D14" s="24">
        <v>4.9811348915100098</v>
      </c>
      <c r="E14" s="2">
        <v>-0.67470678387049388</v>
      </c>
      <c r="F14" s="2">
        <v>-0.21263473558487711</v>
      </c>
      <c r="G14" s="15">
        <v>1.399491604456627</v>
      </c>
      <c r="I14" s="17">
        <v>1.557650023257267</v>
      </c>
      <c r="J14" s="18">
        <v>96</v>
      </c>
      <c r="K14" s="19">
        <v>-1.5655649611049819E-2</v>
      </c>
      <c r="L14" s="18">
        <v>4</v>
      </c>
      <c r="M14" s="26">
        <v>6</v>
      </c>
      <c r="N14" s="28">
        <v>7</v>
      </c>
      <c r="O14" s="87">
        <v>22</v>
      </c>
      <c r="S14" s="98">
        <v>1.084464543285359</v>
      </c>
      <c r="T14" s="6">
        <v>96</v>
      </c>
      <c r="U14" s="41">
        <v>1.084464543285359</v>
      </c>
      <c r="V14" s="94">
        <v>96</v>
      </c>
      <c r="W14" s="97"/>
      <c r="AB14" s="91"/>
      <c r="AG14" s="91"/>
      <c r="AL14" s="93">
        <v>7</v>
      </c>
      <c r="AM14" s="41">
        <v>1.084464543285359</v>
      </c>
      <c r="AN14" s="6">
        <v>96</v>
      </c>
      <c r="AO14" s="41">
        <v>1.084464543285359</v>
      </c>
      <c r="AP14" s="84">
        <v>96</v>
      </c>
      <c r="AQ14" s="91">
        <v>7</v>
      </c>
      <c r="AR14" s="41">
        <v>1.084464543285359</v>
      </c>
      <c r="AS14" s="6">
        <v>96</v>
      </c>
      <c r="AT14" s="41">
        <v>1.084464543285359</v>
      </c>
      <c r="AU14" s="89">
        <v>96</v>
      </c>
      <c r="AV14" s="97">
        <v>22</v>
      </c>
      <c r="AW14" s="41">
        <v>0.96696091884363078</v>
      </c>
      <c r="AX14" s="6">
        <v>96</v>
      </c>
      <c r="AY14" s="41">
        <v>0.96696091884363078</v>
      </c>
      <c r="AZ14" s="94">
        <v>96</v>
      </c>
    </row>
    <row r="15" spans="1:52" x14ac:dyDescent="0.3">
      <c r="A15" t="s">
        <v>24</v>
      </c>
      <c r="B15" s="25" t="s">
        <v>235</v>
      </c>
      <c r="C15" s="25" t="s">
        <v>234</v>
      </c>
      <c r="D15" s="24">
        <v>7.8299999237060547</v>
      </c>
      <c r="E15" s="2">
        <v>-0.35767020564082341</v>
      </c>
      <c r="F15" s="2">
        <v>-0.16790647708039849</v>
      </c>
      <c r="G15" s="15">
        <v>-8.3014061519910864E-2</v>
      </c>
      <c r="I15" s="17">
        <v>0.32183914205849978</v>
      </c>
      <c r="J15" s="18">
        <v>55</v>
      </c>
      <c r="K15" s="19">
        <v>-0.1072797140194998</v>
      </c>
      <c r="L15" s="18">
        <v>81</v>
      </c>
      <c r="M15" s="26">
        <v>7</v>
      </c>
      <c r="N15" s="28">
        <v>49</v>
      </c>
      <c r="O15" s="87">
        <v>55</v>
      </c>
      <c r="P15" s="28">
        <v>79</v>
      </c>
      <c r="S15" s="98">
        <v>0.1237785383931576</v>
      </c>
      <c r="T15" s="6">
        <v>55</v>
      </c>
      <c r="U15" s="41">
        <v>0.1237785383931576</v>
      </c>
      <c r="V15" s="94">
        <v>55</v>
      </c>
      <c r="W15" s="97">
        <v>79</v>
      </c>
      <c r="X15" s="41">
        <v>4.793650006491041E-2</v>
      </c>
      <c r="Y15" s="6">
        <v>999</v>
      </c>
      <c r="Z15" s="41">
        <v>4.793650006491041E-2</v>
      </c>
      <c r="AA15" s="84">
        <v>999</v>
      </c>
      <c r="AB15" s="91"/>
      <c r="AG15" s="91"/>
      <c r="AL15" s="93">
        <v>7</v>
      </c>
      <c r="AM15" s="41">
        <v>0.1237785383931576</v>
      </c>
      <c r="AN15" s="6">
        <v>55</v>
      </c>
      <c r="AO15" s="41">
        <v>0.1237785383931576</v>
      </c>
      <c r="AP15" s="84">
        <v>55</v>
      </c>
      <c r="AQ15" s="91">
        <v>49</v>
      </c>
      <c r="AR15" s="41">
        <v>-0.14657581935768929</v>
      </c>
      <c r="AS15" s="6">
        <v>999</v>
      </c>
      <c r="AT15" s="41">
        <v>-0.14657581935768929</v>
      </c>
      <c r="AU15" s="89">
        <v>999</v>
      </c>
      <c r="AV15" s="97">
        <v>55</v>
      </c>
      <c r="AW15" s="41">
        <v>-0.23551877744073271</v>
      </c>
      <c r="AX15" s="6">
        <v>999</v>
      </c>
      <c r="AY15" s="41">
        <v>-0.23551877744073271</v>
      </c>
      <c r="AZ15" s="94">
        <v>999</v>
      </c>
    </row>
    <row r="16" spans="1:52" x14ac:dyDescent="0.3">
      <c r="A16" t="s">
        <v>25</v>
      </c>
      <c r="B16" s="25" t="s">
        <v>235</v>
      </c>
      <c r="C16" s="25" t="s">
        <v>234</v>
      </c>
      <c r="D16" s="24">
        <v>1.929999947547913</v>
      </c>
      <c r="E16" s="2">
        <v>-0.1572052490401826</v>
      </c>
      <c r="F16" s="2">
        <v>-0.40432100559658168</v>
      </c>
      <c r="G16" s="15">
        <v>0.53886016027287864</v>
      </c>
      <c r="I16" s="17">
        <v>1.1502591752088149</v>
      </c>
      <c r="J16" s="18">
        <v>47</v>
      </c>
      <c r="K16" s="19">
        <v>0</v>
      </c>
      <c r="L16" s="18">
        <v>0</v>
      </c>
      <c r="M16" s="26">
        <v>1</v>
      </c>
      <c r="N16" s="28">
        <v>1</v>
      </c>
      <c r="O16" s="87">
        <v>5</v>
      </c>
      <c r="S16" s="98">
        <v>0.65338649846030039</v>
      </c>
      <c r="T16" s="6">
        <v>47</v>
      </c>
      <c r="U16" s="45">
        <v>0.65338649846030039</v>
      </c>
      <c r="V16" s="94">
        <v>47</v>
      </c>
      <c r="W16" s="97" t="s">
        <v>239</v>
      </c>
      <c r="Z16" s="45"/>
      <c r="AB16" s="91"/>
      <c r="AE16" s="45"/>
      <c r="AG16" s="91"/>
      <c r="AJ16" s="45"/>
      <c r="AL16" s="93">
        <v>7</v>
      </c>
      <c r="AM16" s="41">
        <v>0.65338649846030039</v>
      </c>
      <c r="AN16" s="6">
        <v>47</v>
      </c>
      <c r="AO16" s="45">
        <v>0.65338649846030039</v>
      </c>
      <c r="AP16" s="84">
        <v>47</v>
      </c>
      <c r="AQ16" s="91">
        <v>7</v>
      </c>
      <c r="AR16" s="41">
        <v>0.65338649846030039</v>
      </c>
      <c r="AS16" s="6">
        <v>47</v>
      </c>
      <c r="AT16" s="45">
        <v>0.65338649846030039</v>
      </c>
      <c r="AU16" s="89">
        <v>47</v>
      </c>
      <c r="AV16" s="97">
        <v>7</v>
      </c>
      <c r="AW16" s="41">
        <v>0.65338649846030039</v>
      </c>
      <c r="AX16" s="6">
        <v>47</v>
      </c>
      <c r="AY16" s="45">
        <v>0.65338649846030039</v>
      </c>
      <c r="AZ16" s="94">
        <v>47</v>
      </c>
    </row>
    <row r="17" spans="1:48" x14ac:dyDescent="0.3">
      <c r="A17" t="s">
        <v>18</v>
      </c>
      <c r="B17" s="25" t="s">
        <v>232</v>
      </c>
      <c r="C17" s="25" t="s">
        <v>233</v>
      </c>
      <c r="D17" s="24">
        <v>5.3600001335144043</v>
      </c>
      <c r="E17" s="2">
        <v>-0.34394123825445622</v>
      </c>
      <c r="F17" s="2">
        <v>0.1477516158346692</v>
      </c>
      <c r="I17" s="17">
        <v>0.29477609782634318</v>
      </c>
      <c r="J17" s="18">
        <v>15</v>
      </c>
      <c r="K17" s="19">
        <v>-7.2761256270163832E-2</v>
      </c>
      <c r="L17" s="18">
        <v>47</v>
      </c>
      <c r="M17" s="26">
        <v>14</v>
      </c>
      <c r="N17" s="28">
        <v>14</v>
      </c>
      <c r="S17" s="98">
        <v>-3.8492073467776568E-3</v>
      </c>
      <c r="T17" s="6">
        <v>999</v>
      </c>
      <c r="U17" s="41">
        <v>-3.8492073467776568E-3</v>
      </c>
      <c r="V17" s="94">
        <v>999</v>
      </c>
      <c r="W17" s="97"/>
      <c r="AB17" s="91"/>
      <c r="AG17" s="91"/>
      <c r="AL17" s="93">
        <v>14</v>
      </c>
      <c r="AM17" s="41">
        <v>-0.15306123595281371</v>
      </c>
      <c r="AN17" s="6">
        <v>999</v>
      </c>
      <c r="AO17" s="41">
        <v>-0.15306123595281371</v>
      </c>
      <c r="AP17" s="84">
        <v>999</v>
      </c>
      <c r="AQ17" s="91">
        <v>14</v>
      </c>
      <c r="AR17" s="41">
        <v>-0.15306123595281371</v>
      </c>
      <c r="AS17" s="6">
        <v>999</v>
      </c>
      <c r="AT17" s="41">
        <v>-0.15306123595281371</v>
      </c>
      <c r="AU17" s="89">
        <v>999</v>
      </c>
      <c r="AV17" s="97"/>
    </row>
    <row r="18" spans="1:48" x14ac:dyDescent="0.3">
      <c r="A18" t="s">
        <v>22</v>
      </c>
      <c r="B18" s="25" t="s">
        <v>232</v>
      </c>
      <c r="C18" s="25" t="s">
        <v>233</v>
      </c>
      <c r="D18" s="24">
        <v>13.80991172790527</v>
      </c>
      <c r="E18" s="2">
        <v>-0.13392012820196161</v>
      </c>
      <c r="F18" s="2">
        <v>1.185656242702304E-2</v>
      </c>
      <c r="I18" s="17">
        <v>0.11245549433861909</v>
      </c>
      <c r="J18" s="18">
        <v>15</v>
      </c>
      <c r="K18" s="19">
        <v>-0.1508897126956614</v>
      </c>
      <c r="L18" s="18">
        <v>27</v>
      </c>
      <c r="M18" s="26">
        <v>5</v>
      </c>
      <c r="P18" s="28">
        <v>26</v>
      </c>
      <c r="S18" s="98">
        <v>-0.2094102307867495</v>
      </c>
      <c r="T18" s="6">
        <v>27</v>
      </c>
      <c r="U18" s="41">
        <v>-5.1473514924785878E-2</v>
      </c>
      <c r="V18" s="94">
        <v>999</v>
      </c>
      <c r="W18" s="97">
        <v>26</v>
      </c>
      <c r="X18" s="41">
        <v>0.13748655793591469</v>
      </c>
      <c r="Y18" s="6">
        <v>999</v>
      </c>
      <c r="Z18" s="41">
        <v>0.13748655793591469</v>
      </c>
      <c r="AA18" s="84">
        <v>999</v>
      </c>
      <c r="AB18" s="91"/>
      <c r="AG18" s="91"/>
      <c r="AL18" s="93">
        <v>7</v>
      </c>
      <c r="AM18" s="41">
        <v>-5.1473514924785878E-2</v>
      </c>
      <c r="AN18" s="6">
        <v>999</v>
      </c>
      <c r="AO18" s="41">
        <v>-5.1473514924785878E-2</v>
      </c>
      <c r="AP18" s="84">
        <v>999</v>
      </c>
      <c r="AQ18" s="91"/>
      <c r="AV18" s="97"/>
    </row>
  </sheetData>
  <autoFilter ref="A4:AZ54" xr:uid="{A63CA558-3F40-463D-93F5-3E4C2572FE45}">
    <sortState xmlns:xlrd2="http://schemas.microsoft.com/office/spreadsheetml/2017/richdata2" ref="A5:AZ19">
      <sortCondition ref="AC4:AC54"/>
    </sortState>
  </autoFilter>
  <mergeCells count="29">
    <mergeCell ref="A1:R1"/>
    <mergeCell ref="S1:AZ1"/>
    <mergeCell ref="B2:D2"/>
    <mergeCell ref="E2:F2"/>
    <mergeCell ref="G2:H2"/>
    <mergeCell ref="I2:L2"/>
    <mergeCell ref="M2:O2"/>
    <mergeCell ref="P2:R2"/>
    <mergeCell ref="S2:V2"/>
    <mergeCell ref="W2:AA2"/>
    <mergeCell ref="AB2:AF2"/>
    <mergeCell ref="AG2:AK2"/>
    <mergeCell ref="AL2:AP2"/>
    <mergeCell ref="AQ2:AU2"/>
    <mergeCell ref="AV2:AZ2"/>
    <mergeCell ref="S3:T3"/>
    <mergeCell ref="U3:V3"/>
    <mergeCell ref="X3:Y3"/>
    <mergeCell ref="Z3:AA3"/>
    <mergeCell ref="AC3:AD3"/>
    <mergeCell ref="AT3:AU3"/>
    <mergeCell ref="AW3:AX3"/>
    <mergeCell ref="AY3:AZ3"/>
    <mergeCell ref="AE3:AF3"/>
    <mergeCell ref="AH3:AI3"/>
    <mergeCell ref="AJ3:AK3"/>
    <mergeCell ref="AM3:AN3"/>
    <mergeCell ref="AO3:AP3"/>
    <mergeCell ref="AR3:AS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AB06-2968-4D84-9CA5-2DD5F2564475}">
  <dimension ref="A1:AZ29"/>
  <sheetViews>
    <sheetView zoomScale="85" zoomScaleNormal="85" workbookViewId="0">
      <pane xSplit="4" ySplit="4" topLeftCell="M5" activePane="bottomRight" state="frozen"/>
      <selection pane="topRight" activeCell="D1" sqref="D1"/>
      <selection pane="bottomLeft" activeCell="A2" sqref="A2"/>
      <selection pane="bottomRight" activeCell="A9" sqref="A9:XFD9"/>
    </sheetView>
  </sheetViews>
  <sheetFormatPr defaultRowHeight="14.4" outlineLevelCol="1" x14ac:dyDescent="0.3"/>
  <cols>
    <col min="2" max="3" width="11" style="25" customWidth="1"/>
    <col min="4" max="4" width="11" style="24" bestFit="1" customWidth="1"/>
    <col min="5" max="6" width="9.88671875" style="2" hidden="1" customWidth="1" outlineLevel="1"/>
    <col min="7" max="7" width="9.88671875" style="15" hidden="1" customWidth="1" outlineLevel="1"/>
    <col min="8" max="8" width="9.88671875" style="16" hidden="1" customWidth="1" outlineLevel="1"/>
    <col min="9" max="9" width="6.88671875" style="17" hidden="1" customWidth="1" outlineLevel="1"/>
    <col min="10" max="10" width="12.33203125" style="18" hidden="1" customWidth="1" outlineLevel="1"/>
    <col min="11" max="11" width="6.6640625" style="19" hidden="1" customWidth="1" outlineLevel="1"/>
    <col min="12" max="12" width="12.109375" style="18" hidden="1" customWidth="1" outlineLevel="1"/>
    <col min="13" max="13" width="10.109375" style="26" hidden="1" customWidth="1" outlineLevel="1"/>
    <col min="14" max="14" width="10.109375" style="28" hidden="1" customWidth="1" outlineLevel="1"/>
    <col min="15" max="15" width="10.109375" style="87" hidden="1" customWidth="1" outlineLevel="1"/>
    <col min="16" max="18" width="10.109375" style="28" hidden="1" customWidth="1" outlineLevel="1"/>
    <col min="19" max="19" width="6.5546875" style="98" bestFit="1" customWidth="1" collapsed="1"/>
    <col min="20" max="20" width="5.5546875" style="6" bestFit="1" customWidth="1"/>
    <col min="21" max="21" width="6.5546875" style="41" bestFit="1" customWidth="1"/>
    <col min="22" max="22" width="5.5546875" style="94" bestFit="1" customWidth="1"/>
    <col min="23" max="23" width="9.44140625" style="64" bestFit="1" customWidth="1"/>
    <col min="24" max="24" width="6.5546875" style="41" bestFit="1" customWidth="1"/>
    <col min="25" max="25" width="5.5546875" style="6" bestFit="1" customWidth="1"/>
    <col min="26" max="26" width="6.5546875" style="41" bestFit="1" customWidth="1"/>
    <col min="27" max="27" width="5.5546875" style="84" bestFit="1" customWidth="1"/>
    <col min="28" max="28" width="9.44140625" style="63" bestFit="1" customWidth="1"/>
    <col min="29" max="29" width="6.5546875" style="41" bestFit="1" customWidth="1"/>
    <col min="30" max="30" width="5.5546875" style="6" bestFit="1" customWidth="1"/>
    <col min="31" max="31" width="6.5546875" style="41" bestFit="1" customWidth="1"/>
    <col min="32" max="32" width="5.5546875" style="84" bestFit="1" customWidth="1"/>
    <col min="33" max="33" width="9.44140625" style="63" bestFit="1" customWidth="1"/>
    <col min="34" max="34" width="6.5546875" style="41" bestFit="1" customWidth="1"/>
    <col min="35" max="35" width="5.5546875" style="6" bestFit="1" customWidth="1"/>
    <col min="36" max="36" width="6.5546875" style="41" bestFit="1" customWidth="1"/>
    <col min="37" max="37" width="5.5546875" style="84" bestFit="1" customWidth="1"/>
    <col min="38" max="38" width="9.44140625" style="95" bestFit="1" customWidth="1"/>
    <col min="39" max="39" width="6.5546875" style="41" bestFit="1" customWidth="1"/>
    <col min="40" max="40" width="5.5546875" style="6" bestFit="1" customWidth="1"/>
    <col min="41" max="41" width="6.5546875" style="41" bestFit="1" customWidth="1"/>
    <col min="42" max="42" width="5.5546875" style="84" bestFit="1" customWidth="1"/>
    <col min="43" max="43" width="9.44140625" style="63" bestFit="1" customWidth="1"/>
    <col min="44" max="44" width="6.5546875" style="41" bestFit="1" customWidth="1"/>
    <col min="45" max="45" width="5.5546875" style="6" bestFit="1" customWidth="1"/>
    <col min="46" max="46" width="6.5546875" style="41" bestFit="1" customWidth="1"/>
    <col min="47" max="47" width="5.5546875" style="89" bestFit="1" customWidth="1"/>
    <col min="48" max="48" width="9.44140625" style="64" bestFit="1" customWidth="1"/>
    <col min="49" max="49" width="6.5546875" style="41" bestFit="1" customWidth="1"/>
    <col min="50" max="50" width="5.5546875" style="6" bestFit="1" customWidth="1"/>
    <col min="51" max="51" width="6.5546875" style="41" bestFit="1" customWidth="1"/>
    <col min="52" max="52" width="5.5546875" style="94" bestFit="1" customWidth="1"/>
  </cols>
  <sheetData>
    <row r="1" spans="1:52" ht="15" thickBot="1" x14ac:dyDescent="0.35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6"/>
      <c r="Q1" s="135"/>
      <c r="R1" s="135"/>
      <c r="S1" s="137" t="s">
        <v>65</v>
      </c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8"/>
    </row>
    <row r="2" spans="1:52" s="34" customFormat="1" ht="30.6" customHeight="1" x14ac:dyDescent="0.3">
      <c r="B2" s="139" t="s">
        <v>37</v>
      </c>
      <c r="C2" s="139"/>
      <c r="D2" s="139"/>
      <c r="E2" s="140" t="s">
        <v>30</v>
      </c>
      <c r="F2" s="140"/>
      <c r="G2" s="141" t="s">
        <v>31</v>
      </c>
      <c r="H2" s="142"/>
      <c r="I2" s="141" t="s">
        <v>59</v>
      </c>
      <c r="J2" s="143"/>
      <c r="K2" s="142"/>
      <c r="L2" s="143"/>
      <c r="M2" s="144" t="s">
        <v>100</v>
      </c>
      <c r="N2" s="145"/>
      <c r="O2" s="146"/>
      <c r="P2" s="145" t="s">
        <v>101</v>
      </c>
      <c r="Q2" s="145"/>
      <c r="R2" s="146"/>
      <c r="S2" s="147" t="s">
        <v>98</v>
      </c>
      <c r="T2" s="148"/>
      <c r="U2" s="148"/>
      <c r="V2" s="149"/>
      <c r="W2" s="150" t="s">
        <v>102</v>
      </c>
      <c r="X2" s="151"/>
      <c r="Y2" s="151"/>
      <c r="Z2" s="151"/>
      <c r="AA2" s="152"/>
      <c r="AB2" s="120" t="s">
        <v>103</v>
      </c>
      <c r="AC2" s="121"/>
      <c r="AD2" s="121"/>
      <c r="AE2" s="121"/>
      <c r="AF2" s="122"/>
      <c r="AG2" s="123" t="s">
        <v>104</v>
      </c>
      <c r="AH2" s="124"/>
      <c r="AI2" s="124"/>
      <c r="AJ2" s="124"/>
      <c r="AK2" s="125"/>
      <c r="AL2" s="126" t="s">
        <v>107</v>
      </c>
      <c r="AM2" s="127"/>
      <c r="AN2" s="127"/>
      <c r="AO2" s="127"/>
      <c r="AP2" s="128"/>
      <c r="AQ2" s="129" t="s">
        <v>108</v>
      </c>
      <c r="AR2" s="130"/>
      <c r="AS2" s="130"/>
      <c r="AT2" s="130"/>
      <c r="AU2" s="131"/>
      <c r="AV2" s="132" t="s">
        <v>109</v>
      </c>
      <c r="AW2" s="132"/>
      <c r="AX2" s="132"/>
      <c r="AY2" s="132"/>
      <c r="AZ2" s="133"/>
    </row>
    <row r="3" spans="1:52" s="34" customFormat="1" ht="80.400000000000006" customHeight="1" x14ac:dyDescent="0.3">
      <c r="B3" s="79"/>
      <c r="C3" s="79"/>
      <c r="D3" s="79"/>
      <c r="E3" s="80"/>
      <c r="F3" s="80"/>
      <c r="G3" s="81"/>
      <c r="H3" s="82"/>
      <c r="I3" s="81"/>
      <c r="J3" s="33"/>
      <c r="K3" s="82"/>
      <c r="L3" s="33"/>
      <c r="M3" s="85"/>
      <c r="N3" s="83"/>
      <c r="O3" s="86"/>
      <c r="P3" s="83"/>
      <c r="Q3" s="83"/>
      <c r="R3" s="83"/>
      <c r="S3" s="134" t="s">
        <v>97</v>
      </c>
      <c r="T3" s="118"/>
      <c r="U3" s="116" t="s">
        <v>99</v>
      </c>
      <c r="V3" s="119"/>
      <c r="W3" s="96"/>
      <c r="X3" s="118" t="s">
        <v>97</v>
      </c>
      <c r="Y3" s="118"/>
      <c r="Z3" s="116" t="s">
        <v>99</v>
      </c>
      <c r="AA3" s="117"/>
      <c r="AB3" s="90"/>
      <c r="AC3" s="118" t="s">
        <v>97</v>
      </c>
      <c r="AD3" s="118"/>
      <c r="AE3" s="116" t="s">
        <v>99</v>
      </c>
      <c r="AF3" s="117"/>
      <c r="AG3" s="90"/>
      <c r="AH3" s="118" t="s">
        <v>97</v>
      </c>
      <c r="AI3" s="118"/>
      <c r="AJ3" s="116" t="s">
        <v>99</v>
      </c>
      <c r="AK3" s="119"/>
      <c r="AL3" s="92"/>
      <c r="AM3" s="118" t="s">
        <v>97</v>
      </c>
      <c r="AN3" s="118"/>
      <c r="AO3" s="116" t="s">
        <v>99</v>
      </c>
      <c r="AP3" s="116"/>
      <c r="AQ3" s="90"/>
      <c r="AR3" s="118" t="s">
        <v>97</v>
      </c>
      <c r="AS3" s="118"/>
      <c r="AT3" s="116" t="s">
        <v>99</v>
      </c>
      <c r="AU3" s="117"/>
      <c r="AV3" s="96"/>
      <c r="AW3" s="118" t="s">
        <v>97</v>
      </c>
      <c r="AX3" s="118"/>
      <c r="AY3" s="116" t="s">
        <v>99</v>
      </c>
      <c r="AZ3" s="119"/>
    </row>
    <row r="4" spans="1:52" s="100" customFormat="1" x14ac:dyDescent="0.3">
      <c r="A4" s="100" t="s">
        <v>1</v>
      </c>
      <c r="B4" s="101" t="s">
        <v>40</v>
      </c>
      <c r="C4" s="101" t="s">
        <v>41</v>
      </c>
      <c r="D4" s="102" t="s">
        <v>42</v>
      </c>
      <c r="E4" s="103" t="s">
        <v>32</v>
      </c>
      <c r="F4" s="103" t="s">
        <v>28</v>
      </c>
      <c r="G4" s="104" t="s">
        <v>33</v>
      </c>
      <c r="H4" s="104" t="s">
        <v>34</v>
      </c>
      <c r="I4" s="105" t="s">
        <v>2</v>
      </c>
      <c r="J4" s="106" t="s">
        <v>3</v>
      </c>
      <c r="K4" s="105" t="s">
        <v>4</v>
      </c>
      <c r="L4" s="106" t="s">
        <v>5</v>
      </c>
      <c r="M4" s="107">
        <v>0.1</v>
      </c>
      <c r="N4" s="107">
        <v>0.2</v>
      </c>
      <c r="O4" s="107">
        <v>0.3</v>
      </c>
      <c r="P4" s="107">
        <v>-0.1</v>
      </c>
      <c r="Q4" s="107">
        <v>-0.2</v>
      </c>
      <c r="R4" s="107">
        <v>-0.3</v>
      </c>
      <c r="S4" s="104" t="s">
        <v>105</v>
      </c>
      <c r="T4" s="108" t="s">
        <v>106</v>
      </c>
      <c r="U4" s="104" t="s">
        <v>105</v>
      </c>
      <c r="V4" s="108" t="s">
        <v>106</v>
      </c>
      <c r="W4" s="99" t="s">
        <v>68</v>
      </c>
      <c r="X4" s="104" t="s">
        <v>105</v>
      </c>
      <c r="Y4" s="108" t="s">
        <v>106</v>
      </c>
      <c r="Z4" s="104" t="s">
        <v>105</v>
      </c>
      <c r="AA4" s="108" t="s">
        <v>106</v>
      </c>
      <c r="AB4" s="99" t="s">
        <v>68</v>
      </c>
      <c r="AC4" s="104" t="s">
        <v>105</v>
      </c>
      <c r="AD4" s="108" t="s">
        <v>106</v>
      </c>
      <c r="AE4" s="104" t="s">
        <v>105</v>
      </c>
      <c r="AF4" s="108" t="s">
        <v>106</v>
      </c>
      <c r="AG4" s="99" t="s">
        <v>68</v>
      </c>
      <c r="AH4" s="104" t="s">
        <v>105</v>
      </c>
      <c r="AI4" s="108" t="s">
        <v>106</v>
      </c>
      <c r="AJ4" s="104" t="s">
        <v>105</v>
      </c>
      <c r="AK4" s="108" t="s">
        <v>106</v>
      </c>
      <c r="AL4" s="99" t="s">
        <v>68</v>
      </c>
      <c r="AM4" s="104" t="s">
        <v>105</v>
      </c>
      <c r="AN4" s="108" t="s">
        <v>106</v>
      </c>
      <c r="AO4" s="104" t="s">
        <v>105</v>
      </c>
      <c r="AP4" s="108" t="s">
        <v>106</v>
      </c>
      <c r="AQ4" s="99" t="s">
        <v>68</v>
      </c>
      <c r="AR4" s="104" t="s">
        <v>105</v>
      </c>
      <c r="AS4" s="108" t="s">
        <v>106</v>
      </c>
      <c r="AT4" s="104" t="s">
        <v>105</v>
      </c>
      <c r="AU4" s="108" t="s">
        <v>106</v>
      </c>
      <c r="AV4" s="99" t="s">
        <v>68</v>
      </c>
      <c r="AW4" s="104" t="s">
        <v>105</v>
      </c>
      <c r="AX4" s="108" t="s">
        <v>106</v>
      </c>
      <c r="AY4" s="104" t="s">
        <v>105</v>
      </c>
      <c r="AZ4" s="108" t="s">
        <v>106</v>
      </c>
    </row>
    <row r="5" spans="1:52" x14ac:dyDescent="0.3">
      <c r="A5" t="s">
        <v>96</v>
      </c>
      <c r="B5" s="25">
        <v>45870</v>
      </c>
      <c r="C5" s="25">
        <v>45901</v>
      </c>
      <c r="D5" s="24">
        <v>16.545000076293899</v>
      </c>
      <c r="E5" s="7">
        <v>6.5357396057634506E-2</v>
      </c>
      <c r="F5" s="7">
        <v>0.14498271935515999</v>
      </c>
      <c r="G5" s="13"/>
      <c r="H5" s="14"/>
      <c r="I5" s="20">
        <v>0.225747995958196</v>
      </c>
      <c r="J5" s="21">
        <v>4</v>
      </c>
      <c r="K5" s="22">
        <v>0</v>
      </c>
      <c r="L5" s="21">
        <v>0</v>
      </c>
      <c r="M5" s="27">
        <v>2</v>
      </c>
      <c r="N5" s="29">
        <v>4</v>
      </c>
      <c r="O5" s="88"/>
      <c r="P5" s="29"/>
      <c r="Q5" s="29"/>
      <c r="R5" s="29"/>
      <c r="S5" s="98">
        <v>-2.95934265090632E-2</v>
      </c>
      <c r="T5" s="6">
        <v>999</v>
      </c>
      <c r="U5" s="41">
        <v>-2.95934265090632E-2</v>
      </c>
      <c r="V5" s="94">
        <v>999</v>
      </c>
      <c r="W5" s="97"/>
      <c r="AB5" s="91"/>
      <c r="AG5" s="91"/>
      <c r="AL5" s="93">
        <v>7</v>
      </c>
      <c r="AM5" s="41">
        <v>-2.95934265090632E-2</v>
      </c>
      <c r="AN5" s="6">
        <v>999</v>
      </c>
      <c r="AO5" s="41">
        <v>-2.95934265090632E-2</v>
      </c>
      <c r="AP5" s="84">
        <v>999</v>
      </c>
      <c r="AQ5" s="91">
        <v>7</v>
      </c>
      <c r="AR5" s="41">
        <v>-2.95934265090632E-2</v>
      </c>
      <c r="AS5" s="6">
        <v>999</v>
      </c>
      <c r="AT5" s="41">
        <v>-2.95934265090632E-2</v>
      </c>
      <c r="AU5" s="89">
        <v>999</v>
      </c>
      <c r="AV5" s="97"/>
    </row>
    <row r="6" spans="1:52" x14ac:dyDescent="0.3">
      <c r="A6" t="s">
        <v>38</v>
      </c>
      <c r="B6" s="25">
        <v>45870</v>
      </c>
      <c r="C6" s="25">
        <v>45901</v>
      </c>
      <c r="D6" s="24">
        <v>1.2749999761581401</v>
      </c>
      <c r="E6" s="2">
        <v>-0.64285714285714202</v>
      </c>
      <c r="F6" s="2">
        <v>-0.381067955546738</v>
      </c>
      <c r="I6" s="17">
        <v>0</v>
      </c>
      <c r="J6" s="18">
        <v>0</v>
      </c>
      <c r="K6" s="19">
        <v>-0.160784256893687</v>
      </c>
      <c r="L6" s="18">
        <v>8</v>
      </c>
      <c r="P6" s="28">
        <v>6</v>
      </c>
      <c r="S6" s="98">
        <v>1.3888875091518101E-2</v>
      </c>
      <c r="T6" s="6">
        <v>999</v>
      </c>
      <c r="U6" s="41">
        <v>1.3888875091518101E-2</v>
      </c>
      <c r="V6" s="94">
        <v>999</v>
      </c>
      <c r="W6" s="97">
        <v>7</v>
      </c>
      <c r="X6" s="41">
        <v>1.3888875091518101E-2</v>
      </c>
      <c r="Y6" s="6">
        <v>999</v>
      </c>
      <c r="Z6" s="41">
        <v>1.3888875091518101E-2</v>
      </c>
      <c r="AA6" s="84">
        <v>999</v>
      </c>
      <c r="AB6" s="91"/>
      <c r="AG6" s="91"/>
      <c r="AL6" s="93">
        <v>7</v>
      </c>
      <c r="AM6" s="41">
        <v>1.3888875091518101E-2</v>
      </c>
      <c r="AN6" s="6">
        <v>999</v>
      </c>
      <c r="AO6" s="41">
        <v>1.3888875091518101E-2</v>
      </c>
      <c r="AP6" s="84">
        <v>999</v>
      </c>
      <c r="AQ6" s="91"/>
      <c r="AV6" s="97"/>
    </row>
    <row r="7" spans="1:52" x14ac:dyDescent="0.3">
      <c r="A7" t="s">
        <v>90</v>
      </c>
      <c r="B7" s="25">
        <v>45870</v>
      </c>
      <c r="C7" s="25">
        <v>45901</v>
      </c>
      <c r="D7" s="24">
        <v>44.799999237060497</v>
      </c>
      <c r="E7" s="7"/>
      <c r="F7" s="7"/>
      <c r="G7" s="13"/>
      <c r="H7" s="14"/>
      <c r="I7" s="20">
        <v>0</v>
      </c>
      <c r="J7" s="21">
        <v>0</v>
      </c>
      <c r="K7" s="22">
        <v>-4.8437459953128703E-2</v>
      </c>
      <c r="L7" s="21">
        <v>3</v>
      </c>
      <c r="M7" s="27"/>
      <c r="N7" s="29"/>
      <c r="O7" s="88"/>
      <c r="P7" s="29"/>
      <c r="Q7" s="29"/>
      <c r="R7" s="29"/>
      <c r="S7" s="98">
        <v>1.4835904991403E-2</v>
      </c>
      <c r="T7" s="6">
        <v>999</v>
      </c>
      <c r="U7" s="41">
        <v>1.4835904991403E-2</v>
      </c>
      <c r="V7" s="94">
        <v>999</v>
      </c>
      <c r="W7" s="97"/>
      <c r="AB7" s="91"/>
      <c r="AG7" s="91"/>
      <c r="AL7" s="93"/>
      <c r="AQ7" s="91"/>
      <c r="AV7" s="97"/>
    </row>
    <row r="8" spans="1:52" x14ac:dyDescent="0.3">
      <c r="A8" t="s">
        <v>20</v>
      </c>
      <c r="B8" s="25">
        <v>45839</v>
      </c>
      <c r="C8" s="25">
        <v>45870</v>
      </c>
      <c r="D8" s="24">
        <v>6.3299999237060502</v>
      </c>
      <c r="E8" s="2">
        <v>-0.375190643739025</v>
      </c>
      <c r="F8" s="2">
        <v>-0.31649045556071498</v>
      </c>
      <c r="I8" s="17">
        <v>0.31121647563550398</v>
      </c>
      <c r="J8" s="18">
        <v>27</v>
      </c>
      <c r="K8" s="19">
        <v>-2.6856252502830101E-2</v>
      </c>
      <c r="L8" s="18">
        <v>2</v>
      </c>
      <c r="M8" s="26">
        <v>7</v>
      </c>
      <c r="N8" s="28">
        <v>17</v>
      </c>
      <c r="O8" s="87">
        <v>27</v>
      </c>
      <c r="S8" s="98">
        <v>0.19081785374151899</v>
      </c>
      <c r="T8" s="6">
        <v>27</v>
      </c>
      <c r="U8" s="41">
        <v>0.19081785374151899</v>
      </c>
      <c r="V8" s="94">
        <v>27</v>
      </c>
      <c r="W8" s="97"/>
      <c r="AB8" s="91"/>
      <c r="AG8" s="91"/>
      <c r="AL8" s="93">
        <v>7</v>
      </c>
      <c r="AM8" s="41">
        <v>6.2553840013534798E-2</v>
      </c>
      <c r="AN8" s="6">
        <v>999</v>
      </c>
      <c r="AO8" s="41">
        <v>6.2553840013534798E-2</v>
      </c>
      <c r="AP8" s="84">
        <v>999</v>
      </c>
      <c r="AQ8" s="91">
        <v>17</v>
      </c>
      <c r="AR8" s="41">
        <v>1.10820535862201E-2</v>
      </c>
      <c r="AS8" s="6">
        <v>999</v>
      </c>
      <c r="AT8" s="41">
        <v>1.10820535862201E-2</v>
      </c>
      <c r="AU8" s="89">
        <v>999</v>
      </c>
      <c r="AV8" s="97">
        <v>27</v>
      </c>
      <c r="AW8" s="41">
        <v>-1.8554227471541701E-2</v>
      </c>
      <c r="AX8" s="6">
        <v>999</v>
      </c>
      <c r="AY8" s="41">
        <v>-1.8554227471541701E-2</v>
      </c>
      <c r="AZ8" s="94">
        <v>999</v>
      </c>
    </row>
    <row r="9" spans="1:52" x14ac:dyDescent="0.3">
      <c r="A9" t="s">
        <v>13</v>
      </c>
      <c r="B9" s="25">
        <v>45778</v>
      </c>
      <c r="C9" s="25">
        <v>45809</v>
      </c>
      <c r="D9" s="24">
        <v>6.6150000095367396</v>
      </c>
      <c r="E9" s="2">
        <v>-0.71382013568966596</v>
      </c>
      <c r="F9" s="2">
        <v>-0.61360983146815296</v>
      </c>
      <c r="I9" s="17">
        <v>0.162509455197869</v>
      </c>
      <c r="J9" s="18">
        <v>58</v>
      </c>
      <c r="K9" s="19">
        <v>-9.2970522849600501E-2</v>
      </c>
      <c r="L9" s="18">
        <v>9</v>
      </c>
      <c r="M9" s="26">
        <v>50</v>
      </c>
      <c r="S9" s="98">
        <v>0.20344291359896999</v>
      </c>
      <c r="T9" s="6">
        <v>58</v>
      </c>
      <c r="U9" s="41">
        <v>0.20344291359896999</v>
      </c>
      <c r="V9" s="94">
        <v>58</v>
      </c>
      <c r="W9" s="97"/>
      <c r="AB9" s="91"/>
      <c r="AG9" s="91"/>
      <c r="AL9" s="93">
        <v>50</v>
      </c>
      <c r="AM9" s="41">
        <v>-3.8043492259783297E-2</v>
      </c>
      <c r="AN9" s="6">
        <v>999</v>
      </c>
      <c r="AO9" s="41">
        <v>-3.8043492259783297E-2</v>
      </c>
      <c r="AP9" s="84">
        <v>999</v>
      </c>
      <c r="AQ9" s="91"/>
      <c r="AV9" s="97"/>
    </row>
    <row r="10" spans="1:52" x14ac:dyDescent="0.3">
      <c r="A10" t="s">
        <v>18</v>
      </c>
      <c r="B10" s="25">
        <v>45778</v>
      </c>
      <c r="C10" s="25">
        <v>45809</v>
      </c>
      <c r="D10" s="24">
        <v>4.8650000095367396</v>
      </c>
      <c r="E10" s="2">
        <v>-0.40815086964769098</v>
      </c>
      <c r="F10" s="2">
        <v>-0.102398534860666</v>
      </c>
      <c r="I10" s="17">
        <v>0.42651593907834301</v>
      </c>
      <c r="J10" s="18">
        <v>35</v>
      </c>
      <c r="K10" s="19">
        <v>0</v>
      </c>
      <c r="L10" s="18">
        <v>0</v>
      </c>
      <c r="M10" s="26">
        <v>20</v>
      </c>
      <c r="N10" s="28">
        <v>34</v>
      </c>
      <c r="O10" s="87">
        <v>34</v>
      </c>
      <c r="S10" s="98">
        <v>0.36078435039117002</v>
      </c>
      <c r="T10" s="6">
        <v>35</v>
      </c>
      <c r="U10" s="41">
        <v>0.36078435039117002</v>
      </c>
      <c r="V10" s="94">
        <v>35</v>
      </c>
      <c r="W10" s="97"/>
      <c r="AB10" s="91"/>
      <c r="AG10" s="91"/>
      <c r="AL10" s="93">
        <v>20</v>
      </c>
      <c r="AM10" s="41">
        <v>4.4499696531970202E-2</v>
      </c>
      <c r="AN10" s="6">
        <v>999</v>
      </c>
      <c r="AO10" s="41">
        <v>4.4499696531970202E-2</v>
      </c>
      <c r="AP10" s="84">
        <v>999</v>
      </c>
      <c r="AQ10" s="91">
        <v>34</v>
      </c>
      <c r="AR10" s="41">
        <v>-0.151691741130344</v>
      </c>
      <c r="AS10" s="6">
        <v>999</v>
      </c>
      <c r="AT10" s="41">
        <v>-0.151691741130344</v>
      </c>
      <c r="AU10" s="89">
        <v>999</v>
      </c>
      <c r="AV10" s="97">
        <v>34</v>
      </c>
      <c r="AW10" s="41">
        <v>-0.151691741130344</v>
      </c>
      <c r="AX10" s="6">
        <v>999</v>
      </c>
      <c r="AY10" s="41">
        <v>-0.151691741130344</v>
      </c>
      <c r="AZ10" s="94">
        <v>999</v>
      </c>
    </row>
    <row r="11" spans="1:52" x14ac:dyDescent="0.3">
      <c r="A11" t="s">
        <v>46</v>
      </c>
      <c r="B11" s="25">
        <v>45748</v>
      </c>
      <c r="C11" s="25">
        <v>45778</v>
      </c>
      <c r="D11" s="24">
        <v>6.0799999237060502</v>
      </c>
      <c r="E11" s="2">
        <v>-0.64444445683787199</v>
      </c>
      <c r="F11" s="2">
        <v>-0.28047336556865399</v>
      </c>
      <c r="G11" s="15">
        <v>0.29769736274540198</v>
      </c>
      <c r="I11" s="17">
        <v>0.91282899019378105</v>
      </c>
      <c r="J11" s="18">
        <v>87</v>
      </c>
      <c r="K11" s="19">
        <v>-0.33223684313719898</v>
      </c>
      <c r="L11" s="18">
        <v>16</v>
      </c>
      <c r="M11" s="26">
        <v>58</v>
      </c>
      <c r="N11" s="28">
        <v>70</v>
      </c>
      <c r="O11" s="87">
        <v>73</v>
      </c>
      <c r="P11" s="28">
        <v>7</v>
      </c>
      <c r="Q11" s="28">
        <v>9</v>
      </c>
      <c r="R11" s="28">
        <v>14</v>
      </c>
      <c r="S11" s="98">
        <v>-0.21772641656695799</v>
      </c>
      <c r="T11" s="6">
        <v>16</v>
      </c>
      <c r="U11" s="41">
        <v>1.2408477815450001</v>
      </c>
      <c r="V11" s="94">
        <v>87</v>
      </c>
      <c r="W11" s="97">
        <v>7</v>
      </c>
      <c r="X11" s="41">
        <v>1.2408477815450001</v>
      </c>
      <c r="Y11" s="6">
        <v>87</v>
      </c>
      <c r="Z11" s="41">
        <v>1.2408477815450001</v>
      </c>
      <c r="AA11" s="84">
        <v>87</v>
      </c>
      <c r="AB11" s="91">
        <v>9</v>
      </c>
      <c r="AC11" s="41">
        <v>1.43305431045309</v>
      </c>
      <c r="AD11" s="6">
        <v>87</v>
      </c>
      <c r="AE11" s="41">
        <v>1.43305431045309</v>
      </c>
      <c r="AF11" s="84">
        <v>87</v>
      </c>
      <c r="AG11" s="91">
        <v>14</v>
      </c>
      <c r="AH11" s="41">
        <v>1.76904777204639</v>
      </c>
      <c r="AI11" s="6">
        <v>87</v>
      </c>
      <c r="AJ11" s="41">
        <v>1.76904777204639</v>
      </c>
      <c r="AK11" s="84">
        <v>87</v>
      </c>
      <c r="AL11" s="93">
        <v>7</v>
      </c>
      <c r="AM11" s="41">
        <v>1.2408477815450001</v>
      </c>
      <c r="AN11" s="6">
        <v>87</v>
      </c>
      <c r="AO11" s="41">
        <v>1.2408477815450001</v>
      </c>
      <c r="AP11" s="84">
        <v>87</v>
      </c>
      <c r="AQ11" s="91">
        <v>9</v>
      </c>
      <c r="AR11" s="41">
        <v>1.43305431045309</v>
      </c>
      <c r="AS11" s="6">
        <v>87</v>
      </c>
      <c r="AT11" s="41">
        <v>1.43305431045309</v>
      </c>
      <c r="AU11" s="89">
        <v>87</v>
      </c>
      <c r="AV11" s="97">
        <v>14</v>
      </c>
      <c r="AW11" s="41">
        <v>1.76904777204639</v>
      </c>
      <c r="AX11" s="6">
        <v>87</v>
      </c>
      <c r="AY11" s="41">
        <v>1.76904777204639</v>
      </c>
      <c r="AZ11" s="94">
        <v>87</v>
      </c>
    </row>
    <row r="12" spans="1:52" x14ac:dyDescent="0.3">
      <c r="A12" t="s">
        <v>50</v>
      </c>
      <c r="B12" s="25">
        <v>45748</v>
      </c>
      <c r="C12" s="25">
        <v>45778</v>
      </c>
      <c r="D12" s="24">
        <v>0.91000002622604304</v>
      </c>
      <c r="E12" s="2">
        <v>-0.79732737803694298</v>
      </c>
      <c r="F12" s="2">
        <v>-0.37671232708937902</v>
      </c>
      <c r="G12" s="15">
        <v>0.17582419957678</v>
      </c>
      <c r="I12" s="17">
        <v>0.45054946638451998</v>
      </c>
      <c r="J12" s="18">
        <v>83</v>
      </c>
      <c r="K12" s="19">
        <v>-0.37362639953830601</v>
      </c>
      <c r="L12" s="18">
        <v>24</v>
      </c>
      <c r="M12" s="26">
        <v>71</v>
      </c>
      <c r="N12" s="28">
        <v>74</v>
      </c>
      <c r="O12" s="87">
        <v>78</v>
      </c>
      <c r="P12" s="28">
        <v>4</v>
      </c>
      <c r="Q12" s="28">
        <v>5</v>
      </c>
      <c r="R12" s="28">
        <v>10</v>
      </c>
      <c r="S12" s="98">
        <v>-0.219178112391168</v>
      </c>
      <c r="T12" s="6">
        <v>11</v>
      </c>
      <c r="U12" s="41">
        <v>0.80821920268909897</v>
      </c>
      <c r="V12" s="94">
        <v>83</v>
      </c>
      <c r="W12" s="97">
        <v>7</v>
      </c>
      <c r="X12" s="41">
        <v>0.80821920268909897</v>
      </c>
      <c r="Y12" s="6">
        <v>83</v>
      </c>
      <c r="Z12" s="41">
        <v>0.80821920268909897</v>
      </c>
      <c r="AA12" s="84">
        <v>83</v>
      </c>
      <c r="AB12" s="91">
        <v>7</v>
      </c>
      <c r="AC12" s="41">
        <v>0.80821920268909897</v>
      </c>
      <c r="AD12" s="6">
        <v>83</v>
      </c>
      <c r="AE12" s="41">
        <v>0.80821920268909897</v>
      </c>
      <c r="AF12" s="84">
        <v>83</v>
      </c>
      <c r="AG12" s="91">
        <v>10</v>
      </c>
      <c r="AH12" s="41">
        <v>1.23728832394459</v>
      </c>
      <c r="AI12" s="6">
        <v>83</v>
      </c>
      <c r="AJ12" s="41">
        <v>1.23728832394459</v>
      </c>
      <c r="AK12" s="84">
        <v>83</v>
      </c>
      <c r="AL12" s="93">
        <v>7</v>
      </c>
      <c r="AM12" s="41">
        <v>0.80821920268909897</v>
      </c>
      <c r="AN12" s="6">
        <v>83</v>
      </c>
      <c r="AO12" s="41">
        <v>0.80821920268909897</v>
      </c>
      <c r="AP12" s="84">
        <v>83</v>
      </c>
      <c r="AQ12" s="91">
        <v>7</v>
      </c>
      <c r="AR12" s="41">
        <v>0.80821920268909897</v>
      </c>
      <c r="AS12" s="6">
        <v>83</v>
      </c>
      <c r="AT12" s="41">
        <v>0.80821920268909897</v>
      </c>
      <c r="AU12" s="89">
        <v>83</v>
      </c>
      <c r="AV12" s="97">
        <v>10</v>
      </c>
      <c r="AW12" s="41">
        <v>1.23728832394459</v>
      </c>
      <c r="AX12" s="6">
        <v>83</v>
      </c>
      <c r="AY12" s="41">
        <v>1.23728832394459</v>
      </c>
      <c r="AZ12" s="94">
        <v>83</v>
      </c>
    </row>
    <row r="13" spans="1:52" x14ac:dyDescent="0.3">
      <c r="A13" t="s">
        <v>26</v>
      </c>
      <c r="B13" s="25">
        <v>45658</v>
      </c>
      <c r="C13" s="25">
        <v>45689</v>
      </c>
      <c r="D13" s="24">
        <v>3.6899999380111601</v>
      </c>
      <c r="E13" s="2">
        <v>-0.28764477600481603</v>
      </c>
      <c r="F13" s="2">
        <v>-0.21321963902105801</v>
      </c>
      <c r="G13" s="15">
        <v>0.40650410417561</v>
      </c>
      <c r="H13" s="16">
        <v>1.62601796739241E-2</v>
      </c>
      <c r="I13" s="17">
        <v>0.50406511760707295</v>
      </c>
      <c r="J13" s="18">
        <v>74</v>
      </c>
      <c r="K13" s="19">
        <v>-0.26558263315104402</v>
      </c>
      <c r="L13" s="18">
        <v>127</v>
      </c>
      <c r="M13" s="26">
        <v>41</v>
      </c>
      <c r="N13" s="28">
        <v>41</v>
      </c>
      <c r="O13" s="87">
        <v>41</v>
      </c>
      <c r="P13" s="28">
        <v>27</v>
      </c>
      <c r="Q13" s="28">
        <v>126</v>
      </c>
      <c r="S13" s="98">
        <v>0.599423672903454</v>
      </c>
      <c r="T13" s="6">
        <v>74</v>
      </c>
      <c r="U13" s="41">
        <v>0.599423672903454</v>
      </c>
      <c r="V13" s="94">
        <v>74</v>
      </c>
      <c r="W13" s="97">
        <v>27</v>
      </c>
      <c r="X13" s="41">
        <v>0.77884628022681501</v>
      </c>
      <c r="Y13" s="6">
        <v>74</v>
      </c>
      <c r="Z13" s="41">
        <v>0.77884628022681501</v>
      </c>
      <c r="AA13" s="84">
        <v>74</v>
      </c>
      <c r="AB13" s="91">
        <v>126</v>
      </c>
      <c r="AC13" s="41">
        <v>0.22408160921833201</v>
      </c>
      <c r="AD13" s="6">
        <v>999</v>
      </c>
      <c r="AE13" s="41">
        <v>0.22408160921833201</v>
      </c>
      <c r="AF13" s="84">
        <v>999</v>
      </c>
      <c r="AG13" s="91"/>
      <c r="AL13" s="93">
        <v>27</v>
      </c>
      <c r="AM13" s="41">
        <v>0.77884628022681501</v>
      </c>
      <c r="AN13" s="6">
        <v>74</v>
      </c>
      <c r="AO13" s="41">
        <v>0.77884628022681501</v>
      </c>
      <c r="AP13" s="84">
        <v>74</v>
      </c>
      <c r="AQ13" s="91">
        <v>41</v>
      </c>
      <c r="AR13" s="41">
        <v>0.11222453813684501</v>
      </c>
      <c r="AS13" s="6">
        <v>74</v>
      </c>
      <c r="AT13" s="41">
        <v>0.11222453813684501</v>
      </c>
      <c r="AU13" s="89">
        <v>74</v>
      </c>
      <c r="AV13" s="97">
        <v>41</v>
      </c>
      <c r="AW13" s="41">
        <v>0.11222453813684501</v>
      </c>
      <c r="AX13" s="6">
        <v>74</v>
      </c>
      <c r="AY13" s="41">
        <v>0.11222453813684501</v>
      </c>
      <c r="AZ13" s="94">
        <v>74</v>
      </c>
    </row>
    <row r="14" spans="1:52" x14ac:dyDescent="0.3">
      <c r="A14" t="s">
        <v>21</v>
      </c>
      <c r="B14" s="25">
        <v>45627</v>
      </c>
      <c r="C14" s="25">
        <v>45658</v>
      </c>
      <c r="D14" s="24">
        <v>17.274999618530199</v>
      </c>
      <c r="E14" s="2">
        <v>-0.366984278527406</v>
      </c>
      <c r="F14" s="2">
        <v>-0.198747678736308</v>
      </c>
      <c r="G14" s="15">
        <v>-0.19479015024166099</v>
      </c>
      <c r="H14" s="16">
        <v>-0.110274950798133</v>
      </c>
      <c r="I14" s="17">
        <v>0.201736653389753</v>
      </c>
      <c r="J14" s="18">
        <v>26</v>
      </c>
      <c r="K14" s="19">
        <v>-0.30188129169737399</v>
      </c>
      <c r="L14" s="18">
        <v>83</v>
      </c>
      <c r="M14" s="26">
        <v>25</v>
      </c>
      <c r="N14" s="28">
        <v>26</v>
      </c>
      <c r="P14" s="28">
        <v>5</v>
      </c>
      <c r="Q14" s="28">
        <v>63</v>
      </c>
      <c r="R14" s="28">
        <v>83</v>
      </c>
      <c r="S14" s="98">
        <v>0.38862879556801</v>
      </c>
      <c r="T14" s="6">
        <v>26</v>
      </c>
      <c r="U14" s="41">
        <v>0.38862879556801</v>
      </c>
      <c r="V14" s="94">
        <v>26</v>
      </c>
      <c r="W14" s="97">
        <v>7</v>
      </c>
      <c r="X14" s="41">
        <v>3.5607132148620699E-2</v>
      </c>
      <c r="Y14" s="6">
        <v>999</v>
      </c>
      <c r="Z14" s="41">
        <v>3.5607132148620699E-2</v>
      </c>
      <c r="AA14" s="84">
        <v>999</v>
      </c>
      <c r="AB14" s="91">
        <v>63</v>
      </c>
      <c r="AC14" s="41">
        <v>0.182015901533783</v>
      </c>
      <c r="AD14" s="6">
        <v>146</v>
      </c>
      <c r="AE14" s="41">
        <v>0.182015901533783</v>
      </c>
      <c r="AF14" s="84">
        <v>146</v>
      </c>
      <c r="AG14" s="91">
        <v>83</v>
      </c>
      <c r="AH14" s="41">
        <v>0.35157534576425897</v>
      </c>
      <c r="AI14" s="6">
        <v>146</v>
      </c>
      <c r="AJ14" s="41">
        <v>0.35157534576425897</v>
      </c>
      <c r="AK14" s="84">
        <v>146</v>
      </c>
      <c r="AL14" s="93">
        <v>7</v>
      </c>
      <c r="AM14" s="41">
        <v>3.5607132148620699E-2</v>
      </c>
      <c r="AN14" s="6">
        <v>999</v>
      </c>
      <c r="AO14" s="41">
        <v>3.5607132148620699E-2</v>
      </c>
      <c r="AP14" s="84">
        <v>999</v>
      </c>
      <c r="AQ14" s="91">
        <v>26</v>
      </c>
      <c r="AR14" s="41">
        <v>-0.26559923500252902</v>
      </c>
      <c r="AS14" s="6">
        <v>999</v>
      </c>
      <c r="AT14" s="41">
        <v>-0.26559923500252902</v>
      </c>
      <c r="AU14" s="89">
        <v>999</v>
      </c>
      <c r="AV14" s="97">
        <v>83</v>
      </c>
      <c r="AW14" s="41">
        <v>0.35157534576425897</v>
      </c>
      <c r="AX14" s="6">
        <v>146</v>
      </c>
      <c r="AY14" s="41">
        <v>0.35157534576425897</v>
      </c>
      <c r="AZ14" s="94">
        <v>146</v>
      </c>
    </row>
    <row r="15" spans="1:52" x14ac:dyDescent="0.3">
      <c r="A15" t="s">
        <v>74</v>
      </c>
      <c r="B15" s="25">
        <v>45627</v>
      </c>
      <c r="C15" s="25">
        <v>45658</v>
      </c>
      <c r="D15" s="24">
        <v>11.119999885559</v>
      </c>
      <c r="E15" s="2">
        <v>-6.2555583064484097E-3</v>
      </c>
      <c r="F15" s="2">
        <v>-0.25016858106765399</v>
      </c>
      <c r="G15" s="15">
        <v>7.3740980509281198E-2</v>
      </c>
      <c r="H15" s="16">
        <v>0.93345325730810802</v>
      </c>
      <c r="I15" s="17">
        <v>1.01798568030555</v>
      </c>
      <c r="J15" s="18">
        <v>129</v>
      </c>
      <c r="K15" s="19">
        <v>-0.179856116958893</v>
      </c>
      <c r="L15" s="18">
        <v>60</v>
      </c>
      <c r="M15" s="26">
        <v>5</v>
      </c>
      <c r="N15" s="28">
        <v>8</v>
      </c>
      <c r="O15" s="87">
        <v>86</v>
      </c>
      <c r="P15" s="28">
        <v>40</v>
      </c>
      <c r="S15" s="98">
        <v>-0.21621622976162699</v>
      </c>
      <c r="T15" s="6">
        <v>38</v>
      </c>
      <c r="U15" s="41">
        <v>-0.30255253943715399</v>
      </c>
      <c r="V15" s="94">
        <v>59</v>
      </c>
      <c r="W15" s="97">
        <v>40</v>
      </c>
      <c r="X15" s="41">
        <v>1.3062694336879701</v>
      </c>
      <c r="Y15" s="6">
        <v>129</v>
      </c>
      <c r="Z15" s="41">
        <v>1.3062694336879701</v>
      </c>
      <c r="AA15" s="84">
        <v>129</v>
      </c>
      <c r="AB15" s="91"/>
      <c r="AG15" s="91"/>
      <c r="AL15" s="93">
        <v>7</v>
      </c>
      <c r="AM15" s="41">
        <v>0.68468476337707196</v>
      </c>
      <c r="AN15" s="6">
        <v>129</v>
      </c>
      <c r="AO15" s="41">
        <v>0.68468476337707196</v>
      </c>
      <c r="AP15" s="84">
        <v>129</v>
      </c>
      <c r="AQ15" s="91">
        <v>8</v>
      </c>
      <c r="AR15" s="41">
        <v>0.66964294900801202</v>
      </c>
      <c r="AS15" s="6">
        <v>129</v>
      </c>
      <c r="AT15" s="41">
        <v>0.66964294900801202</v>
      </c>
      <c r="AU15" s="89">
        <v>129</v>
      </c>
      <c r="AV15" s="97">
        <v>86</v>
      </c>
      <c r="AW15" s="41">
        <v>0.249443300554405</v>
      </c>
      <c r="AX15" s="6">
        <v>129</v>
      </c>
      <c r="AY15" s="41">
        <v>0.249443300554405</v>
      </c>
      <c r="AZ15" s="94">
        <v>129</v>
      </c>
    </row>
    <row r="16" spans="1:52" x14ac:dyDescent="0.3">
      <c r="A16" t="s">
        <v>14</v>
      </c>
      <c r="B16" s="25">
        <v>45627</v>
      </c>
      <c r="C16" s="25">
        <v>45658</v>
      </c>
      <c r="D16" s="24">
        <v>1.7250000238418499</v>
      </c>
      <c r="E16" s="2">
        <v>-0.13749998807907099</v>
      </c>
      <c r="F16" s="2">
        <v>0.134868450978786</v>
      </c>
      <c r="G16" s="15">
        <v>0.80289846499210205</v>
      </c>
      <c r="H16" s="16">
        <v>1.4869564652517999</v>
      </c>
      <c r="I16" s="17">
        <v>3.37101441022604</v>
      </c>
      <c r="J16" s="18">
        <v>113</v>
      </c>
      <c r="K16" s="19">
        <v>-1.44927396015118E-2</v>
      </c>
      <c r="L16" s="18">
        <v>7</v>
      </c>
      <c r="M16" s="26">
        <v>1</v>
      </c>
      <c r="N16" s="28">
        <v>11</v>
      </c>
      <c r="O16" s="87">
        <v>13</v>
      </c>
      <c r="S16" s="98">
        <v>3.43529397080101</v>
      </c>
      <c r="T16" s="6">
        <v>113</v>
      </c>
      <c r="U16" s="45">
        <v>3.43529397080101</v>
      </c>
      <c r="V16" s="94">
        <v>113</v>
      </c>
      <c r="W16" s="97"/>
      <c r="Z16" s="45"/>
      <c r="AB16" s="91"/>
      <c r="AE16" s="45"/>
      <c r="AG16" s="91"/>
      <c r="AJ16" s="45"/>
      <c r="AL16" s="93">
        <v>7</v>
      </c>
      <c r="AM16" s="41">
        <v>3.43529397080101</v>
      </c>
      <c r="AN16" s="6">
        <v>113</v>
      </c>
      <c r="AO16" s="45">
        <v>3.43529397080101</v>
      </c>
      <c r="AP16" s="84">
        <v>113</v>
      </c>
      <c r="AQ16" s="91">
        <v>11</v>
      </c>
      <c r="AR16" s="41">
        <v>2.4907405843705299</v>
      </c>
      <c r="AS16" s="6">
        <v>113</v>
      </c>
      <c r="AT16" s="45">
        <v>2.4907405843705299</v>
      </c>
      <c r="AU16" s="89">
        <v>113</v>
      </c>
      <c r="AV16" s="97">
        <v>13</v>
      </c>
      <c r="AW16" s="41">
        <v>2.3511110941569</v>
      </c>
      <c r="AX16" s="6">
        <v>113</v>
      </c>
      <c r="AY16" s="45">
        <v>2.3511110941569</v>
      </c>
      <c r="AZ16" s="94">
        <v>113</v>
      </c>
    </row>
    <row r="17" spans="1:52" x14ac:dyDescent="0.3">
      <c r="A17" t="s">
        <v>17</v>
      </c>
      <c r="B17" s="25">
        <v>45627</v>
      </c>
      <c r="C17" s="25">
        <v>45658</v>
      </c>
      <c r="D17" s="24">
        <v>8.875</v>
      </c>
      <c r="E17" s="2">
        <v>-0.21806170028949701</v>
      </c>
      <c r="F17" s="2">
        <v>-8.5993824394085303E-2</v>
      </c>
      <c r="G17" s="15">
        <v>0.205633781325649</v>
      </c>
      <c r="H17" s="16">
        <v>-6.2535245653609101E-2</v>
      </c>
      <c r="I17" s="17">
        <v>0.345352065395301</v>
      </c>
      <c r="J17" s="18">
        <v>108</v>
      </c>
      <c r="K17" s="19">
        <v>-7.9436611121808998E-2</v>
      </c>
      <c r="L17" s="18">
        <v>28</v>
      </c>
      <c r="M17" s="26">
        <v>30</v>
      </c>
      <c r="N17" s="28">
        <v>75</v>
      </c>
      <c r="O17" s="87">
        <v>99</v>
      </c>
      <c r="S17" s="98">
        <v>0.32962140189706801</v>
      </c>
      <c r="T17" s="6">
        <v>108</v>
      </c>
      <c r="U17" s="41">
        <v>0.32962140189706801</v>
      </c>
      <c r="V17" s="94">
        <v>108</v>
      </c>
      <c r="W17" s="97"/>
      <c r="AB17" s="91"/>
      <c r="AG17" s="91"/>
      <c r="AL17" s="93">
        <v>30</v>
      </c>
      <c r="AM17" s="41">
        <v>0.154738820520709</v>
      </c>
      <c r="AN17" s="6">
        <v>108</v>
      </c>
      <c r="AO17" s="41">
        <v>0.154738820520709</v>
      </c>
      <c r="AP17" s="84">
        <v>108</v>
      </c>
      <c r="AQ17" s="91">
        <v>75</v>
      </c>
      <c r="AR17" s="41">
        <v>0.11588783114224301</v>
      </c>
      <c r="AS17" s="6">
        <v>108</v>
      </c>
      <c r="AT17" s="41">
        <v>0.11588783114224301</v>
      </c>
      <c r="AU17" s="89">
        <v>108</v>
      </c>
      <c r="AV17" s="97">
        <v>99</v>
      </c>
      <c r="AW17" s="41">
        <v>-6.8481536595601203E-2</v>
      </c>
      <c r="AX17" s="6">
        <v>999</v>
      </c>
      <c r="AY17" s="41">
        <v>-6.8481536595601203E-2</v>
      </c>
      <c r="AZ17" s="94">
        <v>999</v>
      </c>
    </row>
    <row r="18" spans="1:52" x14ac:dyDescent="0.3">
      <c r="A18" t="s">
        <v>75</v>
      </c>
      <c r="B18" s="25">
        <v>45597</v>
      </c>
      <c r="C18" s="25">
        <v>45627</v>
      </c>
      <c r="D18" s="24">
        <v>7.5174999237060502</v>
      </c>
      <c r="E18" s="2">
        <v>1.2780303128275701</v>
      </c>
      <c r="F18" s="2">
        <v>1.7138989081117499</v>
      </c>
      <c r="G18" s="15">
        <v>0.31426673956920598</v>
      </c>
      <c r="H18" s="16">
        <v>0.24110409290253099</v>
      </c>
      <c r="I18" s="17">
        <v>1.6844031273667399</v>
      </c>
      <c r="J18" s="18">
        <v>23</v>
      </c>
      <c r="K18" s="19">
        <v>-9.0123016693582206E-2</v>
      </c>
      <c r="L18" s="18">
        <v>8</v>
      </c>
      <c r="M18" s="26">
        <v>4</v>
      </c>
      <c r="N18" s="28">
        <v>22</v>
      </c>
      <c r="O18" s="87">
        <v>22</v>
      </c>
      <c r="S18" s="98">
        <v>0.35521385125263699</v>
      </c>
      <c r="T18" s="6">
        <v>999</v>
      </c>
      <c r="U18" s="41">
        <v>0.35521385125263699</v>
      </c>
      <c r="V18" s="94">
        <v>999</v>
      </c>
      <c r="W18" s="97"/>
      <c r="AB18" s="91"/>
      <c r="AG18" s="91"/>
      <c r="AL18" s="93">
        <v>7</v>
      </c>
      <c r="AM18" s="41">
        <v>0.35521385125263699</v>
      </c>
      <c r="AN18" s="6">
        <v>999</v>
      </c>
      <c r="AO18" s="41">
        <v>0.35521385125263699</v>
      </c>
      <c r="AP18" s="84">
        <v>999</v>
      </c>
      <c r="AQ18" s="91">
        <v>22</v>
      </c>
      <c r="AR18" s="41">
        <v>-0.45570406996113499</v>
      </c>
      <c r="AS18" s="6">
        <v>999</v>
      </c>
      <c r="AT18" s="41">
        <v>-0.45570406996113499</v>
      </c>
      <c r="AU18" s="89">
        <v>999</v>
      </c>
      <c r="AV18" s="97">
        <v>22</v>
      </c>
      <c r="AW18" s="41">
        <v>-0.45570406996113499</v>
      </c>
      <c r="AX18" s="6">
        <v>999</v>
      </c>
      <c r="AY18" s="41">
        <v>-0.45570406996113499</v>
      </c>
      <c r="AZ18" s="94">
        <v>999</v>
      </c>
    </row>
    <row r="19" spans="1:52" x14ac:dyDescent="0.3">
      <c r="A19" t="s">
        <v>11</v>
      </c>
      <c r="B19" s="25">
        <v>45566</v>
      </c>
      <c r="C19" s="25">
        <v>45597</v>
      </c>
      <c r="D19" s="24">
        <v>8</v>
      </c>
      <c r="E19" s="2">
        <v>-0.70046774777070298</v>
      </c>
      <c r="F19" s="2">
        <v>-0.18116687562252301</v>
      </c>
      <c r="G19" s="15">
        <v>0.36249995231628301</v>
      </c>
      <c r="H19" s="16">
        <v>-0.59999999403953497</v>
      </c>
      <c r="I19" s="17">
        <v>1.0374999046325599</v>
      </c>
      <c r="J19" s="18">
        <v>41</v>
      </c>
      <c r="K19" s="19">
        <v>-0.68874999880790699</v>
      </c>
      <c r="L19" s="18">
        <v>142</v>
      </c>
      <c r="M19" s="26">
        <v>2</v>
      </c>
      <c r="N19" s="28">
        <v>6</v>
      </c>
      <c r="O19" s="87">
        <v>18</v>
      </c>
      <c r="P19" s="28">
        <v>103</v>
      </c>
      <c r="Q19" s="28">
        <v>104</v>
      </c>
      <c r="R19" s="28">
        <v>104</v>
      </c>
      <c r="S19" s="98">
        <v>0.735889099157649</v>
      </c>
      <c r="T19" s="6">
        <v>41</v>
      </c>
      <c r="U19" s="41">
        <v>0.735889099157649</v>
      </c>
      <c r="V19" s="94">
        <v>41</v>
      </c>
      <c r="W19" s="97">
        <v>103</v>
      </c>
      <c r="X19" s="41">
        <v>2.3965135274922798E-2</v>
      </c>
      <c r="Y19" s="6">
        <v>130</v>
      </c>
      <c r="Z19" s="41">
        <v>2.3965135274922798E-2</v>
      </c>
      <c r="AA19" s="84">
        <v>130</v>
      </c>
      <c r="AB19" s="91">
        <v>104</v>
      </c>
      <c r="AC19" s="41">
        <v>0.291208817120724</v>
      </c>
      <c r="AD19" s="6">
        <v>130</v>
      </c>
      <c r="AE19" s="41">
        <v>0.291208817120724</v>
      </c>
      <c r="AF19" s="84">
        <v>130</v>
      </c>
      <c r="AG19" s="91">
        <v>104</v>
      </c>
      <c r="AH19" s="41">
        <v>0.291208817120724</v>
      </c>
      <c r="AI19" s="6">
        <v>130</v>
      </c>
      <c r="AJ19" s="41">
        <v>0.291208817120724</v>
      </c>
      <c r="AK19" s="84">
        <v>130</v>
      </c>
      <c r="AL19" s="93">
        <v>7</v>
      </c>
      <c r="AM19" s="41">
        <v>0.735889099157649</v>
      </c>
      <c r="AN19" s="6">
        <v>41</v>
      </c>
      <c r="AO19" s="41">
        <v>0.735889099157649</v>
      </c>
      <c r="AP19" s="84">
        <v>41</v>
      </c>
      <c r="AQ19" s="91">
        <v>7</v>
      </c>
      <c r="AR19" s="41">
        <v>0.735889099157649</v>
      </c>
      <c r="AS19" s="6">
        <v>41</v>
      </c>
      <c r="AT19" s="41">
        <v>0.735889099157649</v>
      </c>
      <c r="AU19" s="89">
        <v>41</v>
      </c>
      <c r="AV19" s="97">
        <v>18</v>
      </c>
      <c r="AW19" s="41">
        <v>-8.9827343594593295E-2</v>
      </c>
      <c r="AX19" s="6">
        <v>999</v>
      </c>
      <c r="AY19" s="41">
        <v>-8.9827343594593295E-2</v>
      </c>
      <c r="AZ19" s="94">
        <v>999</v>
      </c>
    </row>
    <row r="20" spans="1:52" x14ac:dyDescent="0.3">
      <c r="A20" t="s">
        <v>80</v>
      </c>
      <c r="B20" s="25">
        <v>45536</v>
      </c>
      <c r="C20" s="25">
        <v>45566</v>
      </c>
      <c r="D20" s="24">
        <v>50.308662414550703</v>
      </c>
      <c r="E20" s="2">
        <v>-7.5986168498505202E-2</v>
      </c>
      <c r="F20" s="2">
        <v>6.4922656905767401E-2</v>
      </c>
      <c r="G20" s="15">
        <v>1.0035930838935701E-2</v>
      </c>
      <c r="H20" s="16">
        <v>-0.122095623377232</v>
      </c>
      <c r="I20" s="17">
        <v>9.9910116033270394E-2</v>
      </c>
      <c r="J20" s="18">
        <v>43</v>
      </c>
      <c r="K20" s="19">
        <v>-0.39478101266033899</v>
      </c>
      <c r="L20" s="18">
        <v>127</v>
      </c>
      <c r="P20" s="28">
        <v>56</v>
      </c>
      <c r="Q20" s="28">
        <v>126</v>
      </c>
      <c r="R20" s="28">
        <v>126</v>
      </c>
      <c r="S20" s="98">
        <v>0.14644813632054801</v>
      </c>
      <c r="T20" s="6">
        <v>43</v>
      </c>
      <c r="U20" s="41">
        <v>0.14644813632054801</v>
      </c>
      <c r="V20" s="94">
        <v>43</v>
      </c>
      <c r="W20" s="97">
        <v>56</v>
      </c>
      <c r="X20" s="41">
        <v>0.20815161542111801</v>
      </c>
      <c r="Y20" s="6">
        <v>94</v>
      </c>
      <c r="Z20" s="41">
        <v>0.20815161542111801</v>
      </c>
      <c r="AA20" s="84">
        <v>94</v>
      </c>
      <c r="AB20" s="91">
        <v>126</v>
      </c>
      <c r="AC20" s="41">
        <v>0.124556285089632</v>
      </c>
      <c r="AD20" s="6">
        <v>999</v>
      </c>
      <c r="AE20" s="41">
        <v>0.124556285089632</v>
      </c>
      <c r="AF20" s="84">
        <v>999</v>
      </c>
      <c r="AG20" s="91">
        <v>126</v>
      </c>
      <c r="AH20" s="41">
        <v>0.124556285089632</v>
      </c>
      <c r="AI20" s="6">
        <v>999</v>
      </c>
      <c r="AJ20" s="41">
        <v>0.124556285089632</v>
      </c>
      <c r="AK20" s="84">
        <v>999</v>
      </c>
      <c r="AL20" s="93">
        <v>56</v>
      </c>
      <c r="AM20" s="41">
        <v>0.20815161542111801</v>
      </c>
      <c r="AN20" s="6">
        <v>94</v>
      </c>
      <c r="AO20" s="41">
        <v>0.20815161542111801</v>
      </c>
      <c r="AP20" s="84">
        <v>94</v>
      </c>
      <c r="AQ20" s="91">
        <v>126</v>
      </c>
      <c r="AR20" s="41">
        <v>0.124556285089632</v>
      </c>
      <c r="AS20" s="6">
        <v>999</v>
      </c>
      <c r="AT20" s="41">
        <v>0.124556285089632</v>
      </c>
      <c r="AU20" s="89">
        <v>999</v>
      </c>
      <c r="AV20" s="97">
        <v>126</v>
      </c>
      <c r="AW20" s="41">
        <v>0.124556285089632</v>
      </c>
      <c r="AX20" s="6">
        <v>999</v>
      </c>
      <c r="AY20" s="41">
        <v>0.124556285089632</v>
      </c>
      <c r="AZ20" s="94">
        <v>999</v>
      </c>
    </row>
    <row r="21" spans="1:52" x14ac:dyDescent="0.3">
      <c r="A21" t="s">
        <v>78</v>
      </c>
      <c r="B21" s="25">
        <v>45536</v>
      </c>
      <c r="C21" s="25">
        <v>45566</v>
      </c>
      <c r="D21" s="24">
        <v>18.4699993133544</v>
      </c>
      <c r="E21" s="2">
        <v>9.0962727727057699E-2</v>
      </c>
      <c r="F21" s="2">
        <v>-5.1361070121563802E-2</v>
      </c>
      <c r="G21" s="15">
        <v>0.118029257510559</v>
      </c>
      <c r="H21" s="16">
        <v>-0.172171059540982</v>
      </c>
      <c r="I21" s="17">
        <v>0.23064430900123001</v>
      </c>
      <c r="J21" s="18">
        <v>93</v>
      </c>
      <c r="K21" s="19">
        <v>-0.25554951211837601</v>
      </c>
      <c r="L21" s="18">
        <v>129</v>
      </c>
      <c r="M21" s="26">
        <v>20</v>
      </c>
      <c r="N21" s="28">
        <v>43</v>
      </c>
      <c r="P21" s="28">
        <v>108</v>
      </c>
      <c r="Q21" s="28">
        <v>127</v>
      </c>
      <c r="S21" s="98">
        <v>0.23131097884806001</v>
      </c>
      <c r="T21" s="6">
        <v>93</v>
      </c>
      <c r="U21" s="41">
        <v>0.23131097884806001</v>
      </c>
      <c r="V21" s="94">
        <v>93</v>
      </c>
      <c r="W21" s="97">
        <v>108</v>
      </c>
      <c r="X21" s="41">
        <v>-4.3574745065884803E-2</v>
      </c>
      <c r="Y21" s="6">
        <v>999</v>
      </c>
      <c r="Z21" s="41">
        <v>-4.3574745065884803E-2</v>
      </c>
      <c r="AA21" s="84">
        <v>999</v>
      </c>
      <c r="AB21" s="91">
        <v>127</v>
      </c>
      <c r="AC21" s="41">
        <v>5.1142996022930903E-2</v>
      </c>
      <c r="AD21" s="6">
        <v>999</v>
      </c>
      <c r="AE21" s="41">
        <v>5.1142996022930903E-2</v>
      </c>
      <c r="AF21" s="84">
        <v>999</v>
      </c>
      <c r="AG21" s="91"/>
      <c r="AL21" s="93">
        <v>20</v>
      </c>
      <c r="AM21" s="41">
        <v>9.33140231494686E-2</v>
      </c>
      <c r="AN21" s="6">
        <v>93</v>
      </c>
      <c r="AO21" s="41">
        <v>9.33140231494686E-2</v>
      </c>
      <c r="AP21" s="84">
        <v>93</v>
      </c>
      <c r="AQ21" s="91">
        <v>43</v>
      </c>
      <c r="AR21" s="41">
        <v>1.7457447940225801E-2</v>
      </c>
      <c r="AS21" s="6">
        <v>93</v>
      </c>
      <c r="AT21" s="41">
        <v>1.7457447940225801E-2</v>
      </c>
      <c r="AU21" s="89">
        <v>93</v>
      </c>
      <c r="AV21" s="97"/>
    </row>
    <row r="22" spans="1:52" x14ac:dyDescent="0.3">
      <c r="A22" t="s">
        <v>9</v>
      </c>
      <c r="B22" s="25">
        <v>45536</v>
      </c>
      <c r="C22" s="25">
        <v>45566</v>
      </c>
      <c r="D22" s="24">
        <v>14.4799995422363</v>
      </c>
      <c r="E22" s="2">
        <v>-0.375053970886632</v>
      </c>
      <c r="F22" s="2">
        <v>-0.46171004655845099</v>
      </c>
      <c r="G22" s="15">
        <v>-0.58977898860464495</v>
      </c>
      <c r="H22" s="16">
        <v>-0.90676795120717502</v>
      </c>
      <c r="I22" s="17">
        <v>0.29903315335583902</v>
      </c>
      <c r="J22" s="18">
        <v>49</v>
      </c>
      <c r="K22" s="19">
        <v>-0.93191298232014197</v>
      </c>
      <c r="L22" s="18">
        <v>136</v>
      </c>
      <c r="M22" s="26">
        <v>1</v>
      </c>
      <c r="N22" s="28">
        <v>1</v>
      </c>
      <c r="P22" s="28">
        <v>55</v>
      </c>
      <c r="Q22" s="28">
        <v>56</v>
      </c>
      <c r="R22" s="28">
        <v>69</v>
      </c>
      <c r="S22" s="98">
        <v>0.18153262410795101</v>
      </c>
      <c r="T22" s="6">
        <v>49</v>
      </c>
      <c r="U22" s="41">
        <v>0.18153262410795101</v>
      </c>
      <c r="V22" s="94">
        <v>49</v>
      </c>
      <c r="W22" s="97">
        <v>55</v>
      </c>
      <c r="X22" s="41">
        <v>-0.62374362531556304</v>
      </c>
      <c r="Y22" s="6">
        <v>999</v>
      </c>
      <c r="Z22" s="41">
        <v>-0.62374362531556304</v>
      </c>
      <c r="AA22" s="84">
        <v>999</v>
      </c>
      <c r="AB22" s="91">
        <v>56</v>
      </c>
      <c r="AC22" s="41">
        <v>-0.60009590007077096</v>
      </c>
      <c r="AD22" s="6">
        <v>999</v>
      </c>
      <c r="AE22" s="41">
        <v>-0.60009590007077096</v>
      </c>
      <c r="AF22" s="84">
        <v>999</v>
      </c>
      <c r="AG22" s="91">
        <v>69</v>
      </c>
      <c r="AH22" s="41">
        <v>-0.50977691577312401</v>
      </c>
      <c r="AI22" s="6">
        <v>999</v>
      </c>
      <c r="AJ22" s="41">
        <v>-0.50977691577312401</v>
      </c>
      <c r="AK22" s="84">
        <v>999</v>
      </c>
      <c r="AL22" s="93">
        <v>7</v>
      </c>
      <c r="AM22" s="41">
        <v>0.18153262410795101</v>
      </c>
      <c r="AN22" s="6">
        <v>49</v>
      </c>
      <c r="AO22" s="41">
        <v>0.18153262410795101</v>
      </c>
      <c r="AP22" s="84">
        <v>49</v>
      </c>
      <c r="AQ22" s="91">
        <v>7</v>
      </c>
      <c r="AR22" s="41">
        <v>0.18153262410795101</v>
      </c>
      <c r="AS22" s="6">
        <v>49</v>
      </c>
      <c r="AT22" s="41">
        <v>0.18153262410795101</v>
      </c>
      <c r="AU22" s="89">
        <v>49</v>
      </c>
      <c r="AV22" s="97">
        <v>69</v>
      </c>
      <c r="AW22" s="41">
        <v>-0.50977691577312401</v>
      </c>
      <c r="AX22" s="6">
        <v>999</v>
      </c>
      <c r="AY22" s="41">
        <v>-0.50977691577312401</v>
      </c>
      <c r="AZ22" s="94">
        <v>999</v>
      </c>
    </row>
    <row r="23" spans="1:52" x14ac:dyDescent="0.3">
      <c r="A23" t="s">
        <v>73</v>
      </c>
      <c r="B23" s="25">
        <v>45536</v>
      </c>
      <c r="C23" s="25">
        <v>45566</v>
      </c>
      <c r="J23" s="18">
        <v>67</v>
      </c>
      <c r="L23" s="18">
        <v>128</v>
      </c>
      <c r="T23" s="6">
        <v>67</v>
      </c>
      <c r="V23" s="94">
        <v>67</v>
      </c>
      <c r="W23" s="97"/>
      <c r="AB23" s="91"/>
      <c r="AG23" s="91"/>
      <c r="AL23" s="93"/>
      <c r="AQ23" s="91"/>
      <c r="AV23" s="97"/>
    </row>
    <row r="24" spans="1:52" x14ac:dyDescent="0.3">
      <c r="A24" t="s">
        <v>76</v>
      </c>
      <c r="B24" s="25">
        <v>45505</v>
      </c>
      <c r="C24" s="25">
        <v>45536</v>
      </c>
      <c r="D24" s="24">
        <v>2.79500007629394</v>
      </c>
      <c r="E24" s="2">
        <v>-0.35894495626058098</v>
      </c>
      <c r="F24" s="2">
        <v>-0.15303026767254199</v>
      </c>
      <c r="G24" s="15">
        <v>-0.27370307120654203</v>
      </c>
      <c r="H24" s="16">
        <v>-0.83542039506682497</v>
      </c>
      <c r="I24" s="17">
        <v>5.18783459636886E-2</v>
      </c>
      <c r="J24" s="18">
        <v>10</v>
      </c>
      <c r="K24" s="19">
        <v>-0.867620753249146</v>
      </c>
      <c r="L24" s="18">
        <v>149</v>
      </c>
      <c r="P24" s="28">
        <v>22</v>
      </c>
      <c r="Q24" s="28">
        <v>51</v>
      </c>
      <c r="R24" s="28">
        <v>89</v>
      </c>
      <c r="S24" s="98">
        <v>-0.22222218424236001</v>
      </c>
      <c r="T24" s="6">
        <v>51</v>
      </c>
      <c r="U24" s="41">
        <v>-0.31899641500488601</v>
      </c>
      <c r="V24" s="94">
        <v>89</v>
      </c>
      <c r="W24" s="97">
        <v>22</v>
      </c>
      <c r="X24" s="41">
        <v>-0.30049789789030201</v>
      </c>
      <c r="Y24" s="6">
        <v>999</v>
      </c>
      <c r="Z24" s="41">
        <v>-0.30049789789030201</v>
      </c>
      <c r="AA24" s="84">
        <v>999</v>
      </c>
      <c r="AB24" s="91">
        <v>51</v>
      </c>
      <c r="AC24" s="41">
        <v>-0.30078343339771701</v>
      </c>
      <c r="AD24" s="6">
        <v>999</v>
      </c>
      <c r="AE24" s="41">
        <v>-0.30078343339771701</v>
      </c>
      <c r="AF24" s="84">
        <v>999</v>
      </c>
      <c r="AG24" s="91">
        <v>89</v>
      </c>
      <c r="AH24" s="41">
        <v>-0.41069608880489</v>
      </c>
      <c r="AI24" s="6">
        <v>999</v>
      </c>
      <c r="AJ24" s="41">
        <v>-0.41069608880489</v>
      </c>
      <c r="AK24" s="84">
        <v>999</v>
      </c>
      <c r="AL24" s="93">
        <v>22</v>
      </c>
      <c r="AM24" s="41">
        <v>-0.30049789789030201</v>
      </c>
      <c r="AN24" s="6">
        <v>999</v>
      </c>
      <c r="AO24" s="41">
        <v>-0.30049789789030201</v>
      </c>
      <c r="AP24" s="84">
        <v>999</v>
      </c>
      <c r="AQ24" s="91">
        <v>51</v>
      </c>
      <c r="AR24" s="41">
        <v>-0.30078343339771701</v>
      </c>
      <c r="AS24" s="6">
        <v>999</v>
      </c>
      <c r="AT24" s="41">
        <v>-0.30078343339771701</v>
      </c>
      <c r="AU24" s="89">
        <v>999</v>
      </c>
      <c r="AV24" s="97">
        <v>89</v>
      </c>
      <c r="AW24" s="41">
        <v>-0.41069608880489</v>
      </c>
      <c r="AX24" s="6">
        <v>999</v>
      </c>
      <c r="AY24" s="41">
        <v>-0.41069608880489</v>
      </c>
      <c r="AZ24" s="94">
        <v>999</v>
      </c>
    </row>
    <row r="25" spans="1:52" x14ac:dyDescent="0.3">
      <c r="A25" t="s">
        <v>10</v>
      </c>
      <c r="B25" s="25">
        <v>45505</v>
      </c>
      <c r="C25" s="25">
        <v>45536</v>
      </c>
      <c r="D25" s="24">
        <v>45.574998855590799</v>
      </c>
      <c r="E25" s="2">
        <v>-5.1706251491728403E-2</v>
      </c>
      <c r="F25" s="2">
        <v>5.7915434505334297E-2</v>
      </c>
      <c r="G25" s="15">
        <v>-0.18902907268117899</v>
      </c>
      <c r="H25" s="16">
        <v>-0.32046077693855302</v>
      </c>
      <c r="I25" s="17">
        <v>7.3176106978929095E-2</v>
      </c>
      <c r="J25" s="18">
        <v>30</v>
      </c>
      <c r="K25" s="19">
        <v>-0.429292355852881</v>
      </c>
      <c r="L25" s="18">
        <v>149</v>
      </c>
      <c r="P25" s="28">
        <v>5</v>
      </c>
      <c r="Q25" s="28">
        <v>127</v>
      </c>
      <c r="R25" s="28">
        <v>129</v>
      </c>
      <c r="S25" s="98">
        <v>0.181686411419576</v>
      </c>
      <c r="T25" s="6">
        <v>30</v>
      </c>
      <c r="U25" s="41">
        <v>0.181686411419576</v>
      </c>
      <c r="V25" s="94">
        <v>30</v>
      </c>
      <c r="W25" s="97">
        <v>7</v>
      </c>
      <c r="X25" s="41">
        <v>-1.5667350644016202E-2</v>
      </c>
      <c r="Y25" s="6">
        <v>999</v>
      </c>
      <c r="Z25" s="41">
        <v>-1.5667350644016202E-2</v>
      </c>
      <c r="AA25" s="84">
        <v>999</v>
      </c>
      <c r="AB25" s="91">
        <v>127</v>
      </c>
      <c r="AC25" s="41">
        <v>-0.105031531581028</v>
      </c>
      <c r="AD25" s="6">
        <v>999</v>
      </c>
      <c r="AE25" s="41">
        <v>-0.105031531581028</v>
      </c>
      <c r="AF25" s="84">
        <v>999</v>
      </c>
      <c r="AG25" s="91">
        <v>129</v>
      </c>
      <c r="AH25" s="41">
        <v>-5.3154629968879099E-3</v>
      </c>
      <c r="AI25" s="6">
        <v>999</v>
      </c>
      <c r="AJ25" s="41">
        <v>-5.3154629968879099E-3</v>
      </c>
      <c r="AK25" s="84">
        <v>999</v>
      </c>
      <c r="AL25" s="93">
        <v>7</v>
      </c>
      <c r="AM25" s="41">
        <v>-1.5667350644016202E-2</v>
      </c>
      <c r="AN25" s="6">
        <v>999</v>
      </c>
      <c r="AO25" s="41">
        <v>-1.5667350644016202E-2</v>
      </c>
      <c r="AP25" s="84">
        <v>999</v>
      </c>
      <c r="AQ25" s="91">
        <v>127</v>
      </c>
      <c r="AR25" s="41">
        <v>-0.105031531581028</v>
      </c>
      <c r="AS25" s="6">
        <v>999</v>
      </c>
      <c r="AT25" s="41">
        <v>-0.105031531581028</v>
      </c>
      <c r="AU25" s="89">
        <v>999</v>
      </c>
      <c r="AV25" s="97">
        <v>129</v>
      </c>
      <c r="AW25" s="41">
        <v>-5.3154629968879099E-3</v>
      </c>
      <c r="AX25" s="6">
        <v>999</v>
      </c>
      <c r="AY25" s="41">
        <v>-5.3154629968879099E-3</v>
      </c>
      <c r="AZ25" s="94">
        <v>999</v>
      </c>
    </row>
    <row r="26" spans="1:52" x14ac:dyDescent="0.3">
      <c r="A26" t="s">
        <v>79</v>
      </c>
      <c r="B26" s="25">
        <v>45444</v>
      </c>
      <c r="C26" s="25">
        <v>45474</v>
      </c>
      <c r="T26" s="6">
        <v>999</v>
      </c>
      <c r="V26" s="94">
        <v>999</v>
      </c>
      <c r="W26" s="97"/>
      <c r="AB26" s="91"/>
      <c r="AG26" s="91"/>
      <c r="AL26" s="93"/>
      <c r="AQ26" s="91"/>
      <c r="AV26" s="97"/>
    </row>
    <row r="27" spans="1:52" x14ac:dyDescent="0.3">
      <c r="A27" t="s">
        <v>52</v>
      </c>
      <c r="B27" s="25">
        <v>45413</v>
      </c>
      <c r="C27" s="25">
        <v>45444</v>
      </c>
      <c r="D27" s="24">
        <v>31.334048271179199</v>
      </c>
      <c r="E27" s="2">
        <v>-0.110915428738056</v>
      </c>
      <c r="F27" s="2">
        <v>-7.2890663853151204E-3</v>
      </c>
      <c r="G27" s="15">
        <v>0.27965024244637898</v>
      </c>
      <c r="H27" s="16">
        <v>0.121187397262325</v>
      </c>
      <c r="I27" s="17">
        <v>0.32744053157080499</v>
      </c>
      <c r="J27" s="18">
        <v>122</v>
      </c>
      <c r="K27" s="19">
        <v>-5.5460120974073199E-2</v>
      </c>
      <c r="L27" s="18">
        <v>19</v>
      </c>
      <c r="M27" s="26">
        <v>27</v>
      </c>
      <c r="N27" s="28">
        <v>34</v>
      </c>
      <c r="O27" s="87">
        <v>111</v>
      </c>
      <c r="S27" s="98">
        <v>0.36870931057465101</v>
      </c>
      <c r="T27" s="6">
        <v>122</v>
      </c>
      <c r="U27" s="41">
        <v>0.36870931057465101</v>
      </c>
      <c r="V27" s="94">
        <v>122</v>
      </c>
      <c r="W27" s="97"/>
      <c r="AB27" s="91"/>
      <c r="AG27" s="91"/>
      <c r="AL27" s="93">
        <v>27</v>
      </c>
      <c r="AM27" s="41">
        <v>0.20558274889460601</v>
      </c>
      <c r="AN27" s="6">
        <v>122</v>
      </c>
      <c r="AO27" s="41">
        <v>0.20558274889460601</v>
      </c>
      <c r="AP27" s="84">
        <v>122</v>
      </c>
      <c r="AQ27" s="91">
        <v>34</v>
      </c>
      <c r="AR27" s="41">
        <v>8.9352209667661095E-2</v>
      </c>
      <c r="AS27" s="6">
        <v>122</v>
      </c>
      <c r="AT27" s="41">
        <v>8.9352209667661095E-2</v>
      </c>
      <c r="AU27" s="89">
        <v>122</v>
      </c>
      <c r="AV27" s="97">
        <v>111</v>
      </c>
      <c r="AW27" s="41">
        <v>-5.11916031868212E-2</v>
      </c>
      <c r="AX27" s="6">
        <v>999</v>
      </c>
      <c r="AY27" s="41">
        <v>-5.11916031868212E-2</v>
      </c>
      <c r="AZ27" s="94">
        <v>999</v>
      </c>
    </row>
    <row r="28" spans="1:52" ht="15" customHeight="1" x14ac:dyDescent="0.3">
      <c r="A28" t="s">
        <v>77</v>
      </c>
      <c r="B28" s="25">
        <v>45413</v>
      </c>
      <c r="C28" s="25">
        <v>45444</v>
      </c>
      <c r="D28" s="24">
        <v>4.8611931800842196</v>
      </c>
      <c r="E28" s="2">
        <v>0.17442448118836501</v>
      </c>
      <c r="F28" s="2">
        <v>0.19407874200939099</v>
      </c>
      <c r="G28" s="15">
        <v>0.10812022096664101</v>
      </c>
      <c r="H28" s="16">
        <v>-0.23222503426058</v>
      </c>
      <c r="I28" s="17">
        <v>0.223349457132512</v>
      </c>
      <c r="J28" s="18">
        <v>71</v>
      </c>
      <c r="K28" s="19">
        <v>-0.27139725391555403</v>
      </c>
      <c r="L28" s="18">
        <v>145</v>
      </c>
      <c r="M28" s="26">
        <v>71</v>
      </c>
      <c r="N28" s="28">
        <v>71</v>
      </c>
      <c r="P28" s="28">
        <v>15</v>
      </c>
      <c r="Q28" s="28">
        <v>19</v>
      </c>
      <c r="S28" s="98">
        <v>0.33782488288056101</v>
      </c>
      <c r="T28" s="6">
        <v>71</v>
      </c>
      <c r="U28" s="41">
        <v>0.33782488288056101</v>
      </c>
      <c r="V28" s="94">
        <v>71</v>
      </c>
      <c r="W28" s="97">
        <v>15</v>
      </c>
      <c r="X28" s="41">
        <v>0.37474999801585701</v>
      </c>
      <c r="Y28" s="6">
        <v>71</v>
      </c>
      <c r="Z28" s="41">
        <v>0.37474999801585701</v>
      </c>
      <c r="AA28" s="84">
        <v>71</v>
      </c>
      <c r="AB28" s="91">
        <v>19</v>
      </c>
      <c r="AC28" s="41">
        <v>0.58314728710805797</v>
      </c>
      <c r="AD28" s="6">
        <v>71</v>
      </c>
      <c r="AE28" s="41">
        <v>0.58314728710805797</v>
      </c>
      <c r="AF28" s="84">
        <v>71</v>
      </c>
      <c r="AG28" s="91"/>
      <c r="AL28" s="93">
        <v>15</v>
      </c>
      <c r="AM28" s="41">
        <v>0.37474999801585701</v>
      </c>
      <c r="AN28" s="6">
        <v>71</v>
      </c>
      <c r="AO28" s="41">
        <v>0.37474999801585701</v>
      </c>
      <c r="AP28" s="84">
        <v>71</v>
      </c>
      <c r="AQ28" s="91">
        <v>19</v>
      </c>
      <c r="AR28" s="41">
        <v>0.58314728710805797</v>
      </c>
      <c r="AS28" s="6">
        <v>71</v>
      </c>
      <c r="AT28" s="41">
        <v>0.58314728710805797</v>
      </c>
      <c r="AU28" s="89">
        <v>71</v>
      </c>
      <c r="AV28" s="97"/>
    </row>
    <row r="29" spans="1:52" x14ac:dyDescent="0.3">
      <c r="A29" t="s">
        <v>23</v>
      </c>
      <c r="B29" s="25">
        <v>45383</v>
      </c>
      <c r="C29" s="25">
        <v>45413</v>
      </c>
      <c r="D29" s="24">
        <v>37.639999389648402</v>
      </c>
      <c r="E29" s="2">
        <v>1.5432431692272499</v>
      </c>
      <c r="F29" s="2">
        <v>0.49543103995057902</v>
      </c>
      <c r="G29" s="15">
        <v>-4.3570653991547602E-2</v>
      </c>
      <c r="H29" s="16">
        <v>0.83581295416079704</v>
      </c>
      <c r="I29" s="17">
        <v>0.83581295416079704</v>
      </c>
      <c r="J29" s="18">
        <v>150</v>
      </c>
      <c r="K29" s="19">
        <v>-0.26647181035967998</v>
      </c>
      <c r="L29" s="18">
        <v>67</v>
      </c>
      <c r="M29" s="26">
        <v>82</v>
      </c>
      <c r="N29" s="28">
        <v>97</v>
      </c>
      <c r="O29" s="87">
        <v>132</v>
      </c>
      <c r="P29" s="28">
        <v>26</v>
      </c>
      <c r="Q29" s="28">
        <v>30</v>
      </c>
      <c r="S29" s="98">
        <v>-0.21242737597873801</v>
      </c>
      <c r="T29" s="6">
        <v>26</v>
      </c>
      <c r="U29" s="41">
        <v>-0.30260165435875103</v>
      </c>
      <c r="V29" s="94">
        <v>67</v>
      </c>
      <c r="W29" s="97">
        <v>26</v>
      </c>
      <c r="X29" s="41">
        <v>1.21616413719696</v>
      </c>
      <c r="Y29" s="6">
        <v>150</v>
      </c>
      <c r="Z29" s="41">
        <v>1.21616413719696</v>
      </c>
      <c r="AA29" s="84">
        <v>150</v>
      </c>
      <c r="AB29" s="91">
        <v>30</v>
      </c>
      <c r="AC29" s="41">
        <v>1.3250336497508399</v>
      </c>
      <c r="AD29" s="6">
        <v>150</v>
      </c>
      <c r="AE29" s="41">
        <v>1.3250336497508399</v>
      </c>
      <c r="AF29" s="84">
        <v>150</v>
      </c>
      <c r="AG29" s="91"/>
      <c r="AL29" s="93">
        <v>26</v>
      </c>
      <c r="AM29" s="41">
        <v>1.21616413719696</v>
      </c>
      <c r="AN29" s="6">
        <v>150</v>
      </c>
      <c r="AO29" s="41">
        <v>1.21616413719696</v>
      </c>
      <c r="AP29" s="84">
        <v>150</v>
      </c>
      <c r="AQ29" s="91">
        <v>30</v>
      </c>
      <c r="AR29" s="41">
        <v>1.3250336497508399</v>
      </c>
      <c r="AS29" s="6">
        <v>150</v>
      </c>
      <c r="AT29" s="41">
        <v>1.3250336497508399</v>
      </c>
      <c r="AU29" s="89">
        <v>150</v>
      </c>
      <c r="AV29" s="97">
        <v>132</v>
      </c>
      <c r="AW29" s="41">
        <v>7.31305884249112E-2</v>
      </c>
      <c r="AX29" s="6">
        <v>999</v>
      </c>
      <c r="AY29" s="41">
        <v>7.31305884249112E-2</v>
      </c>
      <c r="AZ29" s="94">
        <v>999</v>
      </c>
    </row>
  </sheetData>
  <autoFilter ref="A4:AZ72" xr:uid="{A63CA558-3F40-463D-93F5-3E4C2572FE45}">
    <sortState xmlns:xlrd2="http://schemas.microsoft.com/office/spreadsheetml/2017/richdata2" ref="A5:AZ29">
      <sortCondition descending="1" ref="C4:C72"/>
    </sortState>
  </autoFilter>
  <mergeCells count="29">
    <mergeCell ref="AT3:AU3"/>
    <mergeCell ref="AW3:AX3"/>
    <mergeCell ref="AY3:AZ3"/>
    <mergeCell ref="AE3:AF3"/>
    <mergeCell ref="AH3:AI3"/>
    <mergeCell ref="AJ3:AK3"/>
    <mergeCell ref="AM3:AN3"/>
    <mergeCell ref="AO3:AP3"/>
    <mergeCell ref="AR3:AS3"/>
    <mergeCell ref="S3:T3"/>
    <mergeCell ref="U3:V3"/>
    <mergeCell ref="X3:Y3"/>
    <mergeCell ref="Z3:AA3"/>
    <mergeCell ref="AC3:AD3"/>
    <mergeCell ref="A1:R1"/>
    <mergeCell ref="S1:AZ1"/>
    <mergeCell ref="B2:D2"/>
    <mergeCell ref="E2:F2"/>
    <mergeCell ref="G2:H2"/>
    <mergeCell ref="I2:L2"/>
    <mergeCell ref="M2:O2"/>
    <mergeCell ref="P2:R2"/>
    <mergeCell ref="S2:V2"/>
    <mergeCell ref="W2:AA2"/>
    <mergeCell ref="AB2:AF2"/>
    <mergeCell ref="AG2:AK2"/>
    <mergeCell ref="AL2:AP2"/>
    <mergeCell ref="AQ2:AU2"/>
    <mergeCell ref="AV2:AZ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A558-3F40-463D-93F5-3E4C2572FE45}">
  <dimension ref="A1:AZ33"/>
  <sheetViews>
    <sheetView zoomScale="85" zoomScaleNormal="85" workbookViewId="0">
      <pane xSplit="4" ySplit="4" topLeftCell="S5" activePane="bottomRight" state="frozen"/>
      <selection pane="topRight" activeCell="D1" sqref="D1"/>
      <selection pane="bottomLeft" activeCell="A2" sqref="A2"/>
      <selection pane="bottomRight" activeCell="Z42" sqref="Z42"/>
    </sheetView>
  </sheetViews>
  <sheetFormatPr defaultRowHeight="14.4" outlineLevelCol="1" x14ac:dyDescent="0.3"/>
  <cols>
    <col min="2" max="3" width="11" style="25" customWidth="1"/>
    <col min="4" max="4" width="11" style="24" bestFit="1" customWidth="1"/>
    <col min="5" max="6" width="9.88671875" style="2" hidden="1" customWidth="1" outlineLevel="1"/>
    <col min="7" max="7" width="9.88671875" style="15" hidden="1" customWidth="1" outlineLevel="1"/>
    <col min="8" max="8" width="9.88671875" style="16" hidden="1" customWidth="1" outlineLevel="1"/>
    <col min="9" max="9" width="6.88671875" style="17" hidden="1" customWidth="1" outlineLevel="1"/>
    <col min="10" max="10" width="12.33203125" style="18" hidden="1" customWidth="1" outlineLevel="1"/>
    <col min="11" max="11" width="6.6640625" style="19" hidden="1" customWidth="1" outlineLevel="1"/>
    <col min="12" max="12" width="12.109375" style="18" hidden="1" customWidth="1" outlineLevel="1"/>
    <col min="13" max="13" width="10.109375" style="26" hidden="1" customWidth="1" outlineLevel="1"/>
    <col min="14" max="14" width="10.109375" style="28" hidden="1" customWidth="1" outlineLevel="1"/>
    <col min="15" max="15" width="10.109375" style="87" hidden="1" customWidth="1" outlineLevel="1"/>
    <col min="16" max="18" width="10.109375" style="28" hidden="1" customWidth="1" outlineLevel="1"/>
    <col min="19" max="19" width="6.5546875" style="98" bestFit="1" customWidth="1" collapsed="1"/>
    <col min="20" max="20" width="5.5546875" style="6" bestFit="1" customWidth="1"/>
    <col min="21" max="21" width="6.5546875" style="41" bestFit="1" customWidth="1"/>
    <col min="22" max="22" width="5.5546875" style="94" bestFit="1" customWidth="1"/>
    <col min="23" max="23" width="9.44140625" style="64" bestFit="1" customWidth="1"/>
    <col min="24" max="24" width="6.5546875" style="41" bestFit="1" customWidth="1"/>
    <col min="25" max="25" width="5.5546875" style="6" bestFit="1" customWidth="1"/>
    <col min="26" max="26" width="6.5546875" style="41" bestFit="1" customWidth="1"/>
    <col min="27" max="27" width="5.5546875" style="84" bestFit="1" customWidth="1"/>
    <col min="28" max="28" width="9.44140625" style="63" bestFit="1" customWidth="1"/>
    <col min="29" max="29" width="6.5546875" style="41" bestFit="1" customWidth="1"/>
    <col min="30" max="30" width="5.5546875" style="6" bestFit="1" customWidth="1"/>
    <col min="31" max="31" width="6.5546875" style="41" bestFit="1" customWidth="1"/>
    <col min="32" max="32" width="5.5546875" style="84" bestFit="1" customWidth="1"/>
    <col min="33" max="33" width="9.44140625" style="63" bestFit="1" customWidth="1"/>
    <col min="34" max="34" width="6.5546875" style="41" bestFit="1" customWidth="1"/>
    <col min="35" max="35" width="5.5546875" style="6" bestFit="1" customWidth="1"/>
    <col min="36" max="36" width="6.5546875" style="41" bestFit="1" customWidth="1"/>
    <col min="37" max="37" width="5.5546875" style="84" bestFit="1" customWidth="1"/>
    <col min="38" max="38" width="9.44140625" style="95" bestFit="1" customWidth="1"/>
    <col min="39" max="39" width="6.5546875" style="41" bestFit="1" customWidth="1"/>
    <col min="40" max="40" width="5.5546875" style="6" bestFit="1" customWidth="1"/>
    <col min="41" max="41" width="6.5546875" style="41" bestFit="1" customWidth="1"/>
    <col min="42" max="42" width="5.5546875" style="84" bestFit="1" customWidth="1"/>
    <col min="43" max="43" width="9.44140625" style="63" bestFit="1" customWidth="1"/>
    <col min="44" max="44" width="6.5546875" style="41" bestFit="1" customWidth="1"/>
    <col min="45" max="45" width="5.5546875" style="6" bestFit="1" customWidth="1"/>
    <col min="46" max="46" width="6.5546875" style="41" bestFit="1" customWidth="1"/>
    <col min="47" max="47" width="5.5546875" style="89" bestFit="1" customWidth="1"/>
    <col min="48" max="48" width="9.44140625" style="64" bestFit="1" customWidth="1"/>
    <col min="49" max="49" width="6.5546875" style="41" bestFit="1" customWidth="1"/>
    <col min="50" max="50" width="5.5546875" style="6" bestFit="1" customWidth="1"/>
    <col min="51" max="51" width="6.5546875" style="41" bestFit="1" customWidth="1"/>
    <col min="52" max="52" width="5.5546875" style="94" bestFit="1" customWidth="1"/>
  </cols>
  <sheetData>
    <row r="1" spans="1:52" ht="15" thickBot="1" x14ac:dyDescent="0.35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6"/>
      <c r="Q1" s="135"/>
      <c r="R1" s="135"/>
      <c r="S1" s="137" t="s">
        <v>65</v>
      </c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8"/>
    </row>
    <row r="2" spans="1:52" s="34" customFormat="1" ht="30.6" customHeight="1" x14ac:dyDescent="0.3">
      <c r="B2" s="139" t="s">
        <v>37</v>
      </c>
      <c r="C2" s="139"/>
      <c r="D2" s="139"/>
      <c r="E2" s="140" t="s">
        <v>30</v>
      </c>
      <c r="F2" s="140"/>
      <c r="G2" s="141" t="s">
        <v>31</v>
      </c>
      <c r="H2" s="142"/>
      <c r="I2" s="141" t="s">
        <v>59</v>
      </c>
      <c r="J2" s="143"/>
      <c r="K2" s="142"/>
      <c r="L2" s="143"/>
      <c r="M2" s="144" t="s">
        <v>100</v>
      </c>
      <c r="N2" s="145"/>
      <c r="O2" s="146"/>
      <c r="P2" s="145" t="s">
        <v>101</v>
      </c>
      <c r="Q2" s="145"/>
      <c r="R2" s="146"/>
      <c r="S2" s="147" t="s">
        <v>98</v>
      </c>
      <c r="T2" s="148"/>
      <c r="U2" s="148"/>
      <c r="V2" s="149"/>
      <c r="W2" s="150" t="s">
        <v>102</v>
      </c>
      <c r="X2" s="151"/>
      <c r="Y2" s="151"/>
      <c r="Z2" s="151"/>
      <c r="AA2" s="152"/>
      <c r="AB2" s="120" t="s">
        <v>103</v>
      </c>
      <c r="AC2" s="121"/>
      <c r="AD2" s="121"/>
      <c r="AE2" s="121"/>
      <c r="AF2" s="122"/>
      <c r="AG2" s="123" t="s">
        <v>104</v>
      </c>
      <c r="AH2" s="124"/>
      <c r="AI2" s="124"/>
      <c r="AJ2" s="124"/>
      <c r="AK2" s="125"/>
      <c r="AL2" s="126" t="s">
        <v>107</v>
      </c>
      <c r="AM2" s="127"/>
      <c r="AN2" s="127"/>
      <c r="AO2" s="127"/>
      <c r="AP2" s="128"/>
      <c r="AQ2" s="129" t="s">
        <v>108</v>
      </c>
      <c r="AR2" s="130"/>
      <c r="AS2" s="130"/>
      <c r="AT2" s="130"/>
      <c r="AU2" s="131"/>
      <c r="AV2" s="132" t="s">
        <v>109</v>
      </c>
      <c r="AW2" s="132"/>
      <c r="AX2" s="132"/>
      <c r="AY2" s="132"/>
      <c r="AZ2" s="133"/>
    </row>
    <row r="3" spans="1:52" s="34" customFormat="1" ht="80.400000000000006" customHeight="1" x14ac:dyDescent="0.3">
      <c r="B3" s="79"/>
      <c r="C3" s="79"/>
      <c r="D3" s="79"/>
      <c r="E3" s="80"/>
      <c r="F3" s="80"/>
      <c r="G3" s="81"/>
      <c r="H3" s="82"/>
      <c r="I3" s="81"/>
      <c r="J3" s="33"/>
      <c r="K3" s="82"/>
      <c r="L3" s="33"/>
      <c r="M3" s="85"/>
      <c r="N3" s="83"/>
      <c r="O3" s="86"/>
      <c r="P3" s="83"/>
      <c r="Q3" s="83"/>
      <c r="R3" s="83"/>
      <c r="S3" s="134" t="s">
        <v>97</v>
      </c>
      <c r="T3" s="118"/>
      <c r="U3" s="116" t="s">
        <v>99</v>
      </c>
      <c r="V3" s="119"/>
      <c r="W3" s="96"/>
      <c r="X3" s="118" t="s">
        <v>97</v>
      </c>
      <c r="Y3" s="118"/>
      <c r="Z3" s="116" t="s">
        <v>99</v>
      </c>
      <c r="AA3" s="117"/>
      <c r="AB3" s="90"/>
      <c r="AC3" s="118" t="s">
        <v>97</v>
      </c>
      <c r="AD3" s="118"/>
      <c r="AE3" s="116" t="s">
        <v>99</v>
      </c>
      <c r="AF3" s="117"/>
      <c r="AG3" s="90"/>
      <c r="AH3" s="118" t="s">
        <v>97</v>
      </c>
      <c r="AI3" s="118"/>
      <c r="AJ3" s="116" t="s">
        <v>99</v>
      </c>
      <c r="AK3" s="119"/>
      <c r="AL3" s="92"/>
      <c r="AM3" s="118" t="s">
        <v>97</v>
      </c>
      <c r="AN3" s="118"/>
      <c r="AO3" s="116" t="s">
        <v>99</v>
      </c>
      <c r="AP3" s="116"/>
      <c r="AQ3" s="90"/>
      <c r="AR3" s="118" t="s">
        <v>97</v>
      </c>
      <c r="AS3" s="118"/>
      <c r="AT3" s="116" t="s">
        <v>99</v>
      </c>
      <c r="AU3" s="117"/>
      <c r="AV3" s="96"/>
      <c r="AW3" s="118" t="s">
        <v>97</v>
      </c>
      <c r="AX3" s="118"/>
      <c r="AY3" s="116" t="s">
        <v>99</v>
      </c>
      <c r="AZ3" s="119"/>
    </row>
    <row r="4" spans="1:52" s="100" customFormat="1" x14ac:dyDescent="0.3">
      <c r="A4" s="100" t="s">
        <v>1</v>
      </c>
      <c r="B4" s="101" t="s">
        <v>40</v>
      </c>
      <c r="C4" s="101" t="s">
        <v>41</v>
      </c>
      <c r="D4" s="102" t="s">
        <v>42</v>
      </c>
      <c r="E4" s="103" t="s">
        <v>32</v>
      </c>
      <c r="F4" s="103" t="s">
        <v>28</v>
      </c>
      <c r="G4" s="104" t="s">
        <v>33</v>
      </c>
      <c r="H4" s="104" t="s">
        <v>34</v>
      </c>
      <c r="I4" s="105" t="s">
        <v>2</v>
      </c>
      <c r="J4" s="106" t="s">
        <v>3</v>
      </c>
      <c r="K4" s="105" t="s">
        <v>4</v>
      </c>
      <c r="L4" s="106" t="s">
        <v>5</v>
      </c>
      <c r="M4" s="107">
        <v>0.1</v>
      </c>
      <c r="N4" s="107">
        <v>0.2</v>
      </c>
      <c r="O4" s="107">
        <v>0.3</v>
      </c>
      <c r="P4" s="107">
        <v>-0.1</v>
      </c>
      <c r="Q4" s="107">
        <v>-0.2</v>
      </c>
      <c r="R4" s="107">
        <v>-0.3</v>
      </c>
      <c r="S4" s="104" t="s">
        <v>105</v>
      </c>
      <c r="T4" s="108" t="s">
        <v>106</v>
      </c>
      <c r="U4" s="104" t="s">
        <v>105</v>
      </c>
      <c r="V4" s="108" t="s">
        <v>106</v>
      </c>
      <c r="W4" s="99" t="s">
        <v>68</v>
      </c>
      <c r="X4" s="104" t="s">
        <v>105</v>
      </c>
      <c r="Y4" s="108" t="s">
        <v>106</v>
      </c>
      <c r="Z4" s="104" t="s">
        <v>105</v>
      </c>
      <c r="AA4" s="108" t="s">
        <v>106</v>
      </c>
      <c r="AB4" s="99" t="s">
        <v>68</v>
      </c>
      <c r="AC4" s="104" t="s">
        <v>105</v>
      </c>
      <c r="AD4" s="108" t="s">
        <v>106</v>
      </c>
      <c r="AE4" s="104" t="s">
        <v>105</v>
      </c>
      <c r="AF4" s="108" t="s">
        <v>106</v>
      </c>
      <c r="AG4" s="99" t="s">
        <v>68</v>
      </c>
      <c r="AH4" s="104" t="s">
        <v>105</v>
      </c>
      <c r="AI4" s="108" t="s">
        <v>106</v>
      </c>
      <c r="AJ4" s="104" t="s">
        <v>105</v>
      </c>
      <c r="AK4" s="108" t="s">
        <v>106</v>
      </c>
      <c r="AL4" s="99" t="s">
        <v>68</v>
      </c>
      <c r="AM4" s="104" t="s">
        <v>105</v>
      </c>
      <c r="AN4" s="108" t="s">
        <v>106</v>
      </c>
      <c r="AO4" s="104" t="s">
        <v>105</v>
      </c>
      <c r="AP4" s="108" t="s">
        <v>106</v>
      </c>
      <c r="AQ4" s="99" t="s">
        <v>68</v>
      </c>
      <c r="AR4" s="104" t="s">
        <v>105</v>
      </c>
      <c r="AS4" s="108" t="s">
        <v>106</v>
      </c>
      <c r="AT4" s="104" t="s">
        <v>105</v>
      </c>
      <c r="AU4" s="108" t="s">
        <v>106</v>
      </c>
      <c r="AV4" s="99" t="s">
        <v>68</v>
      </c>
      <c r="AW4" s="104" t="s">
        <v>105</v>
      </c>
      <c r="AX4" s="108" t="s">
        <v>106</v>
      </c>
      <c r="AY4" s="104" t="s">
        <v>105</v>
      </c>
      <c r="AZ4" s="108" t="s">
        <v>106</v>
      </c>
    </row>
    <row r="5" spans="1:52" x14ac:dyDescent="0.3">
      <c r="A5" t="s">
        <v>43</v>
      </c>
      <c r="B5" s="25">
        <v>45839</v>
      </c>
      <c r="C5" s="25">
        <v>45870</v>
      </c>
      <c r="D5" s="24">
        <v>8.7600002288818306</v>
      </c>
      <c r="E5" s="2">
        <v>-0.21152110714810199</v>
      </c>
      <c r="F5" s="2">
        <v>0</v>
      </c>
      <c r="I5" s="17">
        <v>0.21118714377380199</v>
      </c>
      <c r="J5" s="18">
        <v>28</v>
      </c>
      <c r="K5" s="19">
        <v>-7.6484024975815093E-2</v>
      </c>
      <c r="L5" s="18">
        <v>2</v>
      </c>
      <c r="M5" s="26">
        <v>23</v>
      </c>
      <c r="N5" s="28">
        <v>28</v>
      </c>
      <c r="S5" s="98">
        <v>0.16593397933063</v>
      </c>
      <c r="T5" s="6">
        <v>28</v>
      </c>
      <c r="U5" s="41">
        <v>0.16593397933063</v>
      </c>
      <c r="V5" s="94">
        <v>28</v>
      </c>
      <c r="W5" s="97"/>
      <c r="AB5" s="91"/>
      <c r="AG5" s="91"/>
      <c r="AL5" s="93">
        <v>23</v>
      </c>
      <c r="AM5" s="41">
        <v>5.3386739587740498E-2</v>
      </c>
      <c r="AN5" s="6">
        <v>999</v>
      </c>
      <c r="AO5" s="41">
        <v>5.3386739587740498E-2</v>
      </c>
      <c r="AP5" s="84">
        <v>999</v>
      </c>
      <c r="AQ5" s="91">
        <v>28</v>
      </c>
      <c r="AR5" s="41">
        <v>-2.1049327614642999E-2</v>
      </c>
      <c r="AS5" s="6">
        <v>999</v>
      </c>
      <c r="AT5" s="41">
        <v>-2.1049327614642999E-2</v>
      </c>
      <c r="AU5" s="89">
        <v>999</v>
      </c>
      <c r="AV5" s="97"/>
    </row>
    <row r="6" spans="1:52" x14ac:dyDescent="0.3">
      <c r="A6" t="s">
        <v>49</v>
      </c>
      <c r="B6" s="25">
        <v>45839</v>
      </c>
      <c r="C6" s="25">
        <v>45870</v>
      </c>
      <c r="D6" s="24">
        <v>12.310000419616699</v>
      </c>
      <c r="E6" s="2">
        <v>-0.51189529124616895</v>
      </c>
      <c r="F6" s="2">
        <v>8.19003940682261E-3</v>
      </c>
      <c r="I6" s="17">
        <v>0.29894388513887998</v>
      </c>
      <c r="J6" s="18">
        <v>24</v>
      </c>
      <c r="K6" s="19">
        <v>0</v>
      </c>
      <c r="L6" s="18">
        <v>0</v>
      </c>
      <c r="M6" s="26">
        <v>7</v>
      </c>
      <c r="N6" s="28">
        <v>15</v>
      </c>
      <c r="S6" s="98">
        <v>7.4618704583888307E-2</v>
      </c>
      <c r="T6" s="6">
        <v>999</v>
      </c>
      <c r="U6" s="41">
        <v>7.4618704583888307E-2</v>
      </c>
      <c r="V6" s="94">
        <v>999</v>
      </c>
      <c r="W6" s="97"/>
      <c r="AB6" s="91"/>
      <c r="AG6" s="91"/>
      <c r="AL6" s="93">
        <v>7</v>
      </c>
      <c r="AM6" s="41">
        <v>7.4618704583888307E-2</v>
      </c>
      <c r="AN6" s="6">
        <v>999</v>
      </c>
      <c r="AO6" s="41">
        <v>7.4618704583888307E-2</v>
      </c>
      <c r="AP6" s="84">
        <v>999</v>
      </c>
      <c r="AQ6" s="91">
        <v>15</v>
      </c>
      <c r="AR6" s="41">
        <v>2.10296382538669E-2</v>
      </c>
      <c r="AS6" s="6">
        <v>999</v>
      </c>
      <c r="AT6" s="41">
        <v>2.10296382538669E-2</v>
      </c>
      <c r="AU6" s="89">
        <v>999</v>
      </c>
      <c r="AV6" s="97"/>
    </row>
    <row r="7" spans="1:52" x14ac:dyDescent="0.3">
      <c r="A7" t="s">
        <v>58</v>
      </c>
      <c r="B7" s="25">
        <v>45809</v>
      </c>
      <c r="C7" s="25">
        <v>45839</v>
      </c>
      <c r="D7" s="24">
        <v>5.2399997711181596</v>
      </c>
      <c r="E7" s="2">
        <v>-0.29093371234252602</v>
      </c>
      <c r="F7" s="2">
        <v>-3.4990803540889202E-2</v>
      </c>
      <c r="I7" s="17">
        <v>9.5420215494004205E-3</v>
      </c>
      <c r="J7" s="18">
        <v>2</v>
      </c>
      <c r="K7" s="19">
        <v>-0.33587782994675802</v>
      </c>
      <c r="L7" s="18">
        <v>28</v>
      </c>
      <c r="P7" s="28">
        <v>8</v>
      </c>
      <c r="Q7" s="28">
        <v>22</v>
      </c>
      <c r="R7" s="28">
        <v>28</v>
      </c>
      <c r="S7" s="98">
        <v>-0.211934193726765</v>
      </c>
      <c r="T7" s="6">
        <v>24</v>
      </c>
      <c r="U7" s="41">
        <v>6.5843556796945493E-2</v>
      </c>
      <c r="V7" s="94">
        <v>45</v>
      </c>
      <c r="W7" s="97">
        <v>8</v>
      </c>
      <c r="X7" s="41">
        <v>0.116379305472271</v>
      </c>
      <c r="Y7" s="6">
        <v>45</v>
      </c>
      <c r="Z7" s="41">
        <v>0.116379305472271</v>
      </c>
      <c r="AA7" s="84">
        <v>45</v>
      </c>
      <c r="AB7" s="91">
        <v>22</v>
      </c>
      <c r="AC7" s="41">
        <v>0.150456167606969</v>
      </c>
      <c r="AD7" s="6">
        <v>999</v>
      </c>
      <c r="AE7" s="41">
        <v>0.150456167606969</v>
      </c>
      <c r="AF7" s="84">
        <v>999</v>
      </c>
      <c r="AG7" s="91">
        <v>28</v>
      </c>
      <c r="AH7" s="41">
        <v>0.35620689470901201</v>
      </c>
      <c r="AI7" s="6">
        <v>999</v>
      </c>
      <c r="AJ7" s="41">
        <v>0.35620689470901201</v>
      </c>
      <c r="AK7" s="84">
        <v>999</v>
      </c>
      <c r="AL7" s="93">
        <v>8</v>
      </c>
      <c r="AM7" s="41">
        <v>0.116379305472271</v>
      </c>
      <c r="AN7" s="6">
        <v>45</v>
      </c>
      <c r="AO7" s="41">
        <v>0.116379305472271</v>
      </c>
      <c r="AP7" s="84">
        <v>45</v>
      </c>
      <c r="AQ7" s="91">
        <v>22</v>
      </c>
      <c r="AR7" s="41">
        <v>0.150456167606969</v>
      </c>
      <c r="AS7" s="6">
        <v>999</v>
      </c>
      <c r="AT7" s="41">
        <v>0.150456167606969</v>
      </c>
      <c r="AU7" s="89">
        <v>999</v>
      </c>
      <c r="AV7" s="97">
        <v>28</v>
      </c>
      <c r="AW7" s="41">
        <v>0.35620689470901201</v>
      </c>
      <c r="AX7" s="6">
        <v>999</v>
      </c>
      <c r="AY7" s="41">
        <v>0.35620689470901201</v>
      </c>
      <c r="AZ7" s="94">
        <v>999</v>
      </c>
    </row>
    <row r="8" spans="1:52" x14ac:dyDescent="0.3">
      <c r="A8" t="s">
        <v>56</v>
      </c>
      <c r="B8" s="25">
        <v>45748</v>
      </c>
      <c r="C8" s="25">
        <v>45778</v>
      </c>
      <c r="D8" s="24">
        <v>4.38000011444091</v>
      </c>
      <c r="E8" s="2">
        <v>-0.402455639832205</v>
      </c>
      <c r="F8" s="2">
        <v>-0.21645796155958999</v>
      </c>
      <c r="G8" s="15">
        <v>0.35159815562004798</v>
      </c>
      <c r="I8" s="17">
        <v>0.75342457252856199</v>
      </c>
      <c r="J8" s="18">
        <v>56</v>
      </c>
      <c r="K8" s="19">
        <v>-0.12328771373571799</v>
      </c>
      <c r="L8" s="18">
        <v>3</v>
      </c>
      <c r="M8" s="26">
        <v>8</v>
      </c>
      <c r="N8" s="28">
        <v>8</v>
      </c>
      <c r="O8" s="87">
        <v>12</v>
      </c>
      <c r="P8" s="28">
        <v>3</v>
      </c>
      <c r="S8" s="98">
        <v>0.65161283243624701</v>
      </c>
      <c r="T8" s="6">
        <v>56</v>
      </c>
      <c r="U8" s="41">
        <v>0.65161283243624701</v>
      </c>
      <c r="V8" s="94">
        <v>56</v>
      </c>
      <c r="W8" s="97">
        <v>7</v>
      </c>
      <c r="X8" s="41">
        <v>0.65161283243624701</v>
      </c>
      <c r="Y8" s="6">
        <v>56</v>
      </c>
      <c r="Z8" s="41">
        <v>0.65161283243624701</v>
      </c>
      <c r="AA8" s="84">
        <v>56</v>
      </c>
      <c r="AB8" s="91"/>
      <c r="AG8" s="91"/>
      <c r="AL8" s="93">
        <v>7</v>
      </c>
      <c r="AM8" s="41">
        <v>0.65161283243624701</v>
      </c>
      <c r="AN8" s="6">
        <v>56</v>
      </c>
      <c r="AO8" s="41">
        <v>0.65161283243624701</v>
      </c>
      <c r="AP8" s="84">
        <v>56</v>
      </c>
      <c r="AQ8" s="91">
        <v>8</v>
      </c>
      <c r="AR8" s="41">
        <v>0.39636360515247598</v>
      </c>
      <c r="AS8" s="6">
        <v>56</v>
      </c>
      <c r="AT8" s="41">
        <v>0.39636360515247598</v>
      </c>
      <c r="AU8" s="89">
        <v>56</v>
      </c>
      <c r="AV8" s="97">
        <v>12</v>
      </c>
      <c r="AW8" s="41">
        <v>0.27999997138977001</v>
      </c>
      <c r="AX8" s="6">
        <v>56</v>
      </c>
      <c r="AY8" s="41">
        <v>0.27999997138977001</v>
      </c>
      <c r="AZ8" s="94">
        <v>56</v>
      </c>
    </row>
    <row r="9" spans="1:52" x14ac:dyDescent="0.3">
      <c r="A9" t="s">
        <v>46</v>
      </c>
      <c r="B9" s="25">
        <v>45717</v>
      </c>
      <c r="C9" s="25">
        <v>45748</v>
      </c>
      <c r="D9" s="24">
        <v>7.0500001907348597</v>
      </c>
      <c r="E9" s="7">
        <v>-0.61788618432492304</v>
      </c>
      <c r="F9" s="7">
        <v>-0.52073418270208505</v>
      </c>
      <c r="G9" s="13">
        <v>-0.33900713172514502</v>
      </c>
      <c r="H9" s="14"/>
      <c r="I9" s="20">
        <v>0.64964536167319598</v>
      </c>
      <c r="J9" s="21">
        <v>108</v>
      </c>
      <c r="K9" s="22">
        <v>-0.42411349887405497</v>
      </c>
      <c r="L9" s="21">
        <v>37</v>
      </c>
      <c r="M9" s="27">
        <v>92</v>
      </c>
      <c r="N9" s="29">
        <v>100</v>
      </c>
      <c r="O9" s="88">
        <v>103</v>
      </c>
      <c r="P9" s="29">
        <v>4</v>
      </c>
      <c r="Q9" s="29">
        <v>7</v>
      </c>
      <c r="R9" s="29">
        <v>10</v>
      </c>
      <c r="S9" s="98">
        <v>-0.22072938329122299</v>
      </c>
      <c r="T9" s="6">
        <v>37</v>
      </c>
      <c r="U9" s="41">
        <v>1.23224568700335</v>
      </c>
      <c r="V9" s="94">
        <v>108</v>
      </c>
      <c r="W9" s="97">
        <v>7</v>
      </c>
      <c r="X9" s="41">
        <v>1.23224568700335</v>
      </c>
      <c r="Y9" s="6">
        <v>108</v>
      </c>
      <c r="Z9" s="41">
        <v>1.23224568700335</v>
      </c>
      <c r="AA9" s="84">
        <v>108</v>
      </c>
      <c r="AB9" s="91">
        <v>7</v>
      </c>
      <c r="AC9" s="41">
        <v>1.23224568700335</v>
      </c>
      <c r="AD9" s="6">
        <v>108</v>
      </c>
      <c r="AE9" s="41">
        <v>1.23224568700335</v>
      </c>
      <c r="AF9" s="84">
        <v>108</v>
      </c>
      <c r="AG9" s="91">
        <v>10</v>
      </c>
      <c r="AH9" s="41">
        <v>1.393004073033</v>
      </c>
      <c r="AI9" s="6">
        <v>108</v>
      </c>
      <c r="AJ9" s="41">
        <v>1.393004073033</v>
      </c>
      <c r="AK9" s="84">
        <v>108</v>
      </c>
      <c r="AL9" s="93">
        <v>7</v>
      </c>
      <c r="AM9" s="41">
        <v>1.23224568700335</v>
      </c>
      <c r="AN9" s="6">
        <v>108</v>
      </c>
      <c r="AO9" s="41">
        <v>1.23224568700335</v>
      </c>
      <c r="AP9" s="84">
        <v>108</v>
      </c>
      <c r="AQ9" s="91">
        <v>7</v>
      </c>
      <c r="AR9" s="41">
        <v>1.23224568700335</v>
      </c>
      <c r="AS9" s="6">
        <v>108</v>
      </c>
      <c r="AT9" s="41">
        <v>1.23224568700335</v>
      </c>
      <c r="AU9" s="89">
        <v>108</v>
      </c>
      <c r="AV9" s="97">
        <v>10</v>
      </c>
      <c r="AW9" s="41">
        <v>1.393004073033</v>
      </c>
      <c r="AX9" s="6">
        <v>108</v>
      </c>
      <c r="AY9" s="41">
        <v>1.393004073033</v>
      </c>
      <c r="AZ9" s="94">
        <v>108</v>
      </c>
    </row>
    <row r="10" spans="1:52" x14ac:dyDescent="0.3">
      <c r="A10" t="s">
        <v>50</v>
      </c>
      <c r="B10" s="25">
        <v>45717</v>
      </c>
      <c r="C10" s="25">
        <v>45748</v>
      </c>
      <c r="D10" s="24">
        <v>1.40999996662139</v>
      </c>
      <c r="E10" s="2">
        <v>-0.64837908076265405</v>
      </c>
      <c r="F10" s="2">
        <v>-0.189655196038305</v>
      </c>
      <c r="G10" s="15">
        <v>-0.46099290180527602</v>
      </c>
      <c r="I10" s="17">
        <v>2.1276660503010799E-2</v>
      </c>
      <c r="J10" s="18">
        <v>1</v>
      </c>
      <c r="K10" s="19">
        <v>-0.595744676353957</v>
      </c>
      <c r="L10" s="18">
        <v>45</v>
      </c>
      <c r="P10" s="28">
        <v>5</v>
      </c>
      <c r="Q10" s="28">
        <v>5</v>
      </c>
      <c r="R10" s="28">
        <v>8</v>
      </c>
      <c r="S10" s="98">
        <v>-0.35643566109341601</v>
      </c>
      <c r="T10" s="6">
        <v>9</v>
      </c>
      <c r="U10" s="41">
        <v>-0.35643566109341601</v>
      </c>
      <c r="V10" s="94">
        <v>9</v>
      </c>
      <c r="W10" s="97">
        <v>7</v>
      </c>
      <c r="X10" s="41">
        <v>0.30693075734252401</v>
      </c>
      <c r="Y10" s="6">
        <v>104</v>
      </c>
      <c r="Z10" s="41">
        <v>0.30693075734252401</v>
      </c>
      <c r="AA10" s="84">
        <v>104</v>
      </c>
      <c r="AB10" s="91">
        <v>7</v>
      </c>
      <c r="AC10" s="41">
        <v>0.30693075734252401</v>
      </c>
      <c r="AD10" s="6">
        <v>104</v>
      </c>
      <c r="AE10" s="41">
        <v>0.30693075734252401</v>
      </c>
      <c r="AF10" s="84">
        <v>104</v>
      </c>
      <c r="AG10" s="91">
        <v>8</v>
      </c>
      <c r="AH10" s="41">
        <v>0.389473756858847</v>
      </c>
      <c r="AI10" s="6">
        <v>104</v>
      </c>
      <c r="AJ10" s="41">
        <v>0.389473756858847</v>
      </c>
      <c r="AK10" s="84">
        <v>104</v>
      </c>
      <c r="AL10" s="93">
        <v>7</v>
      </c>
      <c r="AM10" s="41">
        <v>0.30693075734252401</v>
      </c>
      <c r="AN10" s="6">
        <v>104</v>
      </c>
      <c r="AO10" s="41">
        <v>0.30693075734252401</v>
      </c>
      <c r="AP10" s="84">
        <v>104</v>
      </c>
      <c r="AQ10" s="91">
        <v>7</v>
      </c>
      <c r="AR10" s="41">
        <v>0.30693075734252401</v>
      </c>
      <c r="AS10" s="6">
        <v>104</v>
      </c>
      <c r="AT10" s="41">
        <v>0.30693075734252401</v>
      </c>
      <c r="AU10" s="89">
        <v>104</v>
      </c>
      <c r="AV10" s="97">
        <v>8</v>
      </c>
      <c r="AW10" s="41">
        <v>0.389473756858847</v>
      </c>
      <c r="AX10" s="6">
        <v>104</v>
      </c>
      <c r="AY10" s="41">
        <v>0.389473756858847</v>
      </c>
      <c r="AZ10" s="94">
        <v>104</v>
      </c>
    </row>
    <row r="11" spans="1:52" x14ac:dyDescent="0.3">
      <c r="A11" t="s">
        <v>25</v>
      </c>
      <c r="B11" s="25">
        <v>45717</v>
      </c>
      <c r="C11" s="25">
        <v>45748</v>
      </c>
      <c r="D11" s="24">
        <v>3.0299999713897701</v>
      </c>
      <c r="E11" s="2">
        <v>0.23673465812965899</v>
      </c>
      <c r="F11" s="2">
        <v>0.77192976830176196</v>
      </c>
      <c r="G11" s="15">
        <v>7.5907597770699498E-2</v>
      </c>
      <c r="I11" s="17">
        <v>0.36963700810332001</v>
      </c>
      <c r="J11" s="18">
        <v>68</v>
      </c>
      <c r="K11" s="19">
        <v>-0.363036314926867</v>
      </c>
      <c r="L11" s="18">
        <v>21</v>
      </c>
      <c r="M11" s="26">
        <v>65</v>
      </c>
      <c r="N11" s="28">
        <v>67</v>
      </c>
      <c r="O11" s="87">
        <v>67</v>
      </c>
      <c r="P11" s="28">
        <v>2</v>
      </c>
      <c r="Q11" s="28">
        <v>3</v>
      </c>
      <c r="R11" s="28">
        <v>8</v>
      </c>
      <c r="S11" s="98">
        <v>0.86936938823619103</v>
      </c>
      <c r="T11" s="6">
        <v>68</v>
      </c>
      <c r="U11" s="41">
        <v>0.86936938823619103</v>
      </c>
      <c r="V11" s="94">
        <v>68</v>
      </c>
      <c r="W11" s="97">
        <v>7</v>
      </c>
      <c r="X11" s="41">
        <v>0.86936938823619103</v>
      </c>
      <c r="Y11" s="6">
        <v>68</v>
      </c>
      <c r="Z11" s="41">
        <v>0.86936938823619103</v>
      </c>
      <c r="AA11" s="84">
        <v>68</v>
      </c>
      <c r="AB11" s="91">
        <v>7</v>
      </c>
      <c r="AC11" s="41">
        <v>0.86936938823619103</v>
      </c>
      <c r="AD11" s="6">
        <v>68</v>
      </c>
      <c r="AE11" s="41">
        <v>0.86936938823619103</v>
      </c>
      <c r="AF11" s="84">
        <v>68</v>
      </c>
      <c r="AG11" s="91">
        <v>8</v>
      </c>
      <c r="AH11" s="41">
        <v>1.0343138102795799</v>
      </c>
      <c r="AI11" s="6">
        <v>68</v>
      </c>
      <c r="AJ11" s="41">
        <v>1.0343138102795799</v>
      </c>
      <c r="AK11" s="84">
        <v>68</v>
      </c>
      <c r="AL11" s="93">
        <v>7</v>
      </c>
      <c r="AM11" s="41">
        <v>0.86936938823619103</v>
      </c>
      <c r="AN11" s="6">
        <v>68</v>
      </c>
      <c r="AO11" s="41">
        <v>0.86936938823619103</v>
      </c>
      <c r="AP11" s="84">
        <v>68</v>
      </c>
      <c r="AQ11" s="91">
        <v>7</v>
      </c>
      <c r="AR11" s="41">
        <v>0.86936938823619103</v>
      </c>
      <c r="AS11" s="6">
        <v>68</v>
      </c>
      <c r="AT11" s="41">
        <v>0.86936938823619103</v>
      </c>
      <c r="AU11" s="89">
        <v>68</v>
      </c>
      <c r="AV11" s="97">
        <v>8</v>
      </c>
      <c r="AW11" s="41">
        <v>1.0343138102795799</v>
      </c>
      <c r="AX11" s="6">
        <v>68</v>
      </c>
      <c r="AY11" s="41">
        <v>1.0343138102795799</v>
      </c>
      <c r="AZ11" s="94">
        <v>68</v>
      </c>
    </row>
    <row r="12" spans="1:52" x14ac:dyDescent="0.3">
      <c r="A12" t="s">
        <v>55</v>
      </c>
      <c r="B12" s="25">
        <v>45717</v>
      </c>
      <c r="C12" s="25">
        <v>45748</v>
      </c>
      <c r="D12" s="24">
        <v>114.209999084472</v>
      </c>
      <c r="E12" s="2">
        <v>-2.7069295117070299E-3</v>
      </c>
      <c r="F12" s="2">
        <v>-0.20846902488941299</v>
      </c>
      <c r="G12" s="15">
        <v>0.28184918194599701</v>
      </c>
      <c r="I12" s="17">
        <v>0.34384026755854602</v>
      </c>
      <c r="J12" s="18">
        <v>64</v>
      </c>
      <c r="K12" s="19">
        <v>-0.245512662116285</v>
      </c>
      <c r="L12" s="18">
        <v>5</v>
      </c>
      <c r="M12" s="26">
        <v>28</v>
      </c>
      <c r="N12" s="28">
        <v>48</v>
      </c>
      <c r="O12" s="87">
        <v>58</v>
      </c>
      <c r="P12" s="28">
        <v>2</v>
      </c>
      <c r="Q12" s="28">
        <v>4</v>
      </c>
      <c r="S12" s="98">
        <v>0.740333274505936</v>
      </c>
      <c r="T12" s="6">
        <v>64</v>
      </c>
      <c r="U12" s="41">
        <v>0.740333274505936</v>
      </c>
      <c r="V12" s="94">
        <v>64</v>
      </c>
      <c r="W12" s="97">
        <v>7</v>
      </c>
      <c r="X12" s="41">
        <v>0.740333274505936</v>
      </c>
      <c r="Y12" s="6">
        <v>64</v>
      </c>
      <c r="Z12" s="41">
        <v>0.740333274505936</v>
      </c>
      <c r="AA12" s="84">
        <v>64</v>
      </c>
      <c r="AB12" s="91">
        <v>7</v>
      </c>
      <c r="AC12" s="41">
        <v>0.740333274505936</v>
      </c>
      <c r="AD12" s="6">
        <v>64</v>
      </c>
      <c r="AE12" s="41">
        <v>0.740333274505936</v>
      </c>
      <c r="AF12" s="84">
        <v>64</v>
      </c>
      <c r="AG12" s="91"/>
      <c r="AL12" s="93">
        <v>7</v>
      </c>
      <c r="AM12" s="41">
        <v>0.740333274505936</v>
      </c>
      <c r="AN12" s="6">
        <v>64</v>
      </c>
      <c r="AO12" s="41">
        <v>0.740333274505936</v>
      </c>
      <c r="AP12" s="84">
        <v>64</v>
      </c>
      <c r="AQ12" s="91">
        <v>7</v>
      </c>
      <c r="AR12" s="41">
        <v>0.740333274505936</v>
      </c>
      <c r="AS12" s="6">
        <v>64</v>
      </c>
      <c r="AT12" s="41">
        <v>0.740333274505936</v>
      </c>
      <c r="AU12" s="89">
        <v>64</v>
      </c>
      <c r="AV12" s="97">
        <v>58</v>
      </c>
      <c r="AW12" s="41">
        <v>-7.4948327709935994E-2</v>
      </c>
      <c r="AX12" s="6">
        <v>999</v>
      </c>
      <c r="AY12" s="41">
        <v>-7.4948327709935994E-2</v>
      </c>
      <c r="AZ12" s="94">
        <v>999</v>
      </c>
    </row>
    <row r="13" spans="1:52" x14ac:dyDescent="0.3">
      <c r="A13" t="s">
        <v>52</v>
      </c>
      <c r="B13" s="25">
        <v>45717</v>
      </c>
      <c r="C13" s="25">
        <v>45748</v>
      </c>
      <c r="D13" s="24">
        <v>34.909999847412102</v>
      </c>
      <c r="E13" s="2">
        <v>-1.8105103007556699E-2</v>
      </c>
      <c r="F13" s="2">
        <v>-8.3854686088145197E-2</v>
      </c>
      <c r="G13" s="15">
        <v>-0.113720977677082</v>
      </c>
      <c r="I13" s="17">
        <v>0</v>
      </c>
      <c r="J13" s="18">
        <v>0</v>
      </c>
      <c r="K13" s="19">
        <v>-0.19793755020380899</v>
      </c>
      <c r="L13" s="18">
        <v>36</v>
      </c>
      <c r="P13" s="28">
        <v>4</v>
      </c>
      <c r="S13" s="98">
        <v>9.3214689046893395E-2</v>
      </c>
      <c r="T13" s="6">
        <v>112</v>
      </c>
      <c r="U13" s="41">
        <v>9.3214689046893395E-2</v>
      </c>
      <c r="V13" s="94">
        <v>112</v>
      </c>
      <c r="W13" s="97">
        <v>7</v>
      </c>
      <c r="X13" s="41">
        <v>9.3214689046893395E-2</v>
      </c>
      <c r="Y13" s="6">
        <v>112</v>
      </c>
      <c r="Z13" s="41">
        <v>9.3214689046893395E-2</v>
      </c>
      <c r="AA13" s="84">
        <v>112</v>
      </c>
      <c r="AB13" s="91"/>
      <c r="AG13" s="91"/>
      <c r="AL13" s="93">
        <v>7</v>
      </c>
      <c r="AM13" s="41">
        <v>9.3214689046893395E-2</v>
      </c>
      <c r="AN13" s="6">
        <v>112</v>
      </c>
      <c r="AO13" s="41">
        <v>9.3214689046893395E-2</v>
      </c>
      <c r="AP13" s="84">
        <v>112</v>
      </c>
      <c r="AQ13" s="91"/>
      <c r="AV13" s="97"/>
    </row>
    <row r="14" spans="1:52" x14ac:dyDescent="0.3">
      <c r="A14" t="s">
        <v>22</v>
      </c>
      <c r="B14" s="25">
        <v>45689</v>
      </c>
      <c r="C14" s="25">
        <v>45717</v>
      </c>
      <c r="D14" s="24">
        <v>13.4918217658996</v>
      </c>
      <c r="E14" s="2">
        <v>8.9317242538008407E-2</v>
      </c>
      <c r="F14" s="2">
        <v>-5.1068041421329098E-2</v>
      </c>
      <c r="G14" s="15">
        <v>-4.7818966020874099E-2</v>
      </c>
      <c r="I14" s="17">
        <v>0.21418537893769099</v>
      </c>
      <c r="J14" s="18">
        <v>14</v>
      </c>
      <c r="K14" s="19">
        <v>-0.13087066236178599</v>
      </c>
      <c r="L14" s="18">
        <v>110</v>
      </c>
      <c r="M14" s="26">
        <v>10</v>
      </c>
      <c r="N14" s="28">
        <v>14</v>
      </c>
      <c r="P14" s="28">
        <v>110</v>
      </c>
      <c r="S14" s="98">
        <v>1.9822870998313698E-2</v>
      </c>
      <c r="T14" s="6">
        <v>999</v>
      </c>
      <c r="U14" s="41">
        <v>1.9822870998313698E-2</v>
      </c>
      <c r="V14" s="94">
        <v>999</v>
      </c>
      <c r="W14" s="97">
        <v>110</v>
      </c>
      <c r="X14" s="41">
        <v>0.180330730492546</v>
      </c>
      <c r="Y14" s="6">
        <v>999</v>
      </c>
      <c r="Z14" s="41">
        <v>0.180330730492546</v>
      </c>
      <c r="AA14" s="84">
        <v>999</v>
      </c>
      <c r="AB14" s="91"/>
      <c r="AG14" s="91"/>
      <c r="AL14" s="93">
        <v>10</v>
      </c>
      <c r="AM14" s="41">
        <v>-6.0716371451379501E-2</v>
      </c>
      <c r="AN14" s="6">
        <v>999</v>
      </c>
      <c r="AO14" s="41">
        <v>-6.0716371451379501E-2</v>
      </c>
      <c r="AP14" s="84">
        <v>999</v>
      </c>
      <c r="AQ14" s="91">
        <v>14</v>
      </c>
      <c r="AR14" s="41">
        <v>-0.141843642043505</v>
      </c>
      <c r="AS14" s="6">
        <v>999</v>
      </c>
      <c r="AT14" s="41">
        <v>-0.141843642043505</v>
      </c>
      <c r="AU14" s="89">
        <v>999</v>
      </c>
      <c r="AV14" s="97"/>
    </row>
    <row r="15" spans="1:52" x14ac:dyDescent="0.3">
      <c r="A15" t="s">
        <v>23</v>
      </c>
      <c r="B15" s="25">
        <v>45658</v>
      </c>
      <c r="C15" s="25">
        <v>45689</v>
      </c>
      <c r="D15" s="24">
        <v>65.209999084472599</v>
      </c>
      <c r="E15" s="2">
        <v>1.20006749079916</v>
      </c>
      <c r="F15" s="2">
        <v>3.7054675203224502E-2</v>
      </c>
      <c r="G15" s="15">
        <v>-0.409446421374004</v>
      </c>
      <c r="H15" s="16">
        <v>-5.5666267510841201E-2</v>
      </c>
      <c r="I15" s="17">
        <v>1.9168839404226201E-2</v>
      </c>
      <c r="J15" s="18">
        <v>2</v>
      </c>
      <c r="K15" s="19">
        <v>-0.62674435678095897</v>
      </c>
      <c r="L15" s="18">
        <v>53</v>
      </c>
      <c r="P15" s="28">
        <v>4</v>
      </c>
      <c r="Q15" s="28">
        <v>5</v>
      </c>
      <c r="R15" s="28">
        <v>5</v>
      </c>
      <c r="S15" s="98">
        <v>-0.235743545355551</v>
      </c>
      <c r="T15" s="6">
        <v>43</v>
      </c>
      <c r="U15" s="41">
        <v>-0.33587996891620298</v>
      </c>
      <c r="V15" s="94">
        <v>53</v>
      </c>
      <c r="W15" s="97">
        <v>7</v>
      </c>
      <c r="X15" s="41">
        <v>0.68021826104352101</v>
      </c>
      <c r="Y15" s="6">
        <v>150</v>
      </c>
      <c r="Z15" s="41">
        <v>0.68021826104352101</v>
      </c>
      <c r="AA15" s="84">
        <v>150</v>
      </c>
      <c r="AB15" s="91">
        <v>7</v>
      </c>
      <c r="AC15" s="41">
        <v>0.68021826104352101</v>
      </c>
      <c r="AD15" s="6">
        <v>150</v>
      </c>
      <c r="AE15" s="41">
        <v>0.68021826104352101</v>
      </c>
      <c r="AF15" s="84">
        <v>150</v>
      </c>
      <c r="AG15" s="91">
        <v>7</v>
      </c>
      <c r="AH15" s="41">
        <v>0.68021826104352101</v>
      </c>
      <c r="AI15" s="6">
        <v>150</v>
      </c>
      <c r="AJ15" s="41">
        <v>0.68021826104352101</v>
      </c>
      <c r="AK15" s="84">
        <v>150</v>
      </c>
      <c r="AL15" s="93">
        <v>7</v>
      </c>
      <c r="AM15" s="41">
        <v>0.68021826104352101</v>
      </c>
      <c r="AN15" s="6">
        <v>150</v>
      </c>
      <c r="AO15" s="41">
        <v>0.68021826104352101</v>
      </c>
      <c r="AP15" s="84">
        <v>150</v>
      </c>
      <c r="AQ15" s="91">
        <v>7</v>
      </c>
      <c r="AR15" s="41">
        <v>0.68021826104352101</v>
      </c>
      <c r="AS15" s="6">
        <v>150</v>
      </c>
      <c r="AT15" s="41">
        <v>0.68021826104352101</v>
      </c>
      <c r="AU15" s="89">
        <v>150</v>
      </c>
      <c r="AV15" s="97">
        <v>7</v>
      </c>
      <c r="AW15" s="41">
        <v>0.68021826104352101</v>
      </c>
      <c r="AX15" s="6">
        <v>150</v>
      </c>
      <c r="AY15" s="41">
        <v>0.68021826104352101</v>
      </c>
      <c r="AZ15" s="94">
        <v>150</v>
      </c>
    </row>
    <row r="16" spans="1:52" x14ac:dyDescent="0.3">
      <c r="A16" t="s">
        <v>19</v>
      </c>
      <c r="B16" s="25">
        <v>45658</v>
      </c>
      <c r="C16" s="25">
        <v>45689</v>
      </c>
      <c r="D16" s="24">
        <v>8.9151611328125</v>
      </c>
      <c r="E16" s="2">
        <v>-0.48931548828365401</v>
      </c>
      <c r="F16" s="2">
        <v>-0.17901237766387501</v>
      </c>
      <c r="G16" s="15">
        <v>-0.37457649709720198</v>
      </c>
      <c r="H16" s="16">
        <v>0.37406377938739999</v>
      </c>
      <c r="I16" s="17">
        <v>0.40995765612805102</v>
      </c>
      <c r="J16" s="18">
        <v>144</v>
      </c>
      <c r="K16" s="19">
        <v>-0.499223809784617</v>
      </c>
      <c r="L16" s="18">
        <v>53</v>
      </c>
      <c r="M16" s="26">
        <v>131</v>
      </c>
      <c r="N16" s="28">
        <v>132</v>
      </c>
      <c r="O16" s="87">
        <v>136</v>
      </c>
      <c r="P16" s="28">
        <v>12</v>
      </c>
      <c r="Q16" s="28">
        <v>13</v>
      </c>
      <c r="R16" s="28">
        <v>19</v>
      </c>
      <c r="S16" s="98">
        <v>-0.219567636356261</v>
      </c>
      <c r="T16" s="6">
        <v>13</v>
      </c>
      <c r="U16" s="45">
        <v>-0.32081916463792698</v>
      </c>
      <c r="V16" s="94">
        <v>19</v>
      </c>
      <c r="W16" s="97">
        <v>12</v>
      </c>
      <c r="X16" s="41">
        <v>0.75725646890587495</v>
      </c>
      <c r="Y16" s="6">
        <v>144</v>
      </c>
      <c r="Z16" s="45">
        <v>0.75725646890587495</v>
      </c>
      <c r="AA16" s="84">
        <v>144</v>
      </c>
      <c r="AB16" s="91">
        <v>13</v>
      </c>
      <c r="AC16" s="41">
        <v>0.91351383761031801</v>
      </c>
      <c r="AD16" s="6">
        <v>144</v>
      </c>
      <c r="AE16" s="45">
        <v>0.91351383761031801</v>
      </c>
      <c r="AF16" s="84">
        <v>144</v>
      </c>
      <c r="AG16" s="91">
        <v>19</v>
      </c>
      <c r="AH16" s="41">
        <v>1.19877836563969</v>
      </c>
      <c r="AI16" s="6">
        <v>144</v>
      </c>
      <c r="AJ16" s="45">
        <v>1.19877836563969</v>
      </c>
      <c r="AK16" s="84">
        <v>144</v>
      </c>
      <c r="AL16" s="93">
        <v>12</v>
      </c>
      <c r="AM16" s="41">
        <v>0.75725646890587495</v>
      </c>
      <c r="AN16" s="6">
        <v>144</v>
      </c>
      <c r="AO16" s="45">
        <v>0.75725646890587495</v>
      </c>
      <c r="AP16" s="84">
        <v>144</v>
      </c>
      <c r="AQ16" s="91">
        <v>13</v>
      </c>
      <c r="AR16" s="41">
        <v>0.91351383761031801</v>
      </c>
      <c r="AS16" s="6">
        <v>144</v>
      </c>
      <c r="AT16" s="45">
        <v>0.91351383761031801</v>
      </c>
      <c r="AU16" s="89">
        <v>144</v>
      </c>
      <c r="AV16" s="97">
        <v>19</v>
      </c>
      <c r="AW16" s="41">
        <v>1.19877836563969</v>
      </c>
      <c r="AX16" s="6">
        <v>144</v>
      </c>
      <c r="AY16" s="45">
        <v>1.19877836563969</v>
      </c>
      <c r="AZ16" s="94">
        <v>144</v>
      </c>
    </row>
    <row r="17" spans="1:52" x14ac:dyDescent="0.3">
      <c r="A17" t="s">
        <v>45</v>
      </c>
      <c r="B17" s="25">
        <v>45658</v>
      </c>
      <c r="C17" s="25">
        <v>45689</v>
      </c>
      <c r="T17" s="6">
        <v>999</v>
      </c>
      <c r="V17" s="94">
        <v>999</v>
      </c>
      <c r="W17" s="97"/>
      <c r="AB17" s="91"/>
      <c r="AG17" s="91"/>
      <c r="AL17" s="93"/>
      <c r="AQ17" s="91"/>
      <c r="AV17" s="97"/>
    </row>
    <row r="18" spans="1:52" x14ac:dyDescent="0.3">
      <c r="A18" t="s">
        <v>38</v>
      </c>
      <c r="B18" s="25">
        <v>45627</v>
      </c>
      <c r="C18" s="25">
        <v>45658</v>
      </c>
      <c r="D18" s="24">
        <v>1.90999996662139</v>
      </c>
      <c r="E18" s="2">
        <v>-0.68943090455232103</v>
      </c>
      <c r="F18" s="2">
        <v>1.05820005703125E-2</v>
      </c>
      <c r="G18" s="15">
        <v>1.0523560967532499</v>
      </c>
      <c r="H18" s="16">
        <v>-0.54816754410322499</v>
      </c>
      <c r="I18" s="17">
        <v>1.9738219516233699</v>
      </c>
      <c r="J18" s="18">
        <v>68</v>
      </c>
      <c r="K18" s="19">
        <v>-0.54816754410322499</v>
      </c>
      <c r="L18" s="18">
        <v>150</v>
      </c>
      <c r="M18" s="26">
        <v>3</v>
      </c>
      <c r="N18" s="28">
        <v>5</v>
      </c>
      <c r="O18" s="87">
        <v>6</v>
      </c>
      <c r="P18" s="28">
        <v>144</v>
      </c>
      <c r="Q18" s="28">
        <v>146</v>
      </c>
      <c r="R18" s="28">
        <v>146</v>
      </c>
      <c r="S18" s="98">
        <v>1.0654544830322199</v>
      </c>
      <c r="T18" s="6">
        <v>68</v>
      </c>
      <c r="U18" s="41">
        <v>1.0654544830322199</v>
      </c>
      <c r="V18" s="94">
        <v>68</v>
      </c>
      <c r="W18" s="97">
        <v>144</v>
      </c>
      <c r="X18" s="41">
        <v>-0.33638656698472902</v>
      </c>
      <c r="Y18" s="6">
        <v>999</v>
      </c>
      <c r="Z18" s="41">
        <v>-0.33638656698472902</v>
      </c>
      <c r="AA18" s="84">
        <v>999</v>
      </c>
      <c r="AB18" s="91">
        <v>146</v>
      </c>
      <c r="AC18" s="41">
        <v>-4.0909106302852603E-3</v>
      </c>
      <c r="AD18" s="6">
        <v>999</v>
      </c>
      <c r="AE18" s="41">
        <v>-4.0909106302852603E-3</v>
      </c>
      <c r="AF18" s="84">
        <v>999</v>
      </c>
      <c r="AG18" s="91">
        <v>146</v>
      </c>
      <c r="AH18" s="41">
        <v>-4.0909106302852603E-3</v>
      </c>
      <c r="AI18" s="6">
        <v>999</v>
      </c>
      <c r="AJ18" s="41">
        <v>-4.0909106302852603E-3</v>
      </c>
      <c r="AK18" s="84">
        <v>999</v>
      </c>
      <c r="AL18" s="93">
        <v>7</v>
      </c>
      <c r="AM18" s="41">
        <v>1.0654544830322199</v>
      </c>
      <c r="AN18" s="6">
        <v>68</v>
      </c>
      <c r="AO18" s="41">
        <v>1.0654544830322199</v>
      </c>
      <c r="AP18" s="84">
        <v>68</v>
      </c>
      <c r="AQ18" s="91">
        <v>7</v>
      </c>
      <c r="AR18" s="41">
        <v>1.0654544830322199</v>
      </c>
      <c r="AS18" s="6">
        <v>68</v>
      </c>
      <c r="AT18" s="41">
        <v>1.0654544830322199</v>
      </c>
      <c r="AU18" s="89">
        <v>68</v>
      </c>
      <c r="AV18" s="97">
        <v>7</v>
      </c>
      <c r="AW18" s="41">
        <v>1.0654544830322199</v>
      </c>
      <c r="AX18" s="6">
        <v>68</v>
      </c>
      <c r="AY18" s="41">
        <v>1.0654544830322199</v>
      </c>
      <c r="AZ18" s="94">
        <v>68</v>
      </c>
    </row>
    <row r="19" spans="1:52" x14ac:dyDescent="0.3">
      <c r="A19" t="s">
        <v>54</v>
      </c>
      <c r="B19" s="25">
        <v>45627</v>
      </c>
      <c r="C19" s="25">
        <v>45658</v>
      </c>
      <c r="D19" s="24">
        <v>19.675000190734799</v>
      </c>
      <c r="E19" s="7">
        <v>-0.115730328506298</v>
      </c>
      <c r="F19" s="7">
        <v>0.26608753146925701</v>
      </c>
      <c r="G19" s="13">
        <v>-0.44040660116148</v>
      </c>
      <c r="H19" s="14">
        <v>-0.234053390153418</v>
      </c>
      <c r="I19" s="20">
        <v>0.26658194839708299</v>
      </c>
      <c r="J19" s="21">
        <v>11</v>
      </c>
      <c r="K19" s="22">
        <v>-0.53494284473556997</v>
      </c>
      <c r="L19" s="21">
        <v>65</v>
      </c>
      <c r="M19" s="27">
        <v>8</v>
      </c>
      <c r="N19" s="29">
        <v>10</v>
      </c>
      <c r="O19" s="88"/>
      <c r="P19" s="29">
        <v>18</v>
      </c>
      <c r="Q19" s="29">
        <v>35</v>
      </c>
      <c r="R19" s="29">
        <v>39</v>
      </c>
      <c r="S19" s="98">
        <v>-0.20483099141029601</v>
      </c>
      <c r="T19" s="6">
        <v>24</v>
      </c>
      <c r="U19" s="41">
        <v>-0.311594228271107</v>
      </c>
      <c r="V19" s="94">
        <v>35</v>
      </c>
      <c r="W19" s="97">
        <v>18</v>
      </c>
      <c r="X19" s="41">
        <v>-0.23599207128528399</v>
      </c>
      <c r="Y19" s="6">
        <v>999</v>
      </c>
      <c r="Z19" s="41">
        <v>-0.23599207128528399</v>
      </c>
      <c r="AA19" s="84">
        <v>999</v>
      </c>
      <c r="AB19" s="91">
        <v>35</v>
      </c>
      <c r="AC19" s="41">
        <v>0.214736804627535</v>
      </c>
      <c r="AD19" s="6">
        <v>141</v>
      </c>
      <c r="AE19" s="41">
        <v>0.214736804627535</v>
      </c>
      <c r="AF19" s="84">
        <v>141</v>
      </c>
      <c r="AG19" s="91">
        <v>39</v>
      </c>
      <c r="AH19" s="41">
        <v>0.26350362824354501</v>
      </c>
      <c r="AI19" s="6">
        <v>141</v>
      </c>
      <c r="AJ19" s="41">
        <v>0.26350362824354501</v>
      </c>
      <c r="AK19" s="84">
        <v>141</v>
      </c>
      <c r="AL19" s="93">
        <v>8</v>
      </c>
      <c r="AM19" s="41">
        <v>-0.37255078918268097</v>
      </c>
      <c r="AN19" s="6">
        <v>999</v>
      </c>
      <c r="AO19" s="41">
        <v>-0.37255078918268097</v>
      </c>
      <c r="AP19" s="84">
        <v>999</v>
      </c>
      <c r="AQ19" s="91">
        <v>10</v>
      </c>
      <c r="AR19" s="41">
        <v>-0.42293683229992601</v>
      </c>
      <c r="AS19" s="6">
        <v>999</v>
      </c>
      <c r="AT19" s="41">
        <v>-0.42293683229992601</v>
      </c>
      <c r="AU19" s="89">
        <v>999</v>
      </c>
      <c r="AV19" s="97">
        <v>39</v>
      </c>
      <c r="AW19" s="41">
        <v>0.26350362824354501</v>
      </c>
      <c r="AX19" s="6">
        <v>141</v>
      </c>
      <c r="AY19" s="41">
        <v>0.26350362824354501</v>
      </c>
      <c r="AZ19" s="94">
        <v>141</v>
      </c>
    </row>
    <row r="20" spans="1:52" x14ac:dyDescent="0.3">
      <c r="A20" t="s">
        <v>24</v>
      </c>
      <c r="B20" s="25">
        <v>45627</v>
      </c>
      <c r="C20" s="25">
        <v>45658</v>
      </c>
      <c r="D20" s="24">
        <v>11.0050001144409</v>
      </c>
      <c r="E20" s="2">
        <v>-0.32773368660643998</v>
      </c>
      <c r="F20" s="2">
        <v>-3.6339751232971299E-2</v>
      </c>
      <c r="G20" s="15">
        <v>-0.27487506259977001</v>
      </c>
      <c r="H20" s="16">
        <v>-0.34666061040875001</v>
      </c>
      <c r="I20" s="17">
        <v>0.142208047624614</v>
      </c>
      <c r="J20" s="18">
        <v>2</v>
      </c>
      <c r="K20" s="19">
        <v>-0.34666061040875001</v>
      </c>
      <c r="L20" s="18">
        <v>150</v>
      </c>
      <c r="M20" s="26">
        <v>2</v>
      </c>
      <c r="P20" s="28">
        <v>39</v>
      </c>
      <c r="Q20" s="28">
        <v>47</v>
      </c>
      <c r="R20" s="28">
        <v>65</v>
      </c>
      <c r="S20" s="98">
        <v>-0.21869492614995101</v>
      </c>
      <c r="T20" s="6">
        <v>45</v>
      </c>
      <c r="U20" s="41">
        <v>-0.31834215916571801</v>
      </c>
      <c r="V20" s="94">
        <v>64</v>
      </c>
      <c r="W20" s="97">
        <v>39</v>
      </c>
      <c r="X20" s="41">
        <v>5.9365393708366201E-2</v>
      </c>
      <c r="Y20" s="6">
        <v>136</v>
      </c>
      <c r="Z20" s="41">
        <v>5.9365393708366201E-2</v>
      </c>
      <c r="AA20" s="84">
        <v>136</v>
      </c>
      <c r="AB20" s="91">
        <v>47</v>
      </c>
      <c r="AC20" s="41">
        <v>0.236559202267945</v>
      </c>
      <c r="AD20" s="6">
        <v>136</v>
      </c>
      <c r="AE20" s="41">
        <v>0.236559202267945</v>
      </c>
      <c r="AF20" s="84">
        <v>136</v>
      </c>
      <c r="AG20" s="91">
        <v>65</v>
      </c>
      <c r="AH20" s="41">
        <v>0.43153531869507</v>
      </c>
      <c r="AI20" s="6">
        <v>136</v>
      </c>
      <c r="AJ20" s="41">
        <v>0.43153531869507</v>
      </c>
      <c r="AK20" s="84">
        <v>136</v>
      </c>
      <c r="AL20" s="93">
        <v>7</v>
      </c>
      <c r="AM20" s="41">
        <v>-0.189600490196628</v>
      </c>
      <c r="AN20" s="6">
        <v>999</v>
      </c>
      <c r="AO20" s="41">
        <v>-0.189600490196628</v>
      </c>
      <c r="AP20" s="84">
        <v>999</v>
      </c>
      <c r="AQ20" s="91">
        <v>47</v>
      </c>
      <c r="AR20" s="41">
        <v>0.236559202267945</v>
      </c>
      <c r="AS20" s="6">
        <v>136</v>
      </c>
      <c r="AT20" s="41">
        <v>0.236559202267945</v>
      </c>
      <c r="AU20" s="89">
        <v>136</v>
      </c>
      <c r="AV20" s="97">
        <v>65</v>
      </c>
      <c r="AW20" s="41">
        <v>0.43153531869507</v>
      </c>
      <c r="AX20" s="6">
        <v>136</v>
      </c>
      <c r="AY20" s="41">
        <v>0.43153531869507</v>
      </c>
      <c r="AZ20" s="94">
        <v>136</v>
      </c>
    </row>
    <row r="21" spans="1:52" x14ac:dyDescent="0.3">
      <c r="A21" t="s">
        <v>15</v>
      </c>
      <c r="B21" s="25">
        <v>45566</v>
      </c>
      <c r="C21" s="25">
        <v>45597</v>
      </c>
      <c r="D21" s="24">
        <v>6.3299999237060502</v>
      </c>
      <c r="E21" s="2">
        <v>0.35250915174318598</v>
      </c>
      <c r="F21" s="2">
        <v>0.198863574275467</v>
      </c>
      <c r="G21" s="15">
        <v>-0.50868879422118496</v>
      </c>
      <c r="H21" s="16">
        <v>-0.48815165109199399</v>
      </c>
      <c r="I21" s="17">
        <v>1.57981500827264E-3</v>
      </c>
      <c r="J21" s="18">
        <v>3</v>
      </c>
      <c r="K21" s="19">
        <v>-0.64139020406220004</v>
      </c>
      <c r="L21" s="18">
        <v>110</v>
      </c>
      <c r="P21" s="28">
        <v>14</v>
      </c>
      <c r="Q21" s="28">
        <v>14</v>
      </c>
      <c r="R21" s="28">
        <v>15</v>
      </c>
      <c r="S21" s="98">
        <v>-0.38474575326005001</v>
      </c>
      <c r="T21" s="6">
        <v>15</v>
      </c>
      <c r="U21" s="41">
        <v>-0.38474575326005001</v>
      </c>
      <c r="V21" s="94">
        <v>15</v>
      </c>
      <c r="W21" s="97">
        <v>14</v>
      </c>
      <c r="X21" s="41">
        <v>-0.36868672522988299</v>
      </c>
      <c r="Y21" s="6">
        <v>999</v>
      </c>
      <c r="Z21" s="41">
        <v>-0.36868672522988299</v>
      </c>
      <c r="AA21" s="84">
        <v>999</v>
      </c>
      <c r="AB21" s="91">
        <v>14</v>
      </c>
      <c r="AC21" s="41">
        <v>-0.36868672522988299</v>
      </c>
      <c r="AD21" s="6">
        <v>999</v>
      </c>
      <c r="AE21" s="41">
        <v>-0.36868672522988299</v>
      </c>
      <c r="AF21" s="84">
        <v>999</v>
      </c>
      <c r="AG21" s="91">
        <v>15</v>
      </c>
      <c r="AH21" s="41">
        <v>-0.141083320440726</v>
      </c>
      <c r="AI21" s="6">
        <v>999</v>
      </c>
      <c r="AJ21" s="41">
        <v>-0.141083320440726</v>
      </c>
      <c r="AK21" s="84">
        <v>999</v>
      </c>
      <c r="AL21" s="93">
        <v>14</v>
      </c>
      <c r="AM21" s="41">
        <v>-0.36868672522988299</v>
      </c>
      <c r="AN21" s="6">
        <v>999</v>
      </c>
      <c r="AO21" s="41">
        <v>-0.36868672522988299</v>
      </c>
      <c r="AP21" s="84">
        <v>999</v>
      </c>
      <c r="AQ21" s="91">
        <v>14</v>
      </c>
      <c r="AR21" s="41">
        <v>-0.36868672522988299</v>
      </c>
      <c r="AS21" s="6">
        <v>999</v>
      </c>
      <c r="AT21" s="41">
        <v>-0.36868672522988299</v>
      </c>
      <c r="AU21" s="89">
        <v>999</v>
      </c>
      <c r="AV21" s="97">
        <v>15</v>
      </c>
      <c r="AW21" s="41">
        <v>-0.141083320440726</v>
      </c>
      <c r="AX21" s="6">
        <v>999</v>
      </c>
      <c r="AY21" s="41">
        <v>-0.141083320440726</v>
      </c>
      <c r="AZ21" s="94">
        <v>999</v>
      </c>
    </row>
    <row r="22" spans="1:52" x14ac:dyDescent="0.3">
      <c r="A22" t="s">
        <v>14</v>
      </c>
      <c r="B22" s="25">
        <v>45536</v>
      </c>
      <c r="C22" s="25">
        <v>45566</v>
      </c>
      <c r="D22" s="24">
        <v>2.8099999427795401</v>
      </c>
      <c r="E22" s="2">
        <v>0.37073171128835197</v>
      </c>
      <c r="F22" s="2">
        <v>-0.242587624289339</v>
      </c>
      <c r="G22" s="15">
        <v>-0.23131667978110301</v>
      </c>
      <c r="H22" s="16">
        <v>0.46975096033478297</v>
      </c>
      <c r="I22" s="17">
        <v>1.32028473796949</v>
      </c>
      <c r="J22" s="18">
        <v>92</v>
      </c>
      <c r="K22" s="19">
        <v>-0.56939499544968297</v>
      </c>
      <c r="L22" s="18">
        <v>35</v>
      </c>
      <c r="M22" s="26">
        <v>6</v>
      </c>
      <c r="N22" s="28">
        <v>8</v>
      </c>
      <c r="O22" s="87">
        <v>20</v>
      </c>
      <c r="P22" s="28">
        <v>27</v>
      </c>
      <c r="Q22" s="28">
        <v>27</v>
      </c>
      <c r="R22" s="28">
        <v>27</v>
      </c>
      <c r="S22" s="98">
        <v>-0.39527029095120902</v>
      </c>
      <c r="T22" s="6">
        <v>27</v>
      </c>
      <c r="U22" s="41">
        <v>-0.39527029095120902</v>
      </c>
      <c r="V22" s="94">
        <v>27</v>
      </c>
      <c r="W22" s="97">
        <v>27</v>
      </c>
      <c r="X22" s="41">
        <v>2.6424581675280798</v>
      </c>
      <c r="Y22" s="6">
        <v>92</v>
      </c>
      <c r="Z22" s="41">
        <v>2.6424581675280798</v>
      </c>
      <c r="AA22" s="84">
        <v>92</v>
      </c>
      <c r="AB22" s="91">
        <v>27</v>
      </c>
      <c r="AC22" s="41">
        <v>2.6424581675280798</v>
      </c>
      <c r="AD22" s="6">
        <v>92</v>
      </c>
      <c r="AE22" s="41">
        <v>2.6424581675280798</v>
      </c>
      <c r="AF22" s="84">
        <v>92</v>
      </c>
      <c r="AG22" s="91">
        <v>27</v>
      </c>
      <c r="AH22" s="41">
        <v>2.6424581675280798</v>
      </c>
      <c r="AI22" s="6">
        <v>92</v>
      </c>
      <c r="AJ22" s="41">
        <v>2.6424581675280798</v>
      </c>
      <c r="AK22" s="84">
        <v>92</v>
      </c>
      <c r="AL22" s="93">
        <v>7</v>
      </c>
      <c r="AM22" s="41">
        <v>1.2027026678716399</v>
      </c>
      <c r="AN22" s="6">
        <v>92</v>
      </c>
      <c r="AO22" s="41">
        <v>1.2027026678716399</v>
      </c>
      <c r="AP22" s="84">
        <v>92</v>
      </c>
      <c r="AQ22" s="91">
        <v>8</v>
      </c>
      <c r="AR22" s="41">
        <v>0.868194831836681</v>
      </c>
      <c r="AS22" s="6">
        <v>92</v>
      </c>
      <c r="AT22" s="41">
        <v>0.868194831836681</v>
      </c>
      <c r="AU22" s="89">
        <v>92</v>
      </c>
      <c r="AV22" s="97">
        <v>20</v>
      </c>
      <c r="AW22" s="41">
        <v>0.76216213429731705</v>
      </c>
      <c r="AX22" s="6">
        <v>92</v>
      </c>
      <c r="AY22" s="41">
        <v>0.76216213429731705</v>
      </c>
      <c r="AZ22" s="94">
        <v>92</v>
      </c>
    </row>
    <row r="23" spans="1:52" x14ac:dyDescent="0.3">
      <c r="A23" t="s">
        <v>53</v>
      </c>
      <c r="B23" s="25">
        <v>45536</v>
      </c>
      <c r="C23" s="25">
        <v>45566</v>
      </c>
      <c r="D23" s="24">
        <v>37.889999389648402</v>
      </c>
      <c r="E23" s="2">
        <v>0.324362061563159</v>
      </c>
      <c r="F23" s="2">
        <v>1.36436144184124E-2</v>
      </c>
      <c r="G23" s="15">
        <v>0.15017161607452401</v>
      </c>
      <c r="H23" s="16">
        <v>0.21483239695887299</v>
      </c>
      <c r="I23" s="17">
        <v>0.35814198768584699</v>
      </c>
      <c r="J23" s="18">
        <v>146</v>
      </c>
      <c r="K23" s="19">
        <v>-0.14621274755261299</v>
      </c>
      <c r="L23" s="18">
        <v>22</v>
      </c>
      <c r="M23" s="26">
        <v>26</v>
      </c>
      <c r="N23" s="28">
        <v>86</v>
      </c>
      <c r="O23" s="87">
        <v>86</v>
      </c>
      <c r="P23" s="28">
        <v>16</v>
      </c>
      <c r="S23" s="98">
        <v>0.45203163314149702</v>
      </c>
      <c r="T23" s="6">
        <v>146</v>
      </c>
      <c r="U23" s="41">
        <v>0.45203163314149702</v>
      </c>
      <c r="V23" s="94">
        <v>146</v>
      </c>
      <c r="W23" s="97">
        <v>16</v>
      </c>
      <c r="X23" s="41">
        <v>0.52248521437978401</v>
      </c>
      <c r="Y23" s="6">
        <v>146</v>
      </c>
      <c r="Z23" s="41">
        <v>0.52248521437978401</v>
      </c>
      <c r="AA23" s="84">
        <v>146</v>
      </c>
      <c r="AB23" s="91"/>
      <c r="AG23" s="91"/>
      <c r="AL23" s="93">
        <v>16</v>
      </c>
      <c r="AM23" s="41">
        <v>0.52248521437978401</v>
      </c>
      <c r="AN23" s="6">
        <v>146</v>
      </c>
      <c r="AO23" s="41">
        <v>0.52248521437978401</v>
      </c>
      <c r="AP23" s="84">
        <v>146</v>
      </c>
      <c r="AQ23" s="91">
        <v>86</v>
      </c>
      <c r="AR23" s="41">
        <v>3.1675982007294198E-2</v>
      </c>
      <c r="AS23" s="6">
        <v>146</v>
      </c>
      <c r="AT23" s="41">
        <v>3.1675982007294198E-2</v>
      </c>
      <c r="AU23" s="89">
        <v>146</v>
      </c>
      <c r="AV23" s="97">
        <v>86</v>
      </c>
      <c r="AW23" s="41">
        <v>3.1675982007294198E-2</v>
      </c>
      <c r="AX23" s="6">
        <v>146</v>
      </c>
      <c r="AY23" s="41">
        <v>3.1675982007294198E-2</v>
      </c>
      <c r="AZ23" s="94">
        <v>146</v>
      </c>
    </row>
    <row r="24" spans="1:52" x14ac:dyDescent="0.3">
      <c r="A24" t="s">
        <v>57</v>
      </c>
      <c r="B24" s="25">
        <v>45505</v>
      </c>
      <c r="C24" s="25">
        <v>45536</v>
      </c>
      <c r="D24" s="24">
        <v>18.027834892272899</v>
      </c>
      <c r="E24" s="2">
        <v>0.16522228876643499</v>
      </c>
      <c r="F24" s="2">
        <v>0.12995715816975101</v>
      </c>
      <c r="G24" s="15">
        <v>0.21270067984566801</v>
      </c>
      <c r="H24" s="16">
        <v>-0.31986798250381998</v>
      </c>
      <c r="I24" s="17">
        <v>0.467776616620524</v>
      </c>
      <c r="J24" s="18">
        <v>102</v>
      </c>
      <c r="K24" s="19">
        <v>-0.46662757349080602</v>
      </c>
      <c r="L24" s="18">
        <v>149</v>
      </c>
      <c r="M24" s="26">
        <v>23</v>
      </c>
      <c r="N24" s="28">
        <v>41</v>
      </c>
      <c r="O24" s="87">
        <v>95</v>
      </c>
      <c r="P24" s="28">
        <v>37</v>
      </c>
      <c r="Q24" s="28">
        <v>146</v>
      </c>
      <c r="R24" s="28">
        <v>146</v>
      </c>
      <c r="S24" s="98">
        <v>0.56868083501219302</v>
      </c>
      <c r="T24" s="6">
        <v>102</v>
      </c>
      <c r="U24" s="41">
        <v>0.56868083501219302</v>
      </c>
      <c r="V24" s="94">
        <v>102</v>
      </c>
      <c r="W24" s="97">
        <v>37</v>
      </c>
      <c r="X24" s="41">
        <v>0.63210959115549403</v>
      </c>
      <c r="Y24" s="6">
        <v>102</v>
      </c>
      <c r="Z24" s="41">
        <v>0.63210959115549403</v>
      </c>
      <c r="AA24" s="84">
        <v>102</v>
      </c>
      <c r="AB24" s="91">
        <v>146</v>
      </c>
      <c r="AC24" s="41">
        <v>-2.9794503808283301E-2</v>
      </c>
      <c r="AD24" s="6">
        <v>999</v>
      </c>
      <c r="AE24" s="41">
        <v>-2.9794503808283301E-2</v>
      </c>
      <c r="AF24" s="84">
        <v>999</v>
      </c>
      <c r="AG24" s="91">
        <v>146</v>
      </c>
      <c r="AH24" s="41">
        <v>-2.9794503808283301E-2</v>
      </c>
      <c r="AI24" s="6">
        <v>999</v>
      </c>
      <c r="AJ24" s="41">
        <v>-2.9794503808283301E-2</v>
      </c>
      <c r="AK24" s="84">
        <v>999</v>
      </c>
      <c r="AL24" s="93">
        <v>23</v>
      </c>
      <c r="AM24" s="41">
        <v>0.26907827952145802</v>
      </c>
      <c r="AN24" s="6">
        <v>102</v>
      </c>
      <c r="AO24" s="41">
        <v>0.26907827952145802</v>
      </c>
      <c r="AP24" s="84">
        <v>102</v>
      </c>
      <c r="AQ24" s="91">
        <v>41</v>
      </c>
      <c r="AR24" s="41">
        <v>0.21491707612431099</v>
      </c>
      <c r="AS24" s="6">
        <v>102</v>
      </c>
      <c r="AT24" s="41">
        <v>0.21491707612431099</v>
      </c>
      <c r="AU24" s="89">
        <v>102</v>
      </c>
      <c r="AV24" s="97">
        <v>95</v>
      </c>
      <c r="AW24" s="41">
        <v>-0.15494263378675399</v>
      </c>
      <c r="AX24" s="6">
        <v>999</v>
      </c>
      <c r="AY24" s="41">
        <v>-0.15494263378675399</v>
      </c>
      <c r="AZ24" s="94">
        <v>999</v>
      </c>
    </row>
    <row r="25" spans="1:52" x14ac:dyDescent="0.3">
      <c r="A25" t="s">
        <v>26</v>
      </c>
      <c r="B25" s="25">
        <v>45505</v>
      </c>
      <c r="C25" s="25">
        <v>45536</v>
      </c>
      <c r="D25" s="24">
        <v>5.04500007629394</v>
      </c>
      <c r="E25" s="2">
        <v>-0.55248737357608801</v>
      </c>
      <c r="F25" s="2">
        <v>-0.37716051374079701</v>
      </c>
      <c r="G25" s="15">
        <v>-7.0366702419213695E-2</v>
      </c>
      <c r="H25" s="16">
        <v>-0.21506442452702801</v>
      </c>
      <c r="I25" s="17">
        <v>0.201189266825782</v>
      </c>
      <c r="J25" s="18">
        <v>28</v>
      </c>
      <c r="K25" s="19">
        <v>-0.38156593887486401</v>
      </c>
      <c r="L25" s="18">
        <v>131</v>
      </c>
      <c r="M25" s="26">
        <v>19</v>
      </c>
      <c r="N25" s="28">
        <v>28</v>
      </c>
      <c r="P25" s="28">
        <v>3</v>
      </c>
      <c r="Q25" s="28">
        <v>14</v>
      </c>
      <c r="R25" s="28">
        <v>105</v>
      </c>
      <c r="S25" s="98">
        <v>0.5</v>
      </c>
      <c r="T25" s="6">
        <v>28</v>
      </c>
      <c r="U25" s="41">
        <v>0.5</v>
      </c>
      <c r="V25" s="94">
        <v>28</v>
      </c>
      <c r="W25" s="97">
        <v>7</v>
      </c>
      <c r="X25" s="41">
        <v>9.9559964853455293E-2</v>
      </c>
      <c r="Y25" s="6">
        <v>999</v>
      </c>
      <c r="Z25" s="41">
        <v>9.9559964853455293E-2</v>
      </c>
      <c r="AA25" s="84">
        <v>999</v>
      </c>
      <c r="AB25" s="91">
        <v>14</v>
      </c>
      <c r="AC25" s="41">
        <v>0.107691473962217</v>
      </c>
      <c r="AD25" s="6">
        <v>999</v>
      </c>
      <c r="AE25" s="41">
        <v>0.107691473962217</v>
      </c>
      <c r="AF25" s="84">
        <v>999</v>
      </c>
      <c r="AG25" s="91">
        <v>105</v>
      </c>
      <c r="AH25" s="41">
        <v>0.42979935744485198</v>
      </c>
      <c r="AI25" s="6">
        <v>145</v>
      </c>
      <c r="AJ25" s="41">
        <v>0.42979935744485198</v>
      </c>
      <c r="AK25" s="84">
        <v>145</v>
      </c>
      <c r="AL25" s="93">
        <v>7</v>
      </c>
      <c r="AM25" s="41">
        <v>9.9559964853455293E-2</v>
      </c>
      <c r="AN25" s="6">
        <v>999</v>
      </c>
      <c r="AO25" s="41">
        <v>9.9559964853455293E-2</v>
      </c>
      <c r="AP25" s="84">
        <v>999</v>
      </c>
      <c r="AQ25" s="91">
        <v>14</v>
      </c>
      <c r="AR25" s="41">
        <v>0.107691473962217</v>
      </c>
      <c r="AS25" s="6">
        <v>999</v>
      </c>
      <c r="AT25" s="41">
        <v>0.107691473962217</v>
      </c>
      <c r="AU25" s="89">
        <v>999</v>
      </c>
      <c r="AV25" s="97">
        <v>105</v>
      </c>
      <c r="AW25" s="41">
        <v>0.42979935744485198</v>
      </c>
      <c r="AX25" s="6">
        <v>145</v>
      </c>
      <c r="AY25" s="41">
        <v>0.42979935744485198</v>
      </c>
      <c r="AZ25" s="94">
        <v>145</v>
      </c>
    </row>
    <row r="26" spans="1:52" x14ac:dyDescent="0.3">
      <c r="A26" t="s">
        <v>47</v>
      </c>
      <c r="B26" s="25">
        <v>45505</v>
      </c>
      <c r="C26" s="25">
        <v>45536</v>
      </c>
      <c r="D26" s="24">
        <v>4.6564192771911603</v>
      </c>
      <c r="E26" s="2">
        <v>-0.11856883340124</v>
      </c>
      <c r="F26" s="2">
        <v>-0.22299372966421599</v>
      </c>
      <c r="G26" s="15">
        <v>-0.325183592912765</v>
      </c>
      <c r="H26" s="16">
        <v>-0.223759497866868</v>
      </c>
      <c r="I26" s="17">
        <v>0.20268966830134499</v>
      </c>
      <c r="J26" s="18">
        <v>46</v>
      </c>
      <c r="K26" s="19">
        <v>-0.387093315572339</v>
      </c>
      <c r="L26" s="18">
        <v>82</v>
      </c>
      <c r="M26" s="26">
        <v>28</v>
      </c>
      <c r="N26" s="28">
        <v>46</v>
      </c>
      <c r="P26" s="28">
        <v>6</v>
      </c>
      <c r="Q26" s="28">
        <v>71</v>
      </c>
      <c r="R26" s="28">
        <v>74</v>
      </c>
      <c r="S26" s="98">
        <v>0.31929029327277503</v>
      </c>
      <c r="T26" s="6">
        <v>46</v>
      </c>
      <c r="U26" s="41">
        <v>0.31929029327277503</v>
      </c>
      <c r="V26" s="94">
        <v>46</v>
      </c>
      <c r="W26" s="97">
        <v>7</v>
      </c>
      <c r="X26" s="41">
        <v>0.31929029327277503</v>
      </c>
      <c r="Y26" s="6">
        <v>46</v>
      </c>
      <c r="Z26" s="41">
        <v>0.31929029327277503</v>
      </c>
      <c r="AA26" s="84">
        <v>46</v>
      </c>
      <c r="AB26" s="91">
        <v>71</v>
      </c>
      <c r="AC26" s="41">
        <v>0.38495614824186902</v>
      </c>
      <c r="AD26" s="6">
        <v>136</v>
      </c>
      <c r="AE26" s="41">
        <v>0.38495614824186902</v>
      </c>
      <c r="AF26" s="84">
        <v>136</v>
      </c>
      <c r="AG26" s="91">
        <v>74</v>
      </c>
      <c r="AH26" s="41">
        <v>0.60806475502237201</v>
      </c>
      <c r="AI26" s="6">
        <v>136</v>
      </c>
      <c r="AJ26" s="41">
        <v>0.60806475502237201</v>
      </c>
      <c r="AK26" s="84">
        <v>136</v>
      </c>
      <c r="AL26" s="93">
        <v>7</v>
      </c>
      <c r="AM26" s="41">
        <v>0.31929029327277503</v>
      </c>
      <c r="AN26" s="6">
        <v>46</v>
      </c>
      <c r="AO26" s="41">
        <v>0.31929029327277503</v>
      </c>
      <c r="AP26" s="84">
        <v>46</v>
      </c>
      <c r="AQ26" s="91">
        <v>46</v>
      </c>
      <c r="AR26" s="41">
        <v>-0.32101114339416198</v>
      </c>
      <c r="AS26" s="6">
        <v>999</v>
      </c>
      <c r="AT26" s="41">
        <v>-0.32101114339416198</v>
      </c>
      <c r="AU26" s="89">
        <v>999</v>
      </c>
      <c r="AV26" s="97">
        <v>74</v>
      </c>
      <c r="AW26" s="41">
        <v>0.60806475502237201</v>
      </c>
      <c r="AX26" s="6">
        <v>136</v>
      </c>
      <c r="AY26" s="41">
        <v>0.60806475502237201</v>
      </c>
      <c r="AZ26" s="94">
        <v>136</v>
      </c>
    </row>
    <row r="27" spans="1:52" x14ac:dyDescent="0.3">
      <c r="A27" t="s">
        <v>44</v>
      </c>
      <c r="B27" s="25">
        <v>45505</v>
      </c>
      <c r="C27" s="25">
        <v>45536</v>
      </c>
      <c r="D27" s="24">
        <v>167.38000488281199</v>
      </c>
      <c r="E27" s="2">
        <v>-0.130448334426606</v>
      </c>
      <c r="F27" s="2">
        <v>-0.104392929373173</v>
      </c>
      <c r="G27" s="15">
        <v>3.1305951018723202E-2</v>
      </c>
      <c r="H27" s="16">
        <v>-3.9192241410116603E-2</v>
      </c>
      <c r="I27" s="17">
        <v>0.11273745110952101</v>
      </c>
      <c r="J27" s="18">
        <v>111</v>
      </c>
      <c r="K27" s="19">
        <v>-0.18395272820358</v>
      </c>
      <c r="L27" s="18">
        <v>147</v>
      </c>
      <c r="M27" s="26">
        <v>107</v>
      </c>
      <c r="P27" s="28">
        <v>22</v>
      </c>
      <c r="S27" s="98">
        <v>0.14425259637049501</v>
      </c>
      <c r="T27" s="6">
        <v>111</v>
      </c>
      <c r="U27" s="41">
        <v>0.14425259637049501</v>
      </c>
      <c r="V27" s="94">
        <v>111</v>
      </c>
      <c r="W27" s="97">
        <v>22</v>
      </c>
      <c r="X27" s="41">
        <v>0.237377057622607</v>
      </c>
      <c r="Y27" s="6">
        <v>111</v>
      </c>
      <c r="Z27" s="41">
        <v>0.237377057622607</v>
      </c>
      <c r="AA27" s="84">
        <v>111</v>
      </c>
      <c r="AB27" s="91"/>
      <c r="AG27" s="91"/>
      <c r="AL27" s="93">
        <v>22</v>
      </c>
      <c r="AM27" s="41">
        <v>0.237377057622607</v>
      </c>
      <c r="AN27" s="6">
        <v>111</v>
      </c>
      <c r="AO27" s="41">
        <v>0.237377057622607</v>
      </c>
      <c r="AP27" s="84">
        <v>111</v>
      </c>
      <c r="AQ27" s="91"/>
      <c r="AV27" s="97"/>
    </row>
    <row r="28" spans="1:52" x14ac:dyDescent="0.3">
      <c r="A28" t="s">
        <v>20</v>
      </c>
      <c r="B28" s="25">
        <v>45474</v>
      </c>
      <c r="C28" s="25">
        <v>45505</v>
      </c>
      <c r="D28" s="24">
        <v>11.1988477706909</v>
      </c>
      <c r="E28" s="2">
        <v>-0.41970796535220301</v>
      </c>
      <c r="F28" s="2">
        <v>0.23202228518166801</v>
      </c>
      <c r="G28" s="15">
        <v>-0.20788415548091699</v>
      </c>
      <c r="H28" s="16">
        <v>-0.47357713970969301</v>
      </c>
      <c r="I28" s="17">
        <v>0.19413578125842201</v>
      </c>
      <c r="J28" s="18">
        <v>88</v>
      </c>
      <c r="K28" s="19">
        <v>-0.47357713970969301</v>
      </c>
      <c r="L28" s="18">
        <v>150</v>
      </c>
      <c r="M28" s="26">
        <v>88</v>
      </c>
      <c r="P28" s="28">
        <v>2</v>
      </c>
      <c r="Q28" s="28">
        <v>59</v>
      </c>
      <c r="R28" s="28">
        <v>148</v>
      </c>
      <c r="S28" s="98">
        <v>0.42552966539995002</v>
      </c>
      <c r="T28" s="6">
        <v>88</v>
      </c>
      <c r="U28" s="41">
        <v>0.42552966539995002</v>
      </c>
      <c r="V28" s="94">
        <v>88</v>
      </c>
      <c r="W28" s="97">
        <v>7</v>
      </c>
      <c r="X28" s="41">
        <v>0.42552966539995002</v>
      </c>
      <c r="Y28" s="6">
        <v>88</v>
      </c>
      <c r="Z28" s="41">
        <v>0.42552966539995002</v>
      </c>
      <c r="AA28" s="84">
        <v>88</v>
      </c>
      <c r="AB28" s="91">
        <v>59</v>
      </c>
      <c r="AC28" s="41">
        <v>0.52391315404417704</v>
      </c>
      <c r="AD28" s="6">
        <v>88</v>
      </c>
      <c r="AE28" s="41">
        <v>0.52391315404417704</v>
      </c>
      <c r="AF28" s="84">
        <v>88</v>
      </c>
      <c r="AG28" s="91">
        <v>148</v>
      </c>
      <c r="AH28" s="41">
        <v>-6.2082137687811199E-2</v>
      </c>
      <c r="AI28" s="6">
        <v>999</v>
      </c>
      <c r="AJ28" s="41">
        <v>-6.2082137687811199E-2</v>
      </c>
      <c r="AK28" s="84">
        <v>999</v>
      </c>
      <c r="AL28" s="93">
        <v>7</v>
      </c>
      <c r="AM28" s="41">
        <v>0.42552966539995002</v>
      </c>
      <c r="AN28" s="6">
        <v>88</v>
      </c>
      <c r="AO28" s="41">
        <v>0.42552966539995002</v>
      </c>
      <c r="AP28" s="84">
        <v>88</v>
      </c>
      <c r="AQ28" s="91">
        <v>59</v>
      </c>
      <c r="AR28" s="41">
        <v>0.52391315404417704</v>
      </c>
      <c r="AS28" s="6">
        <v>88</v>
      </c>
      <c r="AT28" s="41">
        <v>0.52391315404417704</v>
      </c>
      <c r="AU28" s="89">
        <v>88</v>
      </c>
      <c r="AV28" s="97">
        <v>148</v>
      </c>
      <c r="AW28" s="41">
        <v>-6.2082137687811199E-2</v>
      </c>
      <c r="AX28" s="6">
        <v>999</v>
      </c>
      <c r="AY28" s="41">
        <v>-6.2082137687811199E-2</v>
      </c>
      <c r="AZ28" s="94">
        <v>999</v>
      </c>
    </row>
    <row r="29" spans="1:52" x14ac:dyDescent="0.3">
      <c r="A29" t="s">
        <v>9</v>
      </c>
      <c r="B29" s="25">
        <v>45444</v>
      </c>
      <c r="C29" s="25">
        <v>45474</v>
      </c>
      <c r="D29" s="24">
        <v>27.059999465942301</v>
      </c>
      <c r="E29" s="2">
        <v>-0.37201208238294198</v>
      </c>
      <c r="F29" s="2">
        <v>-3.2534854120558399E-2</v>
      </c>
      <c r="G29" s="15">
        <v>-0.36363637645198299</v>
      </c>
      <c r="H29" s="16">
        <v>-0.84331116575022003</v>
      </c>
      <c r="I29" s="17">
        <v>0.18588325151211599</v>
      </c>
      <c r="J29" s="18">
        <v>48</v>
      </c>
      <c r="K29" s="19">
        <v>-0.85809312675699301</v>
      </c>
      <c r="L29" s="18">
        <v>148</v>
      </c>
      <c r="M29" s="26">
        <v>44</v>
      </c>
      <c r="P29" s="28">
        <v>5</v>
      </c>
      <c r="Q29" s="28">
        <v>23</v>
      </c>
      <c r="R29" s="28">
        <v>51</v>
      </c>
      <c r="S29" s="98">
        <v>-0.213553989579022</v>
      </c>
      <c r="T29" s="6">
        <v>25</v>
      </c>
      <c r="U29" s="41">
        <v>0.264381450500355</v>
      </c>
      <c r="V29" s="94">
        <v>48</v>
      </c>
      <c r="W29" s="97">
        <v>7</v>
      </c>
      <c r="X29" s="41">
        <v>0.264381450500355</v>
      </c>
      <c r="Y29" s="6">
        <v>48</v>
      </c>
      <c r="Z29" s="41">
        <v>0.264381450500355</v>
      </c>
      <c r="AA29" s="84">
        <v>48</v>
      </c>
      <c r="AB29" s="91">
        <v>23</v>
      </c>
      <c r="AC29" s="41">
        <v>0.51367919800671302</v>
      </c>
      <c r="AD29" s="6">
        <v>48</v>
      </c>
      <c r="AE29" s="41">
        <v>0.51367919800671302</v>
      </c>
      <c r="AF29" s="84">
        <v>48</v>
      </c>
      <c r="AG29" s="91">
        <v>51</v>
      </c>
      <c r="AH29" s="41">
        <v>0.47413786273816499</v>
      </c>
      <c r="AI29" s="6">
        <v>113</v>
      </c>
      <c r="AJ29" s="41">
        <v>0.47413786273816499</v>
      </c>
      <c r="AK29" s="84">
        <v>113</v>
      </c>
      <c r="AL29" s="93">
        <v>7</v>
      </c>
      <c r="AM29" s="41">
        <v>0.264381450500355</v>
      </c>
      <c r="AN29" s="6">
        <v>48</v>
      </c>
      <c r="AO29" s="41">
        <v>0.264381450500355</v>
      </c>
      <c r="AP29" s="84">
        <v>48</v>
      </c>
      <c r="AQ29" s="91">
        <v>23</v>
      </c>
      <c r="AR29" s="41">
        <v>0.51367919800671302</v>
      </c>
      <c r="AS29" s="6">
        <v>48</v>
      </c>
      <c r="AT29" s="41">
        <v>0.51367919800671302</v>
      </c>
      <c r="AU29" s="89">
        <v>48</v>
      </c>
      <c r="AV29" s="97">
        <v>51</v>
      </c>
      <c r="AW29" s="41">
        <v>0.47413786273816499</v>
      </c>
      <c r="AX29" s="6">
        <v>113</v>
      </c>
      <c r="AY29" s="41">
        <v>0.47413786273816499</v>
      </c>
      <c r="AZ29" s="94">
        <v>113</v>
      </c>
    </row>
    <row r="30" spans="1:52" x14ac:dyDescent="0.3">
      <c r="A30" t="s">
        <v>51</v>
      </c>
      <c r="B30" s="25">
        <v>45444</v>
      </c>
      <c r="C30" s="25">
        <v>45474</v>
      </c>
      <c r="D30" s="24">
        <v>18.459999084472599</v>
      </c>
      <c r="E30" s="2">
        <v>0.24898507564192501</v>
      </c>
      <c r="F30" s="2">
        <v>0.15374994277954099</v>
      </c>
      <c r="G30" s="15">
        <v>0.38678232129506201</v>
      </c>
      <c r="H30" s="16">
        <v>0.65222110036043202</v>
      </c>
      <c r="I30" s="17">
        <v>0.65492961821201801</v>
      </c>
      <c r="J30" s="18">
        <v>149</v>
      </c>
      <c r="K30" s="19">
        <v>0</v>
      </c>
      <c r="L30" s="18">
        <v>0</v>
      </c>
      <c r="M30" s="26">
        <v>10</v>
      </c>
      <c r="N30" s="28">
        <v>23</v>
      </c>
      <c r="O30" s="87">
        <v>34</v>
      </c>
      <c r="S30" s="98">
        <v>0.605359859944687</v>
      </c>
      <c r="T30" s="6">
        <v>149</v>
      </c>
      <c r="U30" s="41">
        <v>0.605359859944687</v>
      </c>
      <c r="V30" s="94">
        <v>149</v>
      </c>
      <c r="W30" s="97"/>
      <c r="AB30" s="91"/>
      <c r="AG30" s="91"/>
      <c r="AL30" s="93">
        <v>10</v>
      </c>
      <c r="AM30" s="41">
        <v>0.486618022932364</v>
      </c>
      <c r="AN30" s="6">
        <v>149</v>
      </c>
      <c r="AO30" s="41">
        <v>0.486618022932364</v>
      </c>
      <c r="AP30" s="84">
        <v>149</v>
      </c>
      <c r="AQ30" s="91">
        <v>23</v>
      </c>
      <c r="AR30" s="41">
        <v>0.36689032284712603</v>
      </c>
      <c r="AS30" s="6">
        <v>149</v>
      </c>
      <c r="AT30" s="41">
        <v>0.36689032284712603</v>
      </c>
      <c r="AU30" s="89">
        <v>149</v>
      </c>
      <c r="AV30" s="97">
        <v>34</v>
      </c>
      <c r="AW30" s="41">
        <v>0.26396355567347002</v>
      </c>
      <c r="AX30" s="6">
        <v>149</v>
      </c>
      <c r="AY30" s="41">
        <v>0.26396355567347002</v>
      </c>
      <c r="AZ30" s="94">
        <v>149</v>
      </c>
    </row>
    <row r="31" spans="1:52" x14ac:dyDescent="0.3">
      <c r="A31" t="s">
        <v>48</v>
      </c>
      <c r="B31" s="25">
        <v>45413</v>
      </c>
      <c r="C31" s="25">
        <v>45444</v>
      </c>
      <c r="D31" s="24">
        <v>10.844999790191601</v>
      </c>
      <c r="E31" s="2">
        <v>-0.18519913987320699</v>
      </c>
      <c r="F31" s="2">
        <v>3.28571228753953E-2</v>
      </c>
      <c r="G31" s="15">
        <v>1.0603988029518299E-2</v>
      </c>
      <c r="H31" s="16">
        <v>-0.16274780088809901</v>
      </c>
      <c r="I31" s="17">
        <v>0.61456897811266797</v>
      </c>
      <c r="J31" s="18">
        <v>32</v>
      </c>
      <c r="K31" s="19">
        <v>-0.28630706123956601</v>
      </c>
      <c r="L31" s="18">
        <v>23</v>
      </c>
      <c r="M31" s="26">
        <v>29</v>
      </c>
      <c r="N31" s="28">
        <v>32</v>
      </c>
      <c r="O31" s="87">
        <v>32</v>
      </c>
      <c r="P31" s="28">
        <v>8</v>
      </c>
      <c r="Q31" s="28">
        <v>19</v>
      </c>
      <c r="S31" s="98">
        <v>-0.20394086429768199</v>
      </c>
      <c r="T31" s="6">
        <v>22</v>
      </c>
      <c r="U31" s="41">
        <v>0.72512324009498796</v>
      </c>
      <c r="V31" s="94">
        <v>32</v>
      </c>
      <c r="W31" s="97">
        <v>8</v>
      </c>
      <c r="X31" s="41">
        <v>0.13459746068407599</v>
      </c>
      <c r="Y31" s="6">
        <v>999</v>
      </c>
      <c r="Z31" s="41">
        <v>0.13459746068407599</v>
      </c>
      <c r="AA31" s="84">
        <v>999</v>
      </c>
      <c r="AB31" s="91">
        <v>19</v>
      </c>
      <c r="AC31" s="41">
        <v>0.36797060727394898</v>
      </c>
      <c r="AD31" s="6">
        <v>999</v>
      </c>
      <c r="AE31" s="41">
        <v>0.36797060727394898</v>
      </c>
      <c r="AF31" s="84">
        <v>999</v>
      </c>
      <c r="AG31" s="91"/>
      <c r="AL31" s="93">
        <v>8</v>
      </c>
      <c r="AM31" s="41">
        <v>0.13459746068407599</v>
      </c>
      <c r="AN31" s="6">
        <v>999</v>
      </c>
      <c r="AO31" s="41">
        <v>0.13459746068407599</v>
      </c>
      <c r="AP31" s="84">
        <v>999</v>
      </c>
      <c r="AQ31" s="91">
        <v>19</v>
      </c>
      <c r="AR31" s="41">
        <v>0.36797060727394898</v>
      </c>
      <c r="AS31" s="6">
        <v>999</v>
      </c>
      <c r="AT31" s="41">
        <v>0.36797060727394898</v>
      </c>
      <c r="AU31" s="89">
        <v>999</v>
      </c>
      <c r="AV31" s="97">
        <v>32</v>
      </c>
      <c r="AW31" s="41">
        <v>-0.35331552186262599</v>
      </c>
      <c r="AX31" s="6">
        <v>999</v>
      </c>
      <c r="AY31" s="41">
        <v>-0.35331552186262599</v>
      </c>
      <c r="AZ31" s="94">
        <v>999</v>
      </c>
    </row>
    <row r="32" spans="1:52" x14ac:dyDescent="0.3">
      <c r="A32" t="s">
        <v>39</v>
      </c>
      <c r="B32" s="25">
        <v>45413</v>
      </c>
      <c r="C32" s="25">
        <v>45444</v>
      </c>
      <c r="D32" s="24">
        <v>17.045000076293899</v>
      </c>
      <c r="E32" s="2">
        <v>0.73928568821954299</v>
      </c>
      <c r="F32" s="2">
        <v>0.35063393271487597</v>
      </c>
      <c r="G32" s="15">
        <v>0.466705772255748</v>
      </c>
      <c r="H32" s="16">
        <v>4.9574614817967197E-2</v>
      </c>
      <c r="I32" s="17">
        <v>0.78938104215201199</v>
      </c>
      <c r="J32" s="18">
        <v>70</v>
      </c>
      <c r="K32" s="19">
        <v>-0.25198005614956798</v>
      </c>
      <c r="L32" s="18">
        <v>15</v>
      </c>
      <c r="M32" s="26">
        <v>49</v>
      </c>
      <c r="N32" s="28">
        <v>49</v>
      </c>
      <c r="O32" s="87">
        <v>51</v>
      </c>
      <c r="P32" s="28">
        <v>11</v>
      </c>
      <c r="Q32" s="28">
        <v>14</v>
      </c>
      <c r="S32" s="98">
        <v>-0.223272334229663</v>
      </c>
      <c r="T32" s="6">
        <v>14</v>
      </c>
      <c r="U32" s="41">
        <v>0.80153570290696596</v>
      </c>
      <c r="V32" s="94">
        <v>70</v>
      </c>
      <c r="W32" s="97">
        <v>11</v>
      </c>
      <c r="X32" s="41">
        <v>1.1210013739409299</v>
      </c>
      <c r="Y32" s="6">
        <v>70</v>
      </c>
      <c r="Z32" s="41">
        <v>1.1210013739409299</v>
      </c>
      <c r="AA32" s="84">
        <v>70</v>
      </c>
      <c r="AB32" s="91">
        <v>14</v>
      </c>
      <c r="AC32" s="41">
        <v>1.3193917022644599</v>
      </c>
      <c r="AD32" s="6">
        <v>70</v>
      </c>
      <c r="AE32" s="41">
        <v>1.3193917022644599</v>
      </c>
      <c r="AF32" s="84">
        <v>70</v>
      </c>
      <c r="AG32" s="91"/>
      <c r="AL32" s="93">
        <v>11</v>
      </c>
      <c r="AM32" s="41">
        <v>1.1210013739409299</v>
      </c>
      <c r="AN32" s="6">
        <v>70</v>
      </c>
      <c r="AO32" s="41">
        <v>1.1210013739409299</v>
      </c>
      <c r="AP32" s="84">
        <v>70</v>
      </c>
      <c r="AQ32" s="91">
        <v>14</v>
      </c>
      <c r="AR32" s="41">
        <v>1.3193917022644599</v>
      </c>
      <c r="AS32" s="6">
        <v>70</v>
      </c>
      <c r="AT32" s="41">
        <v>1.3193917022644599</v>
      </c>
      <c r="AU32" s="89">
        <v>70</v>
      </c>
      <c r="AV32" s="97">
        <v>51</v>
      </c>
      <c r="AW32" s="41">
        <v>8.6147908562548298E-3</v>
      </c>
      <c r="AX32" s="6">
        <v>999</v>
      </c>
      <c r="AY32" s="41">
        <v>8.6147908562548298E-3</v>
      </c>
      <c r="AZ32" s="94">
        <v>999</v>
      </c>
    </row>
    <row r="33" spans="1:52" x14ac:dyDescent="0.3">
      <c r="A33" t="s">
        <v>10</v>
      </c>
      <c r="B33" s="25">
        <v>45413</v>
      </c>
      <c r="C33" s="25">
        <v>45444</v>
      </c>
      <c r="D33" s="24">
        <v>37.125</v>
      </c>
      <c r="E33" s="2">
        <v>0.158707832059029</v>
      </c>
      <c r="F33" s="2">
        <v>-8.2200264529681696E-2</v>
      </c>
      <c r="G33" s="15">
        <v>0.15151515151515099</v>
      </c>
      <c r="H33" s="16">
        <v>0.12619532318629001</v>
      </c>
      <c r="I33" s="17">
        <v>0.34868686046664499</v>
      </c>
      <c r="J33" s="18">
        <v>57</v>
      </c>
      <c r="K33" s="19">
        <v>-0.124848439637258</v>
      </c>
      <c r="L33" s="18">
        <v>14</v>
      </c>
      <c r="M33" s="26">
        <v>25</v>
      </c>
      <c r="N33" s="28">
        <v>29</v>
      </c>
      <c r="O33" s="87">
        <v>52</v>
      </c>
      <c r="P33" s="28">
        <v>13</v>
      </c>
      <c r="S33" s="98">
        <v>0.359489470690324</v>
      </c>
      <c r="T33" s="6">
        <v>57</v>
      </c>
      <c r="U33" s="41">
        <v>0.359489470690324</v>
      </c>
      <c r="V33" s="94">
        <v>57</v>
      </c>
      <c r="W33" s="97">
        <v>13</v>
      </c>
      <c r="X33" s="41">
        <v>0.504507257553513</v>
      </c>
      <c r="Y33" s="6">
        <v>57</v>
      </c>
      <c r="Z33" s="41">
        <v>0.504507257553513</v>
      </c>
      <c r="AA33" s="84">
        <v>57</v>
      </c>
      <c r="AB33" s="91"/>
      <c r="AG33" s="91"/>
      <c r="AL33" s="93">
        <v>13</v>
      </c>
      <c r="AM33" s="41">
        <v>0.504507257553513</v>
      </c>
      <c r="AN33" s="6">
        <v>57</v>
      </c>
      <c r="AO33" s="41">
        <v>0.504507257553513</v>
      </c>
      <c r="AP33" s="84">
        <v>57</v>
      </c>
      <c r="AQ33" s="91">
        <v>29</v>
      </c>
      <c r="AR33" s="41">
        <v>0.122394059846878</v>
      </c>
      <c r="AS33" s="6">
        <v>57</v>
      </c>
      <c r="AT33" s="41">
        <v>0.122394059846878</v>
      </c>
      <c r="AU33" s="89">
        <v>57</v>
      </c>
      <c r="AV33" s="97">
        <v>52</v>
      </c>
      <c r="AW33" s="41">
        <v>-0.13266966693110299</v>
      </c>
      <c r="AX33" s="6">
        <v>999</v>
      </c>
      <c r="AY33" s="41">
        <v>-0.13266966693110299</v>
      </c>
      <c r="AZ33" s="94">
        <v>999</v>
      </c>
    </row>
  </sheetData>
  <autoFilter ref="A4:AZ76" xr:uid="{A63CA558-3F40-463D-93F5-3E4C2572FE45}">
    <sortState xmlns:xlrd2="http://schemas.microsoft.com/office/spreadsheetml/2017/richdata2" ref="A5:AZ33">
      <sortCondition descending="1" ref="C4:C76"/>
    </sortState>
  </autoFilter>
  <mergeCells count="29">
    <mergeCell ref="AV2:AZ2"/>
    <mergeCell ref="AW3:AX3"/>
    <mergeCell ref="AY3:AZ3"/>
    <mergeCell ref="S1:AZ1"/>
    <mergeCell ref="AL2:AP2"/>
    <mergeCell ref="AM3:AN3"/>
    <mergeCell ref="AO3:AP3"/>
    <mergeCell ref="AQ2:AU2"/>
    <mergeCell ref="AR3:AS3"/>
    <mergeCell ref="AT3:AU3"/>
    <mergeCell ref="AB2:AF2"/>
    <mergeCell ref="AC3:AD3"/>
    <mergeCell ref="AE3:AF3"/>
    <mergeCell ref="AG2:AK2"/>
    <mergeCell ref="AH3:AI3"/>
    <mergeCell ref="AJ3:AK3"/>
    <mergeCell ref="M2:O2"/>
    <mergeCell ref="P2:R2"/>
    <mergeCell ref="W2:AA2"/>
    <mergeCell ref="A1:R1"/>
    <mergeCell ref="B2:D2"/>
    <mergeCell ref="E2:F2"/>
    <mergeCell ref="G2:H2"/>
    <mergeCell ref="I2:L2"/>
    <mergeCell ref="Z3:AA3"/>
    <mergeCell ref="S2:V2"/>
    <mergeCell ref="S3:T3"/>
    <mergeCell ref="U3:V3"/>
    <mergeCell ref="X3:Y3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F27B-8209-4416-BE0A-9D70B54548FC}">
  <dimension ref="A1:AG30"/>
  <sheetViews>
    <sheetView zoomScale="115" zoomScaleNormal="115" workbookViewId="0">
      <pane xSplit="5" ySplit="3" topLeftCell="F4" activePane="bottomRight" state="frozen"/>
      <selection pane="topRight" activeCell="D1" sqref="D1"/>
      <selection pane="bottomLeft" activeCell="A2" sqref="A2"/>
      <selection pane="bottomRight" activeCell="V9" sqref="V9"/>
    </sheetView>
  </sheetViews>
  <sheetFormatPr defaultRowHeight="14.4" outlineLevelCol="1" x14ac:dyDescent="0.3"/>
  <cols>
    <col min="1" max="1" width="17.33203125" style="1" hidden="1" customWidth="1"/>
    <col min="3" max="4" width="11" style="25" customWidth="1"/>
    <col min="5" max="5" width="11" style="24" customWidth="1"/>
    <col min="6" max="7" width="9.88671875" style="2" hidden="1" customWidth="1" outlineLevel="1"/>
    <col min="8" max="8" width="9.88671875" style="15" hidden="1" customWidth="1" outlineLevel="1"/>
    <col min="9" max="9" width="9.88671875" style="16" hidden="1" customWidth="1" outlineLevel="1"/>
    <col min="10" max="10" width="6.88671875" style="17" hidden="1" customWidth="1" outlineLevel="1"/>
    <col min="11" max="11" width="12.33203125" style="18" hidden="1" customWidth="1" outlineLevel="1"/>
    <col min="12" max="12" width="6.6640625" style="19" hidden="1" customWidth="1" outlineLevel="1"/>
    <col min="13" max="13" width="12.109375" style="18" hidden="1" customWidth="1" outlineLevel="1"/>
    <col min="14" max="14" width="8.44140625" style="26" hidden="1" customWidth="1" outlineLevel="1"/>
    <col min="15" max="15" width="8.44140625" style="28" hidden="1" customWidth="1" outlineLevel="1"/>
    <col min="16" max="16" width="8.44140625" style="26" hidden="1" customWidth="1" outlineLevel="1"/>
    <col min="17" max="17" width="8.44140625" style="28" hidden="1" customWidth="1" outlineLevel="1"/>
    <col min="18" max="18" width="8.44140625" style="36" bestFit="1" customWidth="1" collapsed="1"/>
    <col min="19" max="19" width="8.21875" style="6" customWidth="1"/>
    <col min="20" max="20" width="13.5546875" style="37" customWidth="1"/>
    <col min="21" max="21" width="8.44140625" style="6" bestFit="1" customWidth="1"/>
    <col min="22" max="22" width="11" style="6" customWidth="1"/>
    <col min="23" max="23" width="9.44140625" style="38" customWidth="1"/>
    <col min="24" max="24" width="8.44140625" style="36" bestFit="1" customWidth="1"/>
    <col min="25" max="25" width="8.21875" style="6" bestFit="1" customWidth="1"/>
    <col min="26" max="26" width="9.44140625" style="41" bestFit="1" customWidth="1"/>
    <col min="27" max="27" width="8.44140625" style="36" bestFit="1" customWidth="1"/>
    <col min="28" max="28" width="8.21875" style="6" bestFit="1" customWidth="1"/>
    <col min="29" max="29" width="9.44140625" style="38" bestFit="1" customWidth="1"/>
    <col min="30" max="30" width="8.44140625" style="36" bestFit="1" customWidth="1"/>
    <col min="31" max="31" width="8.21875" style="6" bestFit="1" customWidth="1"/>
    <col min="32" max="32" width="9.44140625" style="38" bestFit="1" customWidth="1"/>
    <col min="33" max="33" width="8.88671875" style="42"/>
  </cols>
  <sheetData>
    <row r="1" spans="1:33" ht="15" thickBot="1" x14ac:dyDescent="0.35">
      <c r="A1" s="158" t="s">
        <v>62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35"/>
      <c r="Q1" s="31"/>
      <c r="R1" s="137" t="s">
        <v>65</v>
      </c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</row>
    <row r="2" spans="1:33" s="34" customFormat="1" ht="30.6" customHeight="1" x14ac:dyDescent="0.3">
      <c r="A2" s="33"/>
      <c r="C2" s="139" t="s">
        <v>37</v>
      </c>
      <c r="D2" s="139"/>
      <c r="E2" s="139"/>
      <c r="F2" s="140" t="s">
        <v>30</v>
      </c>
      <c r="G2" s="140"/>
      <c r="H2" s="141" t="s">
        <v>31</v>
      </c>
      <c r="I2" s="142"/>
      <c r="J2" s="141" t="s">
        <v>59</v>
      </c>
      <c r="K2" s="143"/>
      <c r="L2" s="142"/>
      <c r="M2" s="143"/>
      <c r="N2" s="159" t="s">
        <v>63</v>
      </c>
      <c r="O2" s="159"/>
      <c r="P2" s="159" t="s">
        <v>64</v>
      </c>
      <c r="Q2" s="159"/>
      <c r="R2" s="160" t="s">
        <v>35</v>
      </c>
      <c r="S2" s="160"/>
      <c r="T2" s="161"/>
      <c r="U2" s="155" t="s">
        <v>69</v>
      </c>
      <c r="V2" s="156"/>
      <c r="W2" s="156"/>
      <c r="X2" s="153" t="s">
        <v>70</v>
      </c>
      <c r="Y2" s="154"/>
      <c r="Z2" s="154"/>
      <c r="AA2" s="155" t="s">
        <v>67</v>
      </c>
      <c r="AB2" s="156"/>
      <c r="AC2" s="156"/>
      <c r="AD2" s="157" t="s">
        <v>66</v>
      </c>
      <c r="AE2" s="154"/>
      <c r="AF2" s="154"/>
      <c r="AG2" s="44"/>
    </row>
    <row r="3" spans="1:33" x14ac:dyDescent="0.3">
      <c r="A3" s="1" t="s">
        <v>0</v>
      </c>
      <c r="B3" t="s">
        <v>1</v>
      </c>
      <c r="C3" s="25" t="s">
        <v>40</v>
      </c>
      <c r="D3" s="25" t="s">
        <v>41</v>
      </c>
      <c r="E3" s="24" t="s">
        <v>42</v>
      </c>
      <c r="F3" s="10" t="s">
        <v>32</v>
      </c>
      <c r="G3" s="10" t="s">
        <v>28</v>
      </c>
      <c r="H3" s="11" t="s">
        <v>33</v>
      </c>
      <c r="I3" s="12" t="s">
        <v>34</v>
      </c>
      <c r="J3" s="17" t="s">
        <v>2</v>
      </c>
      <c r="K3" s="18" t="s">
        <v>3</v>
      </c>
      <c r="L3" s="19" t="s">
        <v>4</v>
      </c>
      <c r="M3" s="18" t="s">
        <v>5</v>
      </c>
      <c r="N3" s="30" t="s">
        <v>60</v>
      </c>
      <c r="O3" s="30" t="s">
        <v>61</v>
      </c>
      <c r="P3" s="30" t="s">
        <v>60</v>
      </c>
      <c r="Q3" s="30" t="s">
        <v>61</v>
      </c>
      <c r="R3" s="9" t="s">
        <v>68</v>
      </c>
      <c r="S3" s="8" t="s">
        <v>36</v>
      </c>
      <c r="T3" s="23" t="s">
        <v>27</v>
      </c>
      <c r="U3" s="9" t="s">
        <v>68</v>
      </c>
      <c r="V3" s="8" t="s">
        <v>36</v>
      </c>
      <c r="W3" s="32" t="s">
        <v>27</v>
      </c>
      <c r="X3" s="9" t="s">
        <v>68</v>
      </c>
      <c r="Y3" s="8" t="s">
        <v>36</v>
      </c>
      <c r="Z3" s="12" t="s">
        <v>27</v>
      </c>
      <c r="AA3" s="9" t="s">
        <v>68</v>
      </c>
      <c r="AB3" s="8" t="s">
        <v>36</v>
      </c>
      <c r="AC3" s="32" t="s">
        <v>27</v>
      </c>
      <c r="AD3" s="9" t="s">
        <v>68</v>
      </c>
      <c r="AE3" s="8" t="s">
        <v>36</v>
      </c>
      <c r="AF3" s="32" t="s">
        <v>27</v>
      </c>
    </row>
    <row r="4" spans="1:33" x14ac:dyDescent="0.3">
      <c r="A4" s="1" t="s">
        <v>72</v>
      </c>
      <c r="B4" t="s">
        <v>20</v>
      </c>
      <c r="C4" s="25">
        <v>45474</v>
      </c>
      <c r="D4" s="25">
        <v>45505</v>
      </c>
      <c r="E4" s="24">
        <v>11.1988477706909</v>
      </c>
      <c r="F4" s="2">
        <v>-0.41970790800001301</v>
      </c>
      <c r="G4" s="2">
        <v>0.23202228518166801</v>
      </c>
      <c r="H4" s="15">
        <v>-0.20788424063916999</v>
      </c>
      <c r="I4" s="16">
        <v>-0.473577097130567</v>
      </c>
      <c r="J4" s="17">
        <v>0.19413569610016901</v>
      </c>
      <c r="K4" s="18">
        <v>88</v>
      </c>
      <c r="L4" s="19">
        <v>-0.473577097130567</v>
      </c>
      <c r="M4" s="18">
        <v>150</v>
      </c>
      <c r="N4" s="26">
        <v>2</v>
      </c>
      <c r="O4" s="28">
        <v>59</v>
      </c>
      <c r="P4" s="26">
        <v>64</v>
      </c>
      <c r="Q4" s="28">
        <v>148</v>
      </c>
      <c r="R4" s="36">
        <v>7</v>
      </c>
      <c r="S4" s="6" t="s">
        <v>8</v>
      </c>
      <c r="T4" s="37">
        <v>0.42499999999999999</v>
      </c>
      <c r="U4" s="39">
        <f>O4</f>
        <v>59</v>
      </c>
      <c r="V4" s="6" t="s">
        <v>8</v>
      </c>
      <c r="W4" s="38">
        <v>0.52390000000000003</v>
      </c>
      <c r="X4" s="43">
        <f t="shared" ref="X4:X15" si="0">N4</f>
        <v>2</v>
      </c>
      <c r="Y4" s="6" t="s">
        <v>8</v>
      </c>
      <c r="Z4" s="41">
        <v>0.43</v>
      </c>
      <c r="AA4" s="43">
        <f>Q4</f>
        <v>148</v>
      </c>
      <c r="AB4" s="6" t="s">
        <v>6</v>
      </c>
      <c r="AC4" s="38" t="s">
        <v>6</v>
      </c>
      <c r="AD4" s="43">
        <f>P4</f>
        <v>64</v>
      </c>
      <c r="AE4" s="6" t="s">
        <v>8</v>
      </c>
      <c r="AF4" s="38">
        <v>0.60780000000000001</v>
      </c>
    </row>
    <row r="5" spans="1:33" x14ac:dyDescent="0.3">
      <c r="A5" s="1" t="s">
        <v>72</v>
      </c>
      <c r="B5" t="s">
        <v>16</v>
      </c>
      <c r="C5" s="25">
        <v>45474</v>
      </c>
      <c r="D5" s="25">
        <v>45505</v>
      </c>
      <c r="E5" s="24">
        <v>5.4499998092651296</v>
      </c>
      <c r="F5" s="2">
        <v>0.90559440880067998</v>
      </c>
      <c r="G5" s="2">
        <v>1.11317150771401E-2</v>
      </c>
      <c r="H5" s="15">
        <v>-0.36055045558511001</v>
      </c>
      <c r="I5" s="16">
        <v>-0.467889872135892</v>
      </c>
      <c r="J5" s="17">
        <v>0</v>
      </c>
      <c r="K5" s="18">
        <v>0</v>
      </c>
      <c r="L5" s="19">
        <v>-0.46972473283556698</v>
      </c>
      <c r="M5" s="18">
        <v>130</v>
      </c>
      <c r="N5" s="26">
        <v>2</v>
      </c>
      <c r="O5" s="28">
        <v>3</v>
      </c>
      <c r="P5" s="26">
        <v>27</v>
      </c>
      <c r="Q5" s="28">
        <v>66</v>
      </c>
      <c r="R5" s="36">
        <v>7</v>
      </c>
      <c r="S5" s="6" t="s">
        <v>71</v>
      </c>
      <c r="T5" s="37">
        <v>-0.29680000000000001</v>
      </c>
      <c r="U5" s="39" t="s">
        <v>6</v>
      </c>
      <c r="V5" s="6" t="s">
        <v>6</v>
      </c>
      <c r="W5" s="38" t="s">
        <v>6</v>
      </c>
      <c r="X5" s="43">
        <f t="shared" si="0"/>
        <v>2</v>
      </c>
      <c r="Y5" s="6" t="s">
        <v>71</v>
      </c>
      <c r="Z5" s="41">
        <v>-0.3</v>
      </c>
      <c r="AA5" s="43">
        <f>Q5</f>
        <v>66</v>
      </c>
      <c r="AB5" s="6" t="s">
        <v>71</v>
      </c>
      <c r="AC5" s="38">
        <v>-0.11</v>
      </c>
      <c r="AD5" s="43">
        <f>P5</f>
        <v>27</v>
      </c>
      <c r="AE5" s="6" t="s">
        <v>71</v>
      </c>
      <c r="AF5" s="38">
        <v>-0.2</v>
      </c>
    </row>
    <row r="6" spans="1:33" x14ac:dyDescent="0.3">
      <c r="A6" s="1" t="s">
        <v>72</v>
      </c>
      <c r="B6" t="s">
        <v>26</v>
      </c>
      <c r="C6" s="25">
        <v>45505</v>
      </c>
      <c r="D6" s="25">
        <v>45536</v>
      </c>
      <c r="E6" s="24">
        <v>5.04500007629394</v>
      </c>
      <c r="F6" s="2">
        <v>-0.55248737357608801</v>
      </c>
      <c r="G6" s="2">
        <v>-0.37716051374079701</v>
      </c>
      <c r="H6" s="15">
        <v>-7.0366702419213695E-2</v>
      </c>
      <c r="I6" s="16">
        <v>-0.21506442452702801</v>
      </c>
      <c r="J6" s="17">
        <v>0.201189266825782</v>
      </c>
      <c r="K6" s="18">
        <v>28</v>
      </c>
      <c r="L6" s="19">
        <v>-0.38156593887486401</v>
      </c>
      <c r="M6" s="18">
        <v>131</v>
      </c>
      <c r="N6" s="26">
        <v>3</v>
      </c>
      <c r="O6" s="28">
        <v>14</v>
      </c>
      <c r="P6" s="26">
        <v>104</v>
      </c>
      <c r="Q6" s="28">
        <v>131</v>
      </c>
      <c r="R6" s="36">
        <v>7</v>
      </c>
      <c r="S6" s="6" t="s">
        <v>8</v>
      </c>
      <c r="T6" s="37">
        <v>0.4</v>
      </c>
      <c r="U6" s="39">
        <f t="shared" ref="U6:U17" si="1">O6</f>
        <v>14</v>
      </c>
      <c r="V6" s="6" t="s">
        <v>8</v>
      </c>
      <c r="W6" s="38">
        <v>0.3</v>
      </c>
      <c r="X6" s="43">
        <f t="shared" si="0"/>
        <v>3</v>
      </c>
      <c r="Y6" s="6" t="s">
        <v>8</v>
      </c>
      <c r="Z6" s="41">
        <v>0.4</v>
      </c>
      <c r="AA6" s="43">
        <f>Q6</f>
        <v>131</v>
      </c>
      <c r="AB6" s="6" t="s">
        <v>8</v>
      </c>
      <c r="AC6" s="38">
        <v>0.3</v>
      </c>
      <c r="AD6" s="43">
        <f>P6</f>
        <v>104</v>
      </c>
      <c r="AE6" s="6" t="s">
        <v>8</v>
      </c>
      <c r="AF6" s="38">
        <v>0.3861</v>
      </c>
    </row>
    <row r="7" spans="1:33" x14ac:dyDescent="0.3">
      <c r="A7" s="1" t="s">
        <v>72</v>
      </c>
      <c r="B7" t="s">
        <v>14</v>
      </c>
      <c r="C7" s="25">
        <v>45536</v>
      </c>
      <c r="D7" s="25">
        <v>45566</v>
      </c>
      <c r="E7" s="24">
        <v>2.8099999427795401</v>
      </c>
      <c r="F7" s="2">
        <v>0.37073171128835197</v>
      </c>
      <c r="G7" s="2">
        <v>-0.242587624289339</v>
      </c>
      <c r="H7" s="15">
        <v>-0.23131667978110301</v>
      </c>
      <c r="I7" s="16">
        <v>0.46975096033478297</v>
      </c>
      <c r="J7" s="17">
        <v>1.32028473796949</v>
      </c>
      <c r="K7" s="18">
        <v>92</v>
      </c>
      <c r="L7" s="19">
        <v>-0.56939499544968297</v>
      </c>
      <c r="M7" s="18">
        <v>35</v>
      </c>
      <c r="N7" s="26">
        <v>27</v>
      </c>
      <c r="O7" s="28">
        <v>27</v>
      </c>
      <c r="P7" s="26">
        <v>27</v>
      </c>
      <c r="Q7" s="28">
        <v>27</v>
      </c>
      <c r="R7" s="36">
        <v>7</v>
      </c>
      <c r="S7" s="6" t="s">
        <v>8</v>
      </c>
      <c r="T7" s="37">
        <v>1.2030000000000001</v>
      </c>
      <c r="U7" s="39">
        <f t="shared" si="1"/>
        <v>27</v>
      </c>
      <c r="V7" s="6" t="s">
        <v>8</v>
      </c>
      <c r="W7" s="38">
        <v>2.6419999999999999</v>
      </c>
      <c r="X7" s="43">
        <f t="shared" si="0"/>
        <v>27</v>
      </c>
      <c r="Y7" s="6" t="s">
        <v>8</v>
      </c>
      <c r="Z7" s="41">
        <v>2.64</v>
      </c>
      <c r="AA7" s="43" t="s">
        <v>6</v>
      </c>
      <c r="AB7" s="6" t="s">
        <v>6</v>
      </c>
      <c r="AC7" s="38" t="s">
        <v>6</v>
      </c>
      <c r="AD7" s="43">
        <f>P7</f>
        <v>27</v>
      </c>
      <c r="AE7" s="6" t="s">
        <v>8</v>
      </c>
      <c r="AF7" s="41">
        <v>2.64</v>
      </c>
    </row>
    <row r="8" spans="1:33" x14ac:dyDescent="0.3">
      <c r="A8" s="1" t="s">
        <v>72</v>
      </c>
      <c r="B8" t="s">
        <v>9</v>
      </c>
      <c r="C8" s="25">
        <v>45536</v>
      </c>
      <c r="D8" s="25">
        <v>45566</v>
      </c>
      <c r="E8" s="24">
        <v>14.4799995422363</v>
      </c>
      <c r="F8" s="2">
        <v>-0.375053970886632</v>
      </c>
      <c r="G8" s="2">
        <v>-0.46171004655845099</v>
      </c>
      <c r="H8" s="15">
        <v>-0.58977898860464495</v>
      </c>
      <c r="I8" s="16">
        <v>-0.90676795120717502</v>
      </c>
      <c r="J8" s="17">
        <v>0.29903315335583902</v>
      </c>
      <c r="K8" s="18">
        <v>49</v>
      </c>
      <c r="L8" s="19">
        <v>-0.93191298232014197</v>
      </c>
      <c r="M8" s="18">
        <v>136</v>
      </c>
      <c r="N8" s="26">
        <v>55</v>
      </c>
      <c r="O8" s="28">
        <v>56</v>
      </c>
      <c r="P8" s="26">
        <v>15</v>
      </c>
      <c r="Q8" s="28">
        <v>55</v>
      </c>
      <c r="R8" s="36">
        <v>7</v>
      </c>
      <c r="S8" s="6" t="s">
        <v>71</v>
      </c>
      <c r="T8" s="37">
        <v>-0.93799999999999994</v>
      </c>
      <c r="U8" s="39">
        <f t="shared" si="1"/>
        <v>56</v>
      </c>
      <c r="V8" s="6" t="s">
        <v>71</v>
      </c>
      <c r="W8" s="38">
        <v>-0.90900000000000003</v>
      </c>
      <c r="X8" s="43">
        <f t="shared" si="0"/>
        <v>55</v>
      </c>
      <c r="Y8" s="6" t="s">
        <v>71</v>
      </c>
      <c r="Z8" s="40">
        <v>-0.91</v>
      </c>
      <c r="AA8" s="43">
        <f>Q8</f>
        <v>55</v>
      </c>
      <c r="AB8" s="6" t="s">
        <v>71</v>
      </c>
      <c r="AC8" s="38">
        <v>-0.91</v>
      </c>
      <c r="AD8" s="43">
        <f>P8</f>
        <v>15</v>
      </c>
      <c r="AE8" s="6" t="s">
        <v>8</v>
      </c>
      <c r="AF8" s="38">
        <v>0.34100000000000003</v>
      </c>
    </row>
    <row r="9" spans="1:33" x14ac:dyDescent="0.3">
      <c r="A9" s="1" t="s">
        <v>72</v>
      </c>
      <c r="B9" t="s">
        <v>15</v>
      </c>
      <c r="C9" s="25">
        <v>45597</v>
      </c>
      <c r="D9" s="25">
        <v>45627</v>
      </c>
      <c r="E9" s="24">
        <v>3.1800000667571999</v>
      </c>
      <c r="F9" s="2">
        <v>-0.41030216765528099</v>
      </c>
      <c r="G9" s="2">
        <v>-0.45360825206824001</v>
      </c>
      <c r="H9" s="15">
        <v>0.106918209758412</v>
      </c>
      <c r="I9" s="16">
        <v>-1.8867981112750402E-2</v>
      </c>
      <c r="J9" s="17">
        <v>0.298742147088215</v>
      </c>
      <c r="K9" s="18">
        <v>12</v>
      </c>
      <c r="L9" s="19">
        <v>-0.28616354299597802</v>
      </c>
      <c r="M9" s="18">
        <v>90</v>
      </c>
      <c r="N9" s="26">
        <v>61</v>
      </c>
      <c r="O9" s="28">
        <v>89</v>
      </c>
      <c r="P9" s="26">
        <v>55</v>
      </c>
      <c r="Q9" s="28">
        <v>64</v>
      </c>
      <c r="R9" s="36">
        <v>7</v>
      </c>
      <c r="S9" s="6" t="s">
        <v>71</v>
      </c>
      <c r="T9" s="37">
        <v>-0.34499999999999997</v>
      </c>
      <c r="U9" s="39">
        <f t="shared" si="1"/>
        <v>89</v>
      </c>
      <c r="V9" s="6" t="s">
        <v>8</v>
      </c>
      <c r="W9" s="38">
        <v>0.37859999999999999</v>
      </c>
      <c r="X9" s="43">
        <f t="shared" si="0"/>
        <v>61</v>
      </c>
      <c r="Y9" s="6" t="s">
        <v>71</v>
      </c>
      <c r="Z9" s="40">
        <v>-0.2</v>
      </c>
      <c r="AA9" s="43" t="s">
        <v>6</v>
      </c>
      <c r="AB9" s="6" t="s">
        <v>6</v>
      </c>
      <c r="AC9" s="38" t="s">
        <v>6</v>
      </c>
      <c r="AD9" s="43" t="s">
        <v>6</v>
      </c>
      <c r="AE9" s="6" t="s">
        <v>6</v>
      </c>
      <c r="AF9" s="40" t="s">
        <v>6</v>
      </c>
    </row>
    <row r="10" spans="1:33" x14ac:dyDescent="0.3">
      <c r="A10" s="1" t="s">
        <v>72</v>
      </c>
      <c r="B10" t="s">
        <v>23</v>
      </c>
      <c r="C10" s="25">
        <v>45658</v>
      </c>
      <c r="D10" s="25">
        <v>45689</v>
      </c>
      <c r="E10" s="24">
        <v>65.209999084472599</v>
      </c>
      <c r="F10" s="2">
        <v>1.20006749079916</v>
      </c>
      <c r="G10" s="2">
        <v>3.7054675203224502E-2</v>
      </c>
      <c r="H10" s="15">
        <v>-0.409446421374004</v>
      </c>
      <c r="I10" s="16">
        <v>-5.5666267510841201E-2</v>
      </c>
      <c r="J10" s="17">
        <v>1.9168839404226201E-2</v>
      </c>
      <c r="K10" s="18">
        <v>2</v>
      </c>
      <c r="L10" s="19">
        <v>-0.62674435678095897</v>
      </c>
      <c r="M10" s="18">
        <v>53</v>
      </c>
      <c r="N10" s="26">
        <v>4</v>
      </c>
      <c r="O10" s="28">
        <v>5</v>
      </c>
      <c r="P10" s="26">
        <v>22</v>
      </c>
      <c r="Q10" s="28">
        <v>43</v>
      </c>
      <c r="R10" s="36">
        <v>7</v>
      </c>
      <c r="S10" s="6" t="s">
        <v>8</v>
      </c>
      <c r="T10" s="37">
        <v>0.68</v>
      </c>
      <c r="U10" s="39">
        <f t="shared" si="1"/>
        <v>5</v>
      </c>
      <c r="V10" s="6" t="s">
        <v>8</v>
      </c>
      <c r="W10" s="38">
        <v>0.68</v>
      </c>
      <c r="X10" s="43">
        <f t="shared" si="0"/>
        <v>4</v>
      </c>
      <c r="Y10" s="6" t="s">
        <v>8</v>
      </c>
      <c r="Z10" s="41">
        <v>0.68</v>
      </c>
      <c r="AA10" s="43">
        <f t="shared" ref="AA10:AA15" si="2">Q10</f>
        <v>43</v>
      </c>
      <c r="AB10" s="6" t="s">
        <v>8</v>
      </c>
      <c r="AC10" s="38">
        <v>1.1990000000000001</v>
      </c>
      <c r="AD10" s="43">
        <f t="shared" ref="AD10:AD15" si="3">P10</f>
        <v>22</v>
      </c>
      <c r="AE10" s="6" t="s">
        <v>8</v>
      </c>
      <c r="AF10" s="38">
        <v>0.90500000000000003</v>
      </c>
    </row>
    <row r="11" spans="1:33" x14ac:dyDescent="0.3">
      <c r="A11" s="1" t="s">
        <v>72</v>
      </c>
      <c r="B11" t="s">
        <v>21</v>
      </c>
      <c r="C11" s="25">
        <v>45689</v>
      </c>
      <c r="D11" s="25">
        <v>45717</v>
      </c>
      <c r="E11" s="24">
        <v>16.454999923706001</v>
      </c>
      <c r="F11" s="2">
        <v>-0.26441666042110201</v>
      </c>
      <c r="G11" s="2">
        <v>-8.1374459095937494E-3</v>
      </c>
      <c r="H11" s="15">
        <v>-0.16134911852209999</v>
      </c>
      <c r="J11" s="17">
        <v>8.3561227977831207E-2</v>
      </c>
      <c r="K11" s="18">
        <v>15</v>
      </c>
      <c r="L11" s="19">
        <v>-0.26709204038084799</v>
      </c>
      <c r="M11" s="18">
        <v>44</v>
      </c>
      <c r="N11" s="26">
        <v>24</v>
      </c>
      <c r="O11" s="28">
        <v>26</v>
      </c>
      <c r="P11" s="26">
        <v>24</v>
      </c>
      <c r="Q11" s="28">
        <v>26</v>
      </c>
      <c r="R11" s="36">
        <v>7</v>
      </c>
      <c r="S11" s="6" t="s">
        <v>71</v>
      </c>
      <c r="T11" s="37">
        <v>-0.27089999999999997</v>
      </c>
      <c r="U11" s="39">
        <f t="shared" si="1"/>
        <v>26</v>
      </c>
      <c r="V11" s="6" t="s">
        <v>8</v>
      </c>
      <c r="W11" s="38">
        <v>0.35349999999999998</v>
      </c>
      <c r="X11" s="43">
        <f t="shared" si="0"/>
        <v>24</v>
      </c>
      <c r="Y11" s="6" t="s">
        <v>8</v>
      </c>
      <c r="Z11" s="41">
        <v>0.2661</v>
      </c>
      <c r="AA11" s="43">
        <f t="shared" si="2"/>
        <v>26</v>
      </c>
      <c r="AB11" s="6" t="s">
        <v>8</v>
      </c>
      <c r="AC11" s="38">
        <v>0.35</v>
      </c>
      <c r="AD11" s="43">
        <f t="shared" si="3"/>
        <v>24</v>
      </c>
      <c r="AE11" s="6" t="s">
        <v>8</v>
      </c>
      <c r="AF11" s="41">
        <v>0.27</v>
      </c>
    </row>
    <row r="12" spans="1:33" x14ac:dyDescent="0.3">
      <c r="A12" s="1" t="s">
        <v>72</v>
      </c>
      <c r="B12" t="s">
        <v>19</v>
      </c>
      <c r="C12" s="25">
        <v>45748</v>
      </c>
      <c r="D12" s="25">
        <v>45778</v>
      </c>
      <c r="E12" s="24">
        <v>4.9811348915100098</v>
      </c>
      <c r="F12" s="2">
        <v>-0.67470678387049299</v>
      </c>
      <c r="G12" s="2">
        <v>-0.212634735584877</v>
      </c>
      <c r="H12" s="15">
        <v>1.3994916044566199</v>
      </c>
      <c r="J12" s="17">
        <v>1.52352123935629</v>
      </c>
      <c r="K12" s="18">
        <v>83</v>
      </c>
      <c r="L12" s="19">
        <v>-1.5655649611049802E-2</v>
      </c>
      <c r="M12" s="18">
        <v>4</v>
      </c>
      <c r="R12" s="36">
        <v>7</v>
      </c>
      <c r="S12" s="6" t="s">
        <v>8</v>
      </c>
      <c r="T12" s="37">
        <v>1.0569999999999999</v>
      </c>
      <c r="U12" s="39">
        <f t="shared" si="1"/>
        <v>0</v>
      </c>
      <c r="V12" s="6" t="s">
        <v>6</v>
      </c>
      <c r="W12" s="38" t="s">
        <v>6</v>
      </c>
      <c r="X12" s="43">
        <f t="shared" si="0"/>
        <v>0</v>
      </c>
      <c r="Y12" s="6" t="s">
        <v>6</v>
      </c>
      <c r="Z12" s="40" t="s">
        <v>6</v>
      </c>
      <c r="AA12" s="43">
        <f t="shared" si="2"/>
        <v>0</v>
      </c>
      <c r="AB12" s="6" t="s">
        <v>6</v>
      </c>
      <c r="AC12" s="38" t="s">
        <v>6</v>
      </c>
      <c r="AD12" s="43">
        <f t="shared" si="3"/>
        <v>0</v>
      </c>
      <c r="AE12" s="6" t="s">
        <v>6</v>
      </c>
      <c r="AF12" s="38" t="s">
        <v>6</v>
      </c>
    </row>
    <row r="13" spans="1:33" x14ac:dyDescent="0.3">
      <c r="A13" s="1" t="s">
        <v>72</v>
      </c>
      <c r="B13" t="s">
        <v>24</v>
      </c>
      <c r="C13" s="25">
        <v>45748</v>
      </c>
      <c r="D13" s="25">
        <v>45778</v>
      </c>
      <c r="E13" s="24">
        <v>7.8299999237060502</v>
      </c>
      <c r="F13" s="2">
        <v>-0.35767020564082302</v>
      </c>
      <c r="G13" s="2">
        <v>-0.16790647708039799</v>
      </c>
      <c r="H13" s="15">
        <v>-8.3014061519910795E-2</v>
      </c>
      <c r="J13" s="17">
        <v>0.32183914205849901</v>
      </c>
      <c r="K13" s="18">
        <v>55</v>
      </c>
      <c r="L13" s="19">
        <v>-0.107279714019499</v>
      </c>
      <c r="M13" s="18">
        <v>81</v>
      </c>
      <c r="N13" s="26">
        <v>79</v>
      </c>
      <c r="P13" s="26">
        <v>14</v>
      </c>
      <c r="Q13" s="28">
        <v>69</v>
      </c>
      <c r="R13" s="36">
        <v>7</v>
      </c>
      <c r="S13" s="6" t="s">
        <v>71</v>
      </c>
      <c r="T13" s="37">
        <v>-0.24099999999999999</v>
      </c>
      <c r="U13" s="39">
        <f t="shared" si="1"/>
        <v>0</v>
      </c>
      <c r="V13" s="6" t="s">
        <v>6</v>
      </c>
      <c r="W13" s="45" t="s">
        <v>6</v>
      </c>
      <c r="X13" s="43">
        <f t="shared" si="0"/>
        <v>79</v>
      </c>
      <c r="Y13" s="6" t="s">
        <v>6</v>
      </c>
      <c r="Z13" s="41" t="s">
        <v>6</v>
      </c>
      <c r="AA13" s="43">
        <f t="shared" si="2"/>
        <v>69</v>
      </c>
      <c r="AB13" s="6" t="s">
        <v>6</v>
      </c>
      <c r="AC13" s="38" t="s">
        <v>6</v>
      </c>
      <c r="AD13" s="43">
        <f t="shared" si="3"/>
        <v>14</v>
      </c>
      <c r="AE13" s="6" t="s">
        <v>6</v>
      </c>
      <c r="AF13" s="38" t="s">
        <v>6</v>
      </c>
    </row>
    <row r="14" spans="1:33" x14ac:dyDescent="0.3">
      <c r="A14" s="1" t="s">
        <v>72</v>
      </c>
      <c r="B14" t="s">
        <v>25</v>
      </c>
      <c r="C14" s="25">
        <v>45748</v>
      </c>
      <c r="D14" s="25">
        <v>45778</v>
      </c>
      <c r="E14" s="24">
        <v>1.9299999475479099</v>
      </c>
      <c r="F14" s="2">
        <v>-0.15720524904018199</v>
      </c>
      <c r="G14" s="2">
        <v>-0.40432100559658102</v>
      </c>
      <c r="H14" s="15">
        <v>0.53886016027287797</v>
      </c>
      <c r="J14" s="17">
        <v>1.15025917520881</v>
      </c>
      <c r="K14" s="18">
        <v>47</v>
      </c>
      <c r="L14" s="19">
        <v>0</v>
      </c>
      <c r="M14" s="18">
        <v>0</v>
      </c>
      <c r="P14" s="26">
        <v>14</v>
      </c>
      <c r="R14" s="36">
        <v>7</v>
      </c>
      <c r="S14" s="6" t="s">
        <v>8</v>
      </c>
      <c r="T14" s="37">
        <v>0.65339999999999998</v>
      </c>
      <c r="U14" s="39">
        <f t="shared" si="1"/>
        <v>0</v>
      </c>
      <c r="V14" s="6" t="s">
        <v>6</v>
      </c>
      <c r="W14" s="38" t="s">
        <v>6</v>
      </c>
      <c r="X14" s="43">
        <f t="shared" si="0"/>
        <v>0</v>
      </c>
      <c r="Y14" s="6" t="s">
        <v>6</v>
      </c>
      <c r="Z14" s="38" t="s">
        <v>6</v>
      </c>
      <c r="AA14" s="43">
        <f t="shared" si="2"/>
        <v>0</v>
      </c>
      <c r="AB14" s="6" t="s">
        <v>6</v>
      </c>
      <c r="AC14" s="38" t="s">
        <v>6</v>
      </c>
      <c r="AD14" s="43">
        <f t="shared" si="3"/>
        <v>14</v>
      </c>
      <c r="AE14" s="6" t="s">
        <v>6</v>
      </c>
      <c r="AF14" s="38" t="s">
        <v>6</v>
      </c>
    </row>
    <row r="15" spans="1:33" x14ac:dyDescent="0.3">
      <c r="A15" s="1" t="s">
        <v>72</v>
      </c>
      <c r="B15" t="s">
        <v>17</v>
      </c>
      <c r="C15" s="25">
        <v>45778</v>
      </c>
      <c r="D15" s="25">
        <v>45809</v>
      </c>
      <c r="E15" s="24">
        <v>11.3049998283386</v>
      </c>
      <c r="F15" s="2">
        <v>4.5790877845264401E-2</v>
      </c>
      <c r="G15" s="2">
        <v>3.1478082937122398E-2</v>
      </c>
      <c r="J15" s="17">
        <v>5.6169815275264302E-2</v>
      </c>
      <c r="K15" s="18">
        <v>6</v>
      </c>
      <c r="L15" s="19">
        <v>-0.27023439847212999</v>
      </c>
      <c r="M15" s="18">
        <v>56</v>
      </c>
      <c r="N15" s="26">
        <v>14</v>
      </c>
      <c r="O15" s="28">
        <v>47</v>
      </c>
      <c r="P15" s="26">
        <v>11</v>
      </c>
      <c r="Q15" s="28">
        <v>47</v>
      </c>
      <c r="R15" s="36">
        <v>7</v>
      </c>
      <c r="S15" s="6" t="s">
        <v>6</v>
      </c>
      <c r="T15" s="37" t="s">
        <v>6</v>
      </c>
      <c r="U15" s="39">
        <f t="shared" si="1"/>
        <v>47</v>
      </c>
      <c r="V15" s="6" t="s">
        <v>6</v>
      </c>
      <c r="W15" s="41" t="s">
        <v>6</v>
      </c>
      <c r="X15" s="43">
        <f t="shared" si="0"/>
        <v>14</v>
      </c>
      <c r="Y15" s="6" t="s">
        <v>6</v>
      </c>
      <c r="Z15" s="45" t="s">
        <v>6</v>
      </c>
      <c r="AA15" s="43">
        <f t="shared" si="2"/>
        <v>47</v>
      </c>
      <c r="AB15" s="6" t="s">
        <v>6</v>
      </c>
      <c r="AC15" s="38" t="s">
        <v>6</v>
      </c>
      <c r="AD15" s="43">
        <f t="shared" si="3"/>
        <v>11</v>
      </c>
      <c r="AE15" s="6" t="s">
        <v>6</v>
      </c>
      <c r="AF15" s="38" t="s">
        <v>6</v>
      </c>
    </row>
    <row r="16" spans="1:33" x14ac:dyDescent="0.3">
      <c r="A16" s="1" t="s">
        <v>72</v>
      </c>
      <c r="B16" t="s">
        <v>18</v>
      </c>
      <c r="C16" s="25">
        <v>45809</v>
      </c>
      <c r="D16" s="25">
        <v>45839</v>
      </c>
      <c r="E16" s="24">
        <v>5.3600001335143999</v>
      </c>
      <c r="F16" s="2">
        <v>-0.34394123825445599</v>
      </c>
      <c r="G16" s="2">
        <v>0.147751615834669</v>
      </c>
      <c r="J16" s="17">
        <v>0.29477609782634301</v>
      </c>
      <c r="K16" s="18">
        <v>15</v>
      </c>
      <c r="L16" s="19">
        <v>-7.2761256270163804E-2</v>
      </c>
      <c r="M16" s="18">
        <v>47</v>
      </c>
      <c r="P16" s="26">
        <v>47</v>
      </c>
      <c r="R16" s="36">
        <v>7</v>
      </c>
      <c r="S16" s="6" t="s">
        <v>6</v>
      </c>
      <c r="T16" s="37" t="s">
        <v>6</v>
      </c>
      <c r="U16" s="39">
        <f t="shared" si="1"/>
        <v>0</v>
      </c>
      <c r="V16" s="6" t="s">
        <v>6</v>
      </c>
      <c r="W16" s="38" t="s">
        <v>6</v>
      </c>
      <c r="X16" s="43" t="s">
        <v>6</v>
      </c>
      <c r="Y16" s="6" t="s">
        <v>6</v>
      </c>
      <c r="Z16" s="41" t="s">
        <v>6</v>
      </c>
      <c r="AA16" s="43" t="s">
        <v>6</v>
      </c>
      <c r="AB16" s="6" t="s">
        <v>6</v>
      </c>
      <c r="AC16" s="38" t="s">
        <v>6</v>
      </c>
      <c r="AD16" s="43" t="s">
        <v>6</v>
      </c>
      <c r="AE16" s="6" t="s">
        <v>6</v>
      </c>
      <c r="AF16" s="38" t="s">
        <v>6</v>
      </c>
    </row>
    <row r="17" spans="1:33" x14ac:dyDescent="0.3">
      <c r="A17" s="1" t="s">
        <v>72</v>
      </c>
      <c r="B17" t="s">
        <v>22</v>
      </c>
      <c r="C17" s="25">
        <v>45809</v>
      </c>
      <c r="D17" s="25">
        <v>45839</v>
      </c>
      <c r="E17" s="24">
        <v>13.809911727905201</v>
      </c>
      <c r="F17" s="2">
        <v>-0.13392023180083101</v>
      </c>
      <c r="G17" s="2">
        <v>1.18566331315339E-2</v>
      </c>
      <c r="J17" s="17">
        <v>0.112455494338619</v>
      </c>
      <c r="K17" s="18">
        <v>15</v>
      </c>
      <c r="L17" s="19">
        <v>-0.15088971269566101</v>
      </c>
      <c r="M17" s="18">
        <v>27</v>
      </c>
      <c r="N17" s="26">
        <v>26</v>
      </c>
      <c r="P17" s="26">
        <v>26</v>
      </c>
      <c r="Q17" s="28">
        <v>27</v>
      </c>
      <c r="R17" s="36">
        <v>7</v>
      </c>
      <c r="S17" s="6" t="s">
        <v>6</v>
      </c>
      <c r="T17" s="37" t="s">
        <v>6</v>
      </c>
      <c r="U17" s="39">
        <f t="shared" si="1"/>
        <v>0</v>
      </c>
      <c r="V17" s="6" t="s">
        <v>6</v>
      </c>
      <c r="W17" s="40" t="s">
        <v>6</v>
      </c>
      <c r="X17" s="43">
        <f>N17</f>
        <v>26</v>
      </c>
      <c r="Y17" s="6" t="s">
        <v>6</v>
      </c>
      <c r="Z17" s="41" t="s">
        <v>6</v>
      </c>
      <c r="AA17" s="43">
        <f>Q17</f>
        <v>27</v>
      </c>
      <c r="AB17" s="6" t="s">
        <v>6</v>
      </c>
      <c r="AC17" s="38" t="s">
        <v>6</v>
      </c>
      <c r="AD17" s="43">
        <f>P17</f>
        <v>26</v>
      </c>
      <c r="AE17" s="6" t="s">
        <v>6</v>
      </c>
      <c r="AF17" s="41" t="s">
        <v>6</v>
      </c>
    </row>
    <row r="18" spans="1:33" s="42" customFormat="1" x14ac:dyDescent="0.3">
      <c r="A18" s="1"/>
      <c r="B18"/>
      <c r="C18" s="25"/>
      <c r="D18" s="25"/>
      <c r="E18" s="24"/>
      <c r="F18" s="2"/>
      <c r="G18" s="2"/>
      <c r="H18" s="15"/>
      <c r="I18" s="16"/>
      <c r="J18" s="17"/>
      <c r="K18" s="18"/>
      <c r="L18" s="19"/>
      <c r="M18" s="18"/>
      <c r="N18" s="26"/>
      <c r="O18" s="28"/>
      <c r="P18" s="26"/>
      <c r="Q18" s="28"/>
      <c r="R18" s="36"/>
      <c r="S18" s="6"/>
      <c r="T18" s="37"/>
      <c r="U18" s="39"/>
      <c r="V18" s="6"/>
      <c r="W18" s="40"/>
      <c r="X18" s="43"/>
      <c r="Y18" s="6"/>
      <c r="Z18" s="40"/>
      <c r="AA18" s="43"/>
      <c r="AB18" s="6"/>
      <c r="AC18" s="38"/>
      <c r="AD18" s="43"/>
      <c r="AE18" s="6"/>
      <c r="AF18" s="38"/>
    </row>
    <row r="19" spans="1:33" s="42" customFormat="1" x14ac:dyDescent="0.3">
      <c r="A19" s="1"/>
      <c r="B19"/>
      <c r="C19" s="25"/>
      <c r="D19" s="25"/>
      <c r="E19" s="24"/>
      <c r="F19" s="2"/>
      <c r="G19" s="2"/>
      <c r="H19" s="15"/>
      <c r="I19" s="16"/>
      <c r="J19" s="17"/>
      <c r="K19" s="18"/>
      <c r="L19" s="19"/>
      <c r="M19" s="18"/>
      <c r="N19" s="26"/>
      <c r="O19" s="28"/>
      <c r="P19" s="26"/>
      <c r="Q19" s="28"/>
      <c r="R19" s="36"/>
      <c r="S19" s="6" t="s">
        <v>89</v>
      </c>
      <c r="T19" s="53">
        <f>COUNT(T4:T17)</f>
        <v>11</v>
      </c>
      <c r="U19" s="47"/>
      <c r="V19" s="6" t="s">
        <v>89</v>
      </c>
      <c r="W19" s="75">
        <f>COUNT(W4:W17)</f>
        <v>7</v>
      </c>
      <c r="X19" s="48"/>
      <c r="Y19" s="47"/>
      <c r="Z19" s="53">
        <f>COUNT(Z4:Z17)</f>
        <v>8</v>
      </c>
      <c r="AA19" s="36"/>
      <c r="AB19" s="6"/>
      <c r="AC19" s="53">
        <f>COUNT(AC4:AC17)</f>
        <v>5</v>
      </c>
      <c r="AD19" s="36"/>
      <c r="AE19" s="6"/>
      <c r="AF19" s="53">
        <f>COUNT(AF4:AF17)</f>
        <v>7</v>
      </c>
    </row>
    <row r="20" spans="1:33" s="69" customFormat="1" x14ac:dyDescent="0.3">
      <c r="A20" s="3"/>
      <c r="B20" s="4"/>
      <c r="C20" s="54"/>
      <c r="D20" s="54"/>
      <c r="E20" s="55"/>
      <c r="F20" s="5"/>
      <c r="G20" s="5"/>
      <c r="H20" s="56"/>
      <c r="I20" s="57"/>
      <c r="J20" s="58"/>
      <c r="K20" s="59"/>
      <c r="L20" s="60"/>
      <c r="M20" s="59"/>
      <c r="N20" s="61"/>
      <c r="O20" s="62"/>
      <c r="P20" s="61"/>
      <c r="Q20" s="62"/>
      <c r="R20" s="63"/>
      <c r="S20" s="64" t="s">
        <v>81</v>
      </c>
      <c r="T20" s="66">
        <f>COUNTIF(S4:S17, "Win")/COUNT(T4:T17)</f>
        <v>0.54545454545454541</v>
      </c>
      <c r="U20" s="65"/>
      <c r="V20" s="64" t="s">
        <v>81</v>
      </c>
      <c r="W20" s="76">
        <f>COUNTIF(V4:V17, "Win")/COUNT(W4:W17)</f>
        <v>0.8571428571428571</v>
      </c>
      <c r="X20" s="67"/>
      <c r="Y20" s="65"/>
      <c r="Z20" s="66">
        <f>COUNTIF(Y4:Y17, "Win")/COUNT(Z4:Z17)</f>
        <v>0.625</v>
      </c>
      <c r="AA20" s="63"/>
      <c r="AB20" s="64"/>
      <c r="AC20" s="66">
        <f>COUNTIF(AB4:AB17, "Win")/COUNT(AC4:AC17)</f>
        <v>0.6</v>
      </c>
      <c r="AD20" s="63"/>
      <c r="AE20" s="64"/>
      <c r="AF20" s="66">
        <f>COUNTIF(AE4:AE17, "Win")/COUNT(AF4:AF17)</f>
        <v>0.8571428571428571</v>
      </c>
    </row>
    <row r="21" spans="1:33" s="42" customFormat="1" x14ac:dyDescent="0.3">
      <c r="A21" s="1"/>
      <c r="B21"/>
      <c r="C21" s="25"/>
      <c r="D21" s="25"/>
      <c r="E21" s="24"/>
      <c r="F21" s="2"/>
      <c r="G21" s="2"/>
      <c r="H21" s="15"/>
      <c r="I21" s="16"/>
      <c r="J21" s="17"/>
      <c r="K21" s="18"/>
      <c r="L21" s="19"/>
      <c r="M21" s="18"/>
      <c r="N21" s="26"/>
      <c r="O21" s="28"/>
      <c r="P21" s="26"/>
      <c r="Q21" s="28"/>
      <c r="R21" s="36"/>
      <c r="S21" s="6" t="s">
        <v>82</v>
      </c>
      <c r="T21" s="51">
        <f>AVERAGE(T4:T17)</f>
        <v>0.21151818181818183</v>
      </c>
      <c r="U21" s="47"/>
      <c r="V21" s="6" t="s">
        <v>82</v>
      </c>
      <c r="W21" s="77">
        <f>AVERAGE(W4:W17)</f>
        <v>0.56699999999999995</v>
      </c>
      <c r="X21" s="48"/>
      <c r="Y21" s="47"/>
      <c r="Z21" s="51">
        <f>AVERAGE(Z4:Z17)</f>
        <v>0.3757625</v>
      </c>
      <c r="AA21" s="36"/>
      <c r="AB21" s="6"/>
      <c r="AC21" s="51">
        <f>AVERAGE(AC4:AC17)</f>
        <v>0.1658</v>
      </c>
      <c r="AD21" s="36"/>
      <c r="AE21" s="6"/>
      <c r="AF21" s="51">
        <f>AVERAGE(AF4:AF17)</f>
        <v>0.70712857142857166</v>
      </c>
    </row>
    <row r="22" spans="1:33" s="42" customFormat="1" x14ac:dyDescent="0.3">
      <c r="A22" s="1"/>
      <c r="B22"/>
      <c r="C22" s="25"/>
      <c r="D22" s="25"/>
      <c r="E22" s="24"/>
      <c r="F22" s="2"/>
      <c r="G22" s="2"/>
      <c r="H22" s="15"/>
      <c r="I22" s="16"/>
      <c r="J22" s="17"/>
      <c r="K22" s="18"/>
      <c r="L22" s="19"/>
      <c r="M22" s="18"/>
      <c r="N22" s="26"/>
      <c r="O22" s="28"/>
      <c r="P22" s="26"/>
      <c r="Q22" s="28"/>
      <c r="R22" s="36"/>
      <c r="S22" s="6" t="s">
        <v>84</v>
      </c>
      <c r="T22" s="51">
        <f>_xlfn.STDEV.S(T4:T17)</f>
        <v>0.67236167769762401</v>
      </c>
      <c r="U22" s="47"/>
      <c r="V22" s="6" t="s">
        <v>84</v>
      </c>
      <c r="W22" s="77">
        <f>_xlfn.STDEV.S(W4:W17)</f>
        <v>1.0528685752109173</v>
      </c>
      <c r="X22" s="48"/>
      <c r="Y22" s="47"/>
      <c r="Z22" s="51">
        <f>_xlfn.STDEV.S(Z4:Z17)</f>
        <v>1.0471887235253117</v>
      </c>
      <c r="AA22" s="36"/>
      <c r="AB22" s="6"/>
      <c r="AC22" s="51">
        <f>_xlfn.STDEV.S(AC4:AC17)</f>
        <v>0.76695058510962755</v>
      </c>
      <c r="AD22" s="36"/>
      <c r="AE22" s="6"/>
      <c r="AF22" s="51">
        <f>_xlfn.STDEV.S(AF4:AF17)</f>
        <v>0.91615904135014625</v>
      </c>
    </row>
    <row r="23" spans="1:33" s="69" customFormat="1" x14ac:dyDescent="0.3">
      <c r="A23" s="3"/>
      <c r="B23" s="4"/>
      <c r="C23" s="54"/>
      <c r="D23" s="54"/>
      <c r="E23" s="55"/>
      <c r="F23" s="5"/>
      <c r="G23" s="5"/>
      <c r="H23" s="56"/>
      <c r="I23" s="57"/>
      <c r="J23" s="58"/>
      <c r="K23" s="59"/>
      <c r="L23" s="60"/>
      <c r="M23" s="59"/>
      <c r="N23" s="61"/>
      <c r="O23" s="62"/>
      <c r="P23" s="61"/>
      <c r="Q23" s="62"/>
      <c r="R23" s="63"/>
      <c r="S23" s="64" t="s">
        <v>83</v>
      </c>
      <c r="T23" s="71">
        <f>T21/T22</f>
        <v>0.31458988344262279</v>
      </c>
      <c r="U23" s="65"/>
      <c r="V23" s="64" t="s">
        <v>83</v>
      </c>
      <c r="W23" s="78">
        <f>W21/W22</f>
        <v>0.53852875216302754</v>
      </c>
      <c r="X23" s="67"/>
      <c r="Y23" s="65"/>
      <c r="Z23" s="71">
        <f>Z21/Z22</f>
        <v>0.35882978068653487</v>
      </c>
      <c r="AA23" s="63"/>
      <c r="AB23" s="64"/>
      <c r="AC23" s="71">
        <f>AC21/AC22</f>
        <v>0.21618081167028594</v>
      </c>
      <c r="AD23" s="63"/>
      <c r="AE23" s="64"/>
      <c r="AF23" s="71">
        <f>AF21/AF22</f>
        <v>0.77184041144916737</v>
      </c>
    </row>
    <row r="24" spans="1:33" s="42" customFormat="1" x14ac:dyDescent="0.3">
      <c r="A24" s="1"/>
      <c r="B24"/>
      <c r="C24" s="25"/>
      <c r="D24" s="25"/>
      <c r="E24" s="24"/>
      <c r="F24" s="2"/>
      <c r="G24" s="2"/>
      <c r="H24" s="15"/>
      <c r="I24" s="16"/>
      <c r="J24" s="17"/>
      <c r="K24" s="18"/>
      <c r="L24" s="19"/>
      <c r="M24" s="18"/>
      <c r="N24" s="26"/>
      <c r="O24" s="28"/>
      <c r="P24" s="26"/>
      <c r="Q24" s="28"/>
      <c r="R24" s="36"/>
      <c r="S24" s="6" t="s">
        <v>85</v>
      </c>
      <c r="T24" s="51" cm="1">
        <f t="array" ref="T24">STDEV(_xlfn._xlws.FILTER(T4:T17,T4:T17&lt;0))</f>
        <v>0.29299542317244476</v>
      </c>
      <c r="U24" s="47"/>
      <c r="V24" s="6" t="s">
        <v>85</v>
      </c>
      <c r="W24" s="77" t="e" cm="1">
        <f t="array" ref="W24">STDEV(_xlfn._xlws.FILTER(W4:W17,W4:W17&lt;0))</f>
        <v>#DIV/0!</v>
      </c>
      <c r="X24" s="48"/>
      <c r="Y24" s="47"/>
      <c r="Z24" s="51" cm="1">
        <f t="array" ref="Z24">STDEV(_xlfn._xlws.FILTER(Z4:Z17,Z4:Z17&lt;0))</f>
        <v>0.38431757701151276</v>
      </c>
      <c r="AA24" s="36"/>
      <c r="AB24" s="6"/>
      <c r="AC24" s="51" cm="1">
        <f t="array" ref="AC24">STDEV(_xlfn._xlws.FILTER(AC4:AC17,AC4:AC17&lt;0))</f>
        <v>0.56568542494923812</v>
      </c>
      <c r="AD24" s="36"/>
      <c r="AE24" s="6"/>
      <c r="AF24" s="51" t="e" cm="1">
        <f t="array" ref="AF24">STDEV(_xlfn._xlws.FILTER(AF4:AF17,AF4:AF17&lt;0))</f>
        <v>#DIV/0!</v>
      </c>
    </row>
    <row r="25" spans="1:33" s="4" customFormat="1" x14ac:dyDescent="0.3">
      <c r="A25" s="3"/>
      <c r="C25" s="54"/>
      <c r="D25" s="54"/>
      <c r="E25" s="55"/>
      <c r="F25" s="5"/>
      <c r="G25" s="5"/>
      <c r="H25" s="56"/>
      <c r="I25" s="57"/>
      <c r="J25" s="58"/>
      <c r="K25" s="59"/>
      <c r="L25" s="60"/>
      <c r="M25" s="59"/>
      <c r="N25" s="61"/>
      <c r="O25" s="62"/>
      <c r="P25" s="61"/>
      <c r="Q25" s="62"/>
      <c r="R25" s="63"/>
      <c r="S25" s="64" t="s">
        <v>86</v>
      </c>
      <c r="T25" s="71">
        <f>T20/T24</f>
        <v>1.8616486890770094</v>
      </c>
      <c r="U25" s="65"/>
      <c r="V25" s="64" t="s">
        <v>86</v>
      </c>
      <c r="W25" s="78" t="e">
        <f>W20/W24</f>
        <v>#DIV/0!</v>
      </c>
      <c r="X25" s="67"/>
      <c r="Y25" s="65"/>
      <c r="Z25" s="71">
        <f>Z20/Z24</f>
        <v>1.6262592121340245</v>
      </c>
      <c r="AA25" s="63"/>
      <c r="AB25" s="64"/>
      <c r="AC25" s="71">
        <f>AC20/AC24</f>
        <v>1.060660171779821</v>
      </c>
      <c r="AD25" s="63"/>
      <c r="AE25" s="64"/>
      <c r="AF25" s="71" t="e">
        <f>AF20/AF24</f>
        <v>#DIV/0!</v>
      </c>
      <c r="AG25" s="69"/>
    </row>
    <row r="26" spans="1:33" x14ac:dyDescent="0.3">
      <c r="S26" s="6" t="s">
        <v>87</v>
      </c>
      <c r="T26" s="51">
        <f>MIN(T4:T17)</f>
        <v>-0.93799999999999994</v>
      </c>
      <c r="U26" s="47"/>
      <c r="V26" s="6" t="s">
        <v>87</v>
      </c>
      <c r="W26" s="77">
        <f>MIN(W4:W17)</f>
        <v>-0.90900000000000003</v>
      </c>
      <c r="X26" s="48"/>
      <c r="Y26" s="47"/>
      <c r="Z26" s="51">
        <f>MIN(Z4:Z17)</f>
        <v>-0.91</v>
      </c>
      <c r="AC26" s="51">
        <f>MIN(AC4:AC17)</f>
        <v>-0.91</v>
      </c>
      <c r="AF26" s="51">
        <f>MIN(AF4:AF17)</f>
        <v>-0.2</v>
      </c>
    </row>
    <row r="27" spans="1:33" s="4" customFormat="1" x14ac:dyDescent="0.3">
      <c r="A27" s="3"/>
      <c r="C27" s="54"/>
      <c r="D27" s="54"/>
      <c r="E27" s="55"/>
      <c r="F27" s="5"/>
      <c r="G27" s="5"/>
      <c r="H27" s="56"/>
      <c r="I27" s="57"/>
      <c r="J27" s="58"/>
      <c r="K27" s="59"/>
      <c r="L27" s="60"/>
      <c r="M27" s="59"/>
      <c r="N27" s="61"/>
      <c r="O27" s="62"/>
      <c r="P27" s="61"/>
      <c r="Q27" s="62"/>
      <c r="R27" s="63"/>
      <c r="S27" s="64" t="s">
        <v>88</v>
      </c>
      <c r="T27" s="71" cm="1">
        <f t="array" ref="T27">(PRODUCT(IF(ISNUMBER(T4:T17),T4:T17+1,1)))^(1/T19)/ABS(T26)</f>
        <v>0.98018496596289872</v>
      </c>
      <c r="U27" s="65"/>
      <c r="V27" s="64" t="s">
        <v>88</v>
      </c>
      <c r="W27" s="78" cm="1">
        <f t="array" ref="W27">(PRODUCT(IF(ISNUMBER(W4:W17),W4:W17+1,1)))^(1/W19)/ABS(W26)</f>
        <v>1.219607172538689</v>
      </c>
      <c r="X27" s="67"/>
      <c r="Y27" s="65"/>
      <c r="Z27" s="71" cm="1">
        <f t="array" ref="Z27">(PRODUCT(IF(ISNUMBER(Z4:Z17),Z4:Z17+1,1)))^(1/Z19)/ABS(Z26)</f>
        <v>1.0655044507244962</v>
      </c>
      <c r="AA27" s="63"/>
      <c r="AB27" s="64"/>
      <c r="AC27" s="71" cm="1">
        <f t="array" ref="AC27">(PRODUCT(IF(ISNUMBER(AC4:AC17),AC4:AC17+1,1)))^(1/AC19)/ABS(AC26)</f>
        <v>0.86893157928871467</v>
      </c>
      <c r="AD27" s="63"/>
      <c r="AE27" s="64"/>
      <c r="AF27" s="71" cm="1">
        <f t="array" ref="AF27">(PRODUCT(IF(ISNUMBER(AF4:AF17),AF4:AF17+1,1)))^(1/AF19)/ABS(AF26)</f>
        <v>7.7271501715213047</v>
      </c>
      <c r="AG27" s="69"/>
    </row>
    <row r="28" spans="1:33" x14ac:dyDescent="0.3">
      <c r="T28" s="51"/>
      <c r="U28" s="47"/>
      <c r="V28" s="47"/>
      <c r="W28" s="52"/>
      <c r="X28" s="48"/>
      <c r="Y28" s="47"/>
    </row>
    <row r="29" spans="1:33" x14ac:dyDescent="0.3">
      <c r="T29" s="51"/>
      <c r="U29" s="47"/>
      <c r="V29" s="47"/>
      <c r="W29" s="52"/>
      <c r="X29" s="48"/>
      <c r="Y29" s="47"/>
    </row>
    <row r="30" spans="1:33" x14ac:dyDescent="0.3">
      <c r="T30" s="51"/>
      <c r="U30" s="47"/>
      <c r="V30" s="47"/>
      <c r="W30" s="52"/>
      <c r="X30" s="48"/>
      <c r="Y30" s="47"/>
    </row>
  </sheetData>
  <autoFilter ref="A3:AM17" xr:uid="{00000000-0001-0000-0000-000000000000}">
    <sortState xmlns:xlrd2="http://schemas.microsoft.com/office/spreadsheetml/2017/richdata2" ref="A4:AG17">
      <sortCondition ref="D3:D17"/>
    </sortState>
  </autoFilter>
  <mergeCells count="13">
    <mergeCell ref="X2:Z2"/>
    <mergeCell ref="AA2:AC2"/>
    <mergeCell ref="AD2:AF2"/>
    <mergeCell ref="A1:O1"/>
    <mergeCell ref="R1:AF1"/>
    <mergeCell ref="C2:E2"/>
    <mergeCell ref="F2:G2"/>
    <mergeCell ref="H2:I2"/>
    <mergeCell ref="J2:M2"/>
    <mergeCell ref="N2:O2"/>
    <mergeCell ref="P2:Q2"/>
    <mergeCell ref="R2:T2"/>
    <mergeCell ref="U2:W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F2BB-BBCB-4A9A-8C3B-38EEB5CE4975}">
  <dimension ref="A1:AG21"/>
  <sheetViews>
    <sheetView workbookViewId="0">
      <pane xSplit="5" ySplit="3" topLeftCell="F4" activePane="bottomRight" state="frozen"/>
      <selection pane="topRight" activeCell="D1" sqref="D1"/>
      <selection pane="bottomLeft" activeCell="A2" sqref="A2"/>
      <selection pane="bottomRight" activeCell="R12" sqref="R12"/>
    </sheetView>
  </sheetViews>
  <sheetFormatPr defaultRowHeight="14.4" outlineLevelCol="1" x14ac:dyDescent="0.3"/>
  <cols>
    <col min="1" max="1" width="17.33203125" style="1" hidden="1" customWidth="1"/>
    <col min="3" max="4" width="11" style="25" customWidth="1"/>
    <col min="5" max="5" width="11" style="24" customWidth="1"/>
    <col min="6" max="7" width="9.88671875" style="2" customWidth="1" outlineLevel="1"/>
    <col min="8" max="8" width="9.88671875" style="15" customWidth="1" outlineLevel="1"/>
    <col min="9" max="9" width="9.88671875" style="16" customWidth="1" outlineLevel="1"/>
    <col min="10" max="10" width="6.88671875" style="17" customWidth="1" outlineLevel="1"/>
    <col min="11" max="11" width="12.33203125" style="18" customWidth="1" outlineLevel="1"/>
    <col min="12" max="12" width="6.6640625" style="19" customWidth="1" outlineLevel="1"/>
    <col min="13" max="13" width="12.109375" style="18" customWidth="1" outlineLevel="1"/>
    <col min="14" max="14" width="8.44140625" style="26" customWidth="1" outlineLevel="1"/>
    <col min="15" max="15" width="8.44140625" style="28" customWidth="1" outlineLevel="1"/>
    <col min="16" max="16" width="8.44140625" style="26" customWidth="1" outlineLevel="1"/>
    <col min="17" max="17" width="8.44140625" style="28" customWidth="1" outlineLevel="1"/>
    <col min="18" max="18" width="8.44140625" style="36" bestFit="1" customWidth="1"/>
    <col min="19" max="19" width="8.21875" style="6" customWidth="1"/>
    <col min="20" max="20" width="13.5546875" style="37" customWidth="1"/>
    <col min="21" max="21" width="8.44140625" style="6" bestFit="1" customWidth="1"/>
    <col min="22" max="22" width="8.21875" style="6" bestFit="1" customWidth="1"/>
    <col min="23" max="23" width="9.44140625" style="38" bestFit="1" customWidth="1"/>
    <col min="24" max="24" width="8.44140625" style="36" bestFit="1" customWidth="1"/>
    <col min="25" max="25" width="8.21875" style="6" bestFit="1" customWidth="1"/>
    <col min="26" max="26" width="9.44140625" style="41" bestFit="1" customWidth="1"/>
    <col min="27" max="27" width="8.44140625" style="36" bestFit="1" customWidth="1"/>
    <col min="28" max="28" width="8.21875" style="6" bestFit="1" customWidth="1"/>
    <col min="29" max="29" width="9.44140625" style="38" bestFit="1" customWidth="1"/>
    <col min="30" max="30" width="8.44140625" style="36" bestFit="1" customWidth="1"/>
    <col min="31" max="31" width="8.21875" style="6" bestFit="1" customWidth="1"/>
    <col min="32" max="32" width="9.44140625" style="38" bestFit="1" customWidth="1"/>
    <col min="33" max="33" width="8.88671875" style="42"/>
  </cols>
  <sheetData>
    <row r="1" spans="1:33" ht="15" thickBot="1" x14ac:dyDescent="0.35">
      <c r="A1" s="158" t="s">
        <v>62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35"/>
      <c r="Q1" s="31"/>
      <c r="R1" s="137" t="s">
        <v>65</v>
      </c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</row>
    <row r="2" spans="1:33" s="34" customFormat="1" ht="30.6" customHeight="1" x14ac:dyDescent="0.3">
      <c r="A2" s="33"/>
      <c r="C2" s="139" t="s">
        <v>37</v>
      </c>
      <c r="D2" s="139"/>
      <c r="E2" s="139"/>
      <c r="F2" s="140" t="s">
        <v>30</v>
      </c>
      <c r="G2" s="140"/>
      <c r="H2" s="141" t="s">
        <v>31</v>
      </c>
      <c r="I2" s="142"/>
      <c r="J2" s="141" t="s">
        <v>59</v>
      </c>
      <c r="K2" s="143"/>
      <c r="L2" s="142"/>
      <c r="M2" s="143"/>
      <c r="N2" s="159" t="s">
        <v>63</v>
      </c>
      <c r="O2" s="159"/>
      <c r="P2" s="159" t="s">
        <v>64</v>
      </c>
      <c r="Q2" s="159"/>
      <c r="R2" s="160" t="s">
        <v>35</v>
      </c>
      <c r="S2" s="160"/>
      <c r="T2" s="161"/>
      <c r="U2" s="155" t="s">
        <v>69</v>
      </c>
      <c r="V2" s="156"/>
      <c r="W2" s="156"/>
      <c r="X2" s="153" t="s">
        <v>70</v>
      </c>
      <c r="Y2" s="154"/>
      <c r="Z2" s="154"/>
      <c r="AA2" s="155" t="s">
        <v>67</v>
      </c>
      <c r="AB2" s="156"/>
      <c r="AC2" s="156"/>
      <c r="AD2" s="157" t="s">
        <v>66</v>
      </c>
      <c r="AE2" s="154"/>
      <c r="AF2" s="154"/>
      <c r="AG2" s="44"/>
    </row>
    <row r="3" spans="1:33" x14ac:dyDescent="0.3">
      <c r="A3" s="1" t="s">
        <v>0</v>
      </c>
      <c r="B3" t="s">
        <v>1</v>
      </c>
      <c r="C3" s="25" t="s">
        <v>40</v>
      </c>
      <c r="D3" s="25" t="s">
        <v>41</v>
      </c>
      <c r="E3" s="24" t="s">
        <v>42</v>
      </c>
      <c r="F3" s="10" t="s">
        <v>32</v>
      </c>
      <c r="G3" s="10" t="s">
        <v>28</v>
      </c>
      <c r="H3" s="11" t="s">
        <v>33</v>
      </c>
      <c r="I3" s="12" t="s">
        <v>34</v>
      </c>
      <c r="J3" s="17" t="s">
        <v>2</v>
      </c>
      <c r="K3" s="18" t="s">
        <v>3</v>
      </c>
      <c r="L3" s="19" t="s">
        <v>4</v>
      </c>
      <c r="M3" s="18" t="s">
        <v>5</v>
      </c>
      <c r="N3" s="30" t="s">
        <v>60</v>
      </c>
      <c r="O3" s="30" t="s">
        <v>61</v>
      </c>
      <c r="P3" s="30" t="s">
        <v>60</v>
      </c>
      <c r="Q3" s="30" t="s">
        <v>61</v>
      </c>
      <c r="R3" s="9" t="s">
        <v>68</v>
      </c>
      <c r="S3" s="8" t="s">
        <v>36</v>
      </c>
      <c r="T3" s="23" t="s">
        <v>27</v>
      </c>
      <c r="U3" s="9" t="s">
        <v>68</v>
      </c>
      <c r="V3" s="8" t="s">
        <v>36</v>
      </c>
      <c r="W3" s="32" t="s">
        <v>27</v>
      </c>
      <c r="X3" s="9" t="s">
        <v>68</v>
      </c>
      <c r="Y3" s="8" t="s">
        <v>36</v>
      </c>
      <c r="Z3" s="12" t="s">
        <v>27</v>
      </c>
      <c r="AA3" s="9" t="s">
        <v>68</v>
      </c>
      <c r="AB3" s="8" t="s">
        <v>36</v>
      </c>
      <c r="AC3" s="32" t="s">
        <v>27</v>
      </c>
      <c r="AD3" s="9" t="s">
        <v>68</v>
      </c>
      <c r="AE3" s="8" t="s">
        <v>36</v>
      </c>
      <c r="AF3" s="32" t="s">
        <v>27</v>
      </c>
    </row>
    <row r="4" spans="1:33" x14ac:dyDescent="0.3">
      <c r="A4" s="1" t="s">
        <v>72</v>
      </c>
      <c r="B4" t="s">
        <v>38</v>
      </c>
      <c r="C4" s="25">
        <v>45047</v>
      </c>
      <c r="D4" s="25">
        <v>45078</v>
      </c>
      <c r="E4" s="24">
        <v>19.270000457763601</v>
      </c>
      <c r="F4" s="2">
        <v>0.12822017235597399</v>
      </c>
      <c r="G4" s="2">
        <v>-0.21507124005634201</v>
      </c>
      <c r="H4" s="15">
        <v>-5.7083567998906903E-2</v>
      </c>
      <c r="I4" s="16">
        <v>-0.55215361134233898</v>
      </c>
      <c r="J4" s="17">
        <v>9.3409402921697804E-2</v>
      </c>
      <c r="K4" s="18">
        <v>8</v>
      </c>
      <c r="L4" s="19">
        <v>-0.55215361134233898</v>
      </c>
      <c r="M4" s="18">
        <v>150</v>
      </c>
      <c r="N4" s="26">
        <v>12</v>
      </c>
      <c r="O4" s="28">
        <v>108</v>
      </c>
      <c r="P4" s="26">
        <v>9</v>
      </c>
      <c r="Q4" s="28">
        <v>14</v>
      </c>
      <c r="R4" s="36">
        <v>7</v>
      </c>
      <c r="U4" s="39">
        <f>O4</f>
        <v>108</v>
      </c>
      <c r="X4" s="43">
        <f>N4</f>
        <v>12</v>
      </c>
      <c r="AA4" s="43" t="s">
        <v>6</v>
      </c>
      <c r="AD4" s="43">
        <f>P4</f>
        <v>9</v>
      </c>
      <c r="AF4" s="41"/>
    </row>
    <row r="5" spans="1:33" x14ac:dyDescent="0.3">
      <c r="A5" s="1" t="s">
        <v>72</v>
      </c>
      <c r="B5" t="s">
        <v>11</v>
      </c>
      <c r="C5" s="25">
        <v>45566</v>
      </c>
      <c r="D5" s="25">
        <v>45597</v>
      </c>
      <c r="E5" s="24">
        <v>8</v>
      </c>
      <c r="F5" s="2">
        <v>-0.70046774777070298</v>
      </c>
      <c r="G5" s="2">
        <v>-0.18116687562252301</v>
      </c>
      <c r="H5" s="15">
        <v>0.36249995231628301</v>
      </c>
      <c r="I5" s="16">
        <v>-0.59999999403953497</v>
      </c>
      <c r="J5" s="17">
        <v>1.0374999046325599</v>
      </c>
      <c r="K5" s="18">
        <v>41</v>
      </c>
      <c r="L5" s="19">
        <v>-0.68874999880790699</v>
      </c>
      <c r="M5" s="18">
        <v>142</v>
      </c>
      <c r="N5" s="26">
        <v>103</v>
      </c>
      <c r="O5" s="28">
        <v>104</v>
      </c>
      <c r="P5" s="26">
        <v>100</v>
      </c>
      <c r="Q5" s="28">
        <v>103</v>
      </c>
      <c r="R5" s="36">
        <v>7</v>
      </c>
      <c r="U5" s="39">
        <f>O5</f>
        <v>104</v>
      </c>
      <c r="X5" s="43">
        <f>N5</f>
        <v>103</v>
      </c>
      <c r="AA5" s="43">
        <f>Q5</f>
        <v>103</v>
      </c>
      <c r="AD5" s="43">
        <f>P5</f>
        <v>100</v>
      </c>
    </row>
    <row r="6" spans="1:33" x14ac:dyDescent="0.3">
      <c r="A6" s="1" t="s">
        <v>72</v>
      </c>
      <c r="B6" t="s">
        <v>13</v>
      </c>
      <c r="C6" s="25">
        <v>45809</v>
      </c>
      <c r="D6" s="25">
        <v>45839</v>
      </c>
      <c r="E6" s="24">
        <v>6.3899998664855904</v>
      </c>
      <c r="F6" s="2">
        <v>-0.70805942665949995</v>
      </c>
      <c r="G6" s="2">
        <v>-0.132971510758598</v>
      </c>
      <c r="J6" s="17">
        <v>0.20344291359896999</v>
      </c>
      <c r="K6" s="18">
        <v>38</v>
      </c>
      <c r="L6" s="19">
        <v>-5.4773069162059797E-2</v>
      </c>
      <c r="M6" s="18">
        <v>9</v>
      </c>
      <c r="R6" s="36">
        <v>7</v>
      </c>
      <c r="U6" s="39">
        <f>O6</f>
        <v>0</v>
      </c>
      <c r="X6" s="43">
        <f>N6</f>
        <v>0</v>
      </c>
      <c r="Z6" s="40"/>
      <c r="AA6" s="43" t="s">
        <v>6</v>
      </c>
      <c r="AD6" s="43" t="s">
        <v>6</v>
      </c>
      <c r="AF6" s="40"/>
    </row>
    <row r="7" spans="1:33" x14ac:dyDescent="0.3">
      <c r="A7" s="1" t="s">
        <v>72</v>
      </c>
      <c r="B7" t="s">
        <v>12</v>
      </c>
      <c r="C7" s="25">
        <v>45809</v>
      </c>
      <c r="D7" s="25">
        <v>45839</v>
      </c>
      <c r="E7" s="24">
        <v>1.65999996662139</v>
      </c>
      <c r="F7" s="2">
        <v>-0.70357142948374396</v>
      </c>
      <c r="G7" s="2">
        <v>-0.112299485353736</v>
      </c>
      <c r="J7" s="17">
        <v>0.162650594190098</v>
      </c>
      <c r="K7" s="18">
        <v>15</v>
      </c>
      <c r="L7" s="19">
        <v>-8.4337342475871893E-2</v>
      </c>
      <c r="M7" s="18">
        <v>24</v>
      </c>
      <c r="R7" s="36">
        <v>7</v>
      </c>
      <c r="U7" s="39">
        <f>O7</f>
        <v>0</v>
      </c>
      <c r="X7" s="43" t="s">
        <v>6</v>
      </c>
      <c r="AA7" s="43" t="s">
        <v>6</v>
      </c>
      <c r="AD7" s="43" t="s">
        <v>6</v>
      </c>
    </row>
    <row r="8" spans="1:33" x14ac:dyDescent="0.3">
      <c r="A8" s="1" t="s">
        <v>72</v>
      </c>
      <c r="B8" t="s">
        <v>90</v>
      </c>
      <c r="C8" s="25">
        <v>45870</v>
      </c>
      <c r="D8" s="25">
        <v>45901</v>
      </c>
      <c r="E8" s="24">
        <v>44.799999237060497</v>
      </c>
      <c r="J8" s="17">
        <v>0</v>
      </c>
      <c r="K8" s="18">
        <v>0</v>
      </c>
      <c r="L8" s="19">
        <v>-4.8437459953128703E-2</v>
      </c>
      <c r="M8" s="18">
        <v>3</v>
      </c>
      <c r="R8" s="36">
        <v>7</v>
      </c>
      <c r="U8" s="39" t="s">
        <v>6</v>
      </c>
      <c r="X8" s="43">
        <f>N8</f>
        <v>0</v>
      </c>
      <c r="AA8" s="43">
        <f>Q8</f>
        <v>0</v>
      </c>
      <c r="AD8" s="43">
        <f>P8</f>
        <v>0</v>
      </c>
    </row>
    <row r="9" spans="1:33" s="42" customFormat="1" x14ac:dyDescent="0.3">
      <c r="A9" s="1"/>
      <c r="B9"/>
      <c r="C9" s="25"/>
      <c r="D9" s="25"/>
      <c r="E9" s="24"/>
      <c r="F9" s="2"/>
      <c r="G9" s="2"/>
      <c r="H9" s="15"/>
      <c r="I9" s="16"/>
      <c r="J9" s="17"/>
      <c r="K9" s="18"/>
      <c r="L9" s="19"/>
      <c r="M9" s="18"/>
      <c r="N9" s="26"/>
      <c r="O9" s="28"/>
      <c r="P9" s="26"/>
      <c r="Q9" s="28"/>
      <c r="R9" s="36"/>
      <c r="S9" s="6"/>
      <c r="T9" s="37"/>
      <c r="U9" s="39"/>
      <c r="V9" s="6"/>
      <c r="W9" s="40"/>
      <c r="X9" s="43"/>
      <c r="Y9" s="6"/>
      <c r="Z9" s="40"/>
      <c r="AA9" s="43"/>
      <c r="AB9" s="6"/>
      <c r="AC9" s="38"/>
      <c r="AD9" s="43"/>
      <c r="AE9" s="6"/>
      <c r="AF9" s="38"/>
    </row>
    <row r="10" spans="1:33" s="42" customFormat="1" x14ac:dyDescent="0.3">
      <c r="A10" s="1"/>
      <c r="B10"/>
      <c r="C10" s="25"/>
      <c r="D10" s="25"/>
      <c r="E10" s="24"/>
      <c r="F10" s="2"/>
      <c r="G10" s="2"/>
      <c r="H10" s="15"/>
      <c r="I10" s="16"/>
      <c r="J10" s="17"/>
      <c r="K10" s="18"/>
      <c r="L10" s="19"/>
      <c r="M10" s="18"/>
      <c r="N10" s="26"/>
      <c r="O10" s="28"/>
      <c r="P10" s="26"/>
      <c r="Q10" s="28"/>
      <c r="R10" s="36"/>
      <c r="S10" s="6" t="s">
        <v>89</v>
      </c>
      <c r="T10" s="46">
        <f>COUNT(T4:T8)</f>
        <v>0</v>
      </c>
      <c r="U10" s="47"/>
      <c r="V10" s="47"/>
      <c r="W10" s="53">
        <f>COUNT(W4:W8)</f>
        <v>0</v>
      </c>
      <c r="X10" s="48"/>
      <c r="Y10" s="47"/>
      <c r="Z10" s="41"/>
      <c r="AA10" s="36"/>
      <c r="AB10" s="6"/>
      <c r="AC10" s="38"/>
      <c r="AD10" s="36"/>
      <c r="AE10" s="6"/>
      <c r="AF10" s="38"/>
    </row>
    <row r="11" spans="1:33" s="69" customFormat="1" x14ac:dyDescent="0.3">
      <c r="A11" s="3"/>
      <c r="B11" s="4"/>
      <c r="C11" s="54"/>
      <c r="D11" s="54"/>
      <c r="E11" s="55"/>
      <c r="F11" s="5"/>
      <c r="G11" s="5"/>
      <c r="H11" s="56"/>
      <c r="I11" s="57"/>
      <c r="J11" s="58"/>
      <c r="K11" s="59"/>
      <c r="L11" s="60"/>
      <c r="M11" s="59"/>
      <c r="N11" s="61"/>
      <c r="O11" s="62"/>
      <c r="P11" s="61"/>
      <c r="Q11" s="62"/>
      <c r="R11" s="63"/>
      <c r="S11" s="64" t="s">
        <v>81</v>
      </c>
      <c r="T11" s="49" t="e">
        <f>COUNTIF(S4:S8, "Win")/COUNT(T4:T8)</f>
        <v>#DIV/0!</v>
      </c>
      <c r="U11" s="65"/>
      <c r="V11" s="65"/>
      <c r="W11" s="66" t="e">
        <f>COUNTIF(V4:V8, "Win")/COUNT(W4:W8)</f>
        <v>#DIV/0!</v>
      </c>
      <c r="X11" s="67"/>
      <c r="Y11" s="65"/>
      <c r="Z11" s="68">
        <f>COUNT(Z4:Z8)</f>
        <v>0</v>
      </c>
      <c r="AA11" s="63"/>
      <c r="AB11" s="64"/>
      <c r="AC11" s="68">
        <f>COUNT(AC4:AC8)</f>
        <v>0</v>
      </c>
      <c r="AD11" s="63"/>
      <c r="AE11" s="64"/>
      <c r="AF11" s="68">
        <f>COUNT(AF4:AF8)</f>
        <v>0</v>
      </c>
    </row>
    <row r="12" spans="1:33" s="42" customFormat="1" x14ac:dyDescent="0.3">
      <c r="A12" s="1"/>
      <c r="B12"/>
      <c r="C12" s="25"/>
      <c r="D12" s="25"/>
      <c r="E12" s="24"/>
      <c r="F12" s="2"/>
      <c r="G12" s="2"/>
      <c r="H12" s="15"/>
      <c r="I12" s="16"/>
      <c r="J12" s="17"/>
      <c r="K12" s="18"/>
      <c r="L12" s="19"/>
      <c r="M12" s="18"/>
      <c r="N12" s="26"/>
      <c r="O12" s="28"/>
      <c r="P12" s="26"/>
      <c r="Q12" s="28"/>
      <c r="R12" s="36"/>
      <c r="S12" s="6" t="s">
        <v>82</v>
      </c>
      <c r="T12" s="50" t="e">
        <f>AVERAGE(T4:T8)</f>
        <v>#DIV/0!</v>
      </c>
      <c r="U12" s="47"/>
      <c r="V12" s="47"/>
      <c r="W12" s="51" t="e">
        <f>AVERAGE(W4:W8)</f>
        <v>#DIV/0!</v>
      </c>
      <c r="X12" s="48"/>
      <c r="Y12" s="47"/>
      <c r="Z12" s="37" t="e">
        <f>AVERAGE(Z4:Z8)</f>
        <v>#DIV/0!</v>
      </c>
      <c r="AA12" s="36"/>
      <c r="AB12" s="6"/>
      <c r="AC12" s="37" t="e">
        <f>AVERAGE(AC4:AC8)</f>
        <v>#DIV/0!</v>
      </c>
      <c r="AD12" s="36"/>
      <c r="AE12" s="6"/>
      <c r="AF12" s="37" t="e">
        <f>AVERAGE(AF4:AF8)</f>
        <v>#DIV/0!</v>
      </c>
    </row>
    <row r="13" spans="1:33" s="42" customFormat="1" x14ac:dyDescent="0.3">
      <c r="A13" s="1"/>
      <c r="B13"/>
      <c r="C13" s="25"/>
      <c r="D13" s="25"/>
      <c r="E13" s="24"/>
      <c r="F13" s="2"/>
      <c r="G13" s="2"/>
      <c r="H13" s="15"/>
      <c r="I13" s="16"/>
      <c r="J13" s="17"/>
      <c r="K13" s="18"/>
      <c r="L13" s="19"/>
      <c r="M13" s="18"/>
      <c r="N13" s="26"/>
      <c r="O13" s="28"/>
      <c r="P13" s="26"/>
      <c r="Q13" s="28"/>
      <c r="R13" s="36"/>
      <c r="S13" s="6" t="s">
        <v>84</v>
      </c>
      <c r="T13" s="50" t="e">
        <f>_xlfn.STDEV.S(T4:T8)</f>
        <v>#DIV/0!</v>
      </c>
      <c r="U13" s="47"/>
      <c r="V13" s="47"/>
      <c r="W13" s="51" t="e">
        <f>_xlfn.STDEV.S(W4:W8)</f>
        <v>#DIV/0!</v>
      </c>
      <c r="X13" s="48"/>
      <c r="Y13" s="47"/>
      <c r="Z13" s="37" t="e">
        <f>_xlfn.STDEV.S(Z4:Z8)</f>
        <v>#DIV/0!</v>
      </c>
      <c r="AA13" s="36"/>
      <c r="AB13" s="6"/>
      <c r="AC13" s="37" t="e">
        <f>_xlfn.STDEV.S(AC4:AC8)</f>
        <v>#DIV/0!</v>
      </c>
      <c r="AD13" s="36"/>
      <c r="AE13" s="6"/>
      <c r="AF13" s="37" t="e">
        <f>_xlfn.STDEV.S(AF4:AF8)</f>
        <v>#DIV/0!</v>
      </c>
    </row>
    <row r="14" spans="1:33" s="69" customFormat="1" x14ac:dyDescent="0.3">
      <c r="A14" s="3"/>
      <c r="B14" s="4"/>
      <c r="C14" s="54"/>
      <c r="D14" s="54"/>
      <c r="E14" s="55"/>
      <c r="F14" s="5"/>
      <c r="G14" s="5"/>
      <c r="H14" s="56"/>
      <c r="I14" s="57"/>
      <c r="J14" s="58"/>
      <c r="K14" s="59"/>
      <c r="L14" s="60"/>
      <c r="M14" s="59"/>
      <c r="N14" s="61"/>
      <c r="O14" s="62"/>
      <c r="P14" s="61"/>
      <c r="Q14" s="62"/>
      <c r="R14" s="63"/>
      <c r="S14" s="64" t="s">
        <v>83</v>
      </c>
      <c r="T14" s="70" t="e">
        <f>T12/T13</f>
        <v>#DIV/0!</v>
      </c>
      <c r="U14" s="65"/>
      <c r="V14" s="65"/>
      <c r="W14" s="71" t="e">
        <f>W12/W13</f>
        <v>#DIV/0!</v>
      </c>
      <c r="X14" s="67"/>
      <c r="Y14" s="65"/>
      <c r="Z14" s="72" t="e">
        <f>Z12/Z13</f>
        <v>#DIV/0!</v>
      </c>
      <c r="AA14" s="63"/>
      <c r="AB14" s="64"/>
      <c r="AC14" s="72" t="e">
        <f>AC12/AC13</f>
        <v>#DIV/0!</v>
      </c>
      <c r="AD14" s="63"/>
      <c r="AE14" s="64"/>
      <c r="AF14" s="72" t="e">
        <f>AF12/AF13</f>
        <v>#DIV/0!</v>
      </c>
    </row>
    <row r="15" spans="1:33" s="42" customFormat="1" x14ac:dyDescent="0.3">
      <c r="A15" s="1"/>
      <c r="B15"/>
      <c r="C15" s="25"/>
      <c r="D15" s="25"/>
      <c r="E15" s="24"/>
      <c r="F15" s="2"/>
      <c r="G15" s="2"/>
      <c r="H15" s="15"/>
      <c r="I15" s="16"/>
      <c r="J15" s="17"/>
      <c r="K15" s="18"/>
      <c r="L15" s="19"/>
      <c r="M15" s="18"/>
      <c r="N15" s="26"/>
      <c r="O15" s="28"/>
      <c r="P15" s="26"/>
      <c r="Q15" s="28"/>
      <c r="R15" s="36"/>
      <c r="S15" s="6" t="s">
        <v>85</v>
      </c>
      <c r="T15" s="50" t="e" cm="1" vm="1">
        <f t="array" ref="T15">STDEV(_xlfn._xlws.FILTER(T4:T8,T4:T8&lt;0))</f>
        <v>#VALUE!</v>
      </c>
      <c r="U15" s="47"/>
      <c r="V15" s="47"/>
      <c r="W15" s="51" t="e" cm="1" vm="1">
        <f t="array" ref="W15">STDEV(_xlfn._xlws.FILTER(W4:W8,W4:W8&lt;0))</f>
        <v>#VALUE!</v>
      </c>
      <c r="X15" s="48"/>
      <c r="Y15" s="47"/>
      <c r="Z15" s="41"/>
      <c r="AA15" s="36"/>
      <c r="AB15" s="6"/>
      <c r="AC15" s="38"/>
      <c r="AD15" s="36"/>
      <c r="AE15" s="6"/>
      <c r="AF15" s="38"/>
    </row>
    <row r="16" spans="1:33" s="4" customFormat="1" x14ac:dyDescent="0.3">
      <c r="A16" s="3"/>
      <c r="C16" s="54"/>
      <c r="D16" s="54"/>
      <c r="E16" s="55"/>
      <c r="F16" s="5"/>
      <c r="G16" s="5"/>
      <c r="H16" s="56"/>
      <c r="I16" s="57"/>
      <c r="J16" s="58"/>
      <c r="K16" s="59"/>
      <c r="L16" s="60"/>
      <c r="M16" s="59"/>
      <c r="N16" s="61"/>
      <c r="O16" s="62"/>
      <c r="P16" s="61"/>
      <c r="Q16" s="62"/>
      <c r="R16" s="63"/>
      <c r="S16" s="64" t="s">
        <v>86</v>
      </c>
      <c r="T16" s="70" t="e">
        <f>T11/T15</f>
        <v>#DIV/0!</v>
      </c>
      <c r="U16" s="65"/>
      <c r="V16" s="65"/>
      <c r="W16" s="71" t="e">
        <f>W11/W15</f>
        <v>#DIV/0!</v>
      </c>
      <c r="X16" s="67"/>
      <c r="Y16" s="65"/>
      <c r="Z16" s="73"/>
      <c r="AA16" s="63"/>
      <c r="AB16" s="64"/>
      <c r="AC16" s="74"/>
      <c r="AD16" s="63"/>
      <c r="AE16" s="64"/>
      <c r="AF16" s="74"/>
      <c r="AG16" s="69"/>
    </row>
    <row r="17" spans="1:33" x14ac:dyDescent="0.3">
      <c r="S17" s="6" t="s">
        <v>87</v>
      </c>
      <c r="T17" s="50">
        <f>MIN(T4:T8)</f>
        <v>0</v>
      </c>
      <c r="U17" s="47"/>
      <c r="V17" s="47"/>
      <c r="W17" s="51">
        <f>MIN(W4:W8)</f>
        <v>0</v>
      </c>
      <c r="X17" s="48"/>
      <c r="Y17" s="47"/>
    </row>
    <row r="18" spans="1:33" s="4" customFormat="1" x14ac:dyDescent="0.3">
      <c r="A18" s="3"/>
      <c r="C18" s="54"/>
      <c r="D18" s="54"/>
      <c r="E18" s="55"/>
      <c r="F18" s="5"/>
      <c r="G18" s="5"/>
      <c r="H18" s="56"/>
      <c r="I18" s="57"/>
      <c r="J18" s="58"/>
      <c r="K18" s="59"/>
      <c r="L18" s="60"/>
      <c r="M18" s="59"/>
      <c r="N18" s="61"/>
      <c r="O18" s="62"/>
      <c r="P18" s="61"/>
      <c r="Q18" s="62"/>
      <c r="R18" s="63"/>
      <c r="S18" s="64" t="s">
        <v>88</v>
      </c>
      <c r="T18" s="70" t="e" cm="1">
        <f t="array" ref="T18">(PRODUCT(IF(ISNUMBER(T4:T8),T4:T8+1,1)))^(1/T10)/ABS(T17)</f>
        <v>#DIV/0!</v>
      </c>
      <c r="U18" s="65"/>
      <c r="V18" s="65"/>
      <c r="W18" s="71" t="e" cm="1">
        <f t="array" ref="W18">(PRODUCT(IF(ISNUMBER(W4:W8),W4:W8+1,1)))^(1/W10)/ABS(W17)</f>
        <v>#DIV/0!</v>
      </c>
      <c r="X18" s="67"/>
      <c r="Y18" s="65"/>
      <c r="Z18" s="73"/>
      <c r="AA18" s="63"/>
      <c r="AB18" s="64"/>
      <c r="AC18" s="74"/>
      <c r="AD18" s="63"/>
      <c r="AE18" s="64"/>
      <c r="AF18" s="74"/>
      <c r="AG18" s="69"/>
    </row>
    <row r="19" spans="1:33" x14ac:dyDescent="0.3">
      <c r="T19" s="51"/>
      <c r="U19" s="47"/>
      <c r="V19" s="47"/>
      <c r="W19" s="52"/>
      <c r="X19" s="48"/>
      <c r="Y19" s="47"/>
    </row>
    <row r="20" spans="1:33" x14ac:dyDescent="0.3">
      <c r="T20" s="51"/>
      <c r="U20" s="47"/>
      <c r="V20" s="47"/>
      <c r="W20" s="52"/>
      <c r="X20" s="48"/>
      <c r="Y20" s="47"/>
    </row>
    <row r="21" spans="1:33" x14ac:dyDescent="0.3">
      <c r="T21" s="51"/>
      <c r="U21" s="47"/>
      <c r="V21" s="47"/>
      <c r="W21" s="52"/>
      <c r="X21" s="48"/>
      <c r="Y21" s="47"/>
    </row>
  </sheetData>
  <autoFilter ref="A3:AM4" xr:uid="{00000000-0001-0000-0000-000000000000}">
    <sortState xmlns:xlrd2="http://schemas.microsoft.com/office/spreadsheetml/2017/richdata2" ref="A4:AG8">
      <sortCondition ref="D3:D4"/>
    </sortState>
  </autoFilter>
  <mergeCells count="13">
    <mergeCell ref="X2:Z2"/>
    <mergeCell ref="AA2:AC2"/>
    <mergeCell ref="AD2:AF2"/>
    <mergeCell ref="A1:O1"/>
    <mergeCell ref="R1:AF1"/>
    <mergeCell ref="C2:E2"/>
    <mergeCell ref="F2:G2"/>
    <mergeCell ref="H2:I2"/>
    <mergeCell ref="J2:M2"/>
    <mergeCell ref="N2:O2"/>
    <mergeCell ref="P2:Q2"/>
    <mergeCell ref="R2:T2"/>
    <mergeCell ref="U2:W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F07D-5085-41BC-A5CE-E6AE9B0FD1ED}">
  <dimension ref="A1:AG38"/>
  <sheetViews>
    <sheetView workbookViewId="0">
      <pane xSplit="5" ySplit="3" topLeftCell="F4" activePane="bottomRight" state="frozen"/>
      <selection pane="topRight" activeCell="D1" sqref="D1"/>
      <selection pane="bottomLeft" activeCell="A2" sqref="A2"/>
      <selection pane="bottomRight" activeCell="R4" sqref="R4"/>
    </sheetView>
  </sheetViews>
  <sheetFormatPr defaultRowHeight="14.4" outlineLevelCol="1" x14ac:dyDescent="0.3"/>
  <cols>
    <col min="1" max="1" width="17.33203125" style="1" hidden="1" customWidth="1"/>
    <col min="3" max="4" width="11" style="25" customWidth="1"/>
    <col min="5" max="5" width="11" style="24" customWidth="1"/>
    <col min="6" max="7" width="9.88671875" style="2" customWidth="1" outlineLevel="1"/>
    <col min="8" max="8" width="9.88671875" style="15" customWidth="1" outlineLevel="1"/>
    <col min="9" max="9" width="9.88671875" style="16" customWidth="1" outlineLevel="1"/>
    <col min="10" max="10" width="6.88671875" style="17" customWidth="1" outlineLevel="1"/>
    <col min="11" max="11" width="12.33203125" style="18" customWidth="1" outlineLevel="1"/>
    <col min="12" max="12" width="6.6640625" style="19" customWidth="1" outlineLevel="1"/>
    <col min="13" max="13" width="12.109375" style="18" customWidth="1" outlineLevel="1"/>
    <col min="14" max="14" width="8.44140625" style="26" customWidth="1" outlineLevel="1"/>
    <col min="15" max="15" width="8.44140625" style="28" customWidth="1" outlineLevel="1"/>
    <col min="16" max="16" width="8.44140625" style="26" customWidth="1" outlineLevel="1"/>
    <col min="17" max="17" width="8.44140625" style="28" customWidth="1" outlineLevel="1"/>
    <col min="18" max="18" width="8.44140625" style="36" bestFit="1" customWidth="1"/>
    <col min="19" max="19" width="8.21875" style="6" customWidth="1"/>
    <col min="20" max="20" width="13.5546875" style="37" customWidth="1"/>
    <col min="21" max="21" width="8.44140625" style="6" bestFit="1" customWidth="1"/>
    <col min="22" max="22" width="8.21875" style="6" bestFit="1" customWidth="1"/>
    <col min="23" max="23" width="9.44140625" style="38" bestFit="1" customWidth="1"/>
    <col min="24" max="24" width="8.44140625" style="36" bestFit="1" customWidth="1"/>
    <col min="25" max="25" width="8.21875" style="6" bestFit="1" customWidth="1"/>
    <col min="26" max="26" width="9.44140625" style="41" bestFit="1" customWidth="1"/>
    <col min="27" max="27" width="8.44140625" style="36" bestFit="1" customWidth="1"/>
    <col min="28" max="28" width="8.21875" style="6" bestFit="1" customWidth="1"/>
    <col min="29" max="29" width="9.44140625" style="38" bestFit="1" customWidth="1"/>
    <col min="30" max="30" width="8.44140625" style="36" bestFit="1" customWidth="1"/>
    <col min="31" max="31" width="8.21875" style="6" bestFit="1" customWidth="1"/>
    <col min="32" max="32" width="9.44140625" style="38" bestFit="1" customWidth="1"/>
    <col min="33" max="33" width="8.88671875" style="42"/>
  </cols>
  <sheetData>
    <row r="1" spans="1:33" ht="15" thickBot="1" x14ac:dyDescent="0.35">
      <c r="A1" s="158" t="s">
        <v>62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35"/>
      <c r="Q1" s="31"/>
      <c r="R1" s="137" t="s">
        <v>65</v>
      </c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</row>
    <row r="2" spans="1:33" s="34" customFormat="1" ht="30.6" customHeight="1" x14ac:dyDescent="0.3">
      <c r="A2" s="33"/>
      <c r="C2" s="139" t="s">
        <v>37</v>
      </c>
      <c r="D2" s="139"/>
      <c r="E2" s="139"/>
      <c r="F2" s="140" t="s">
        <v>30</v>
      </c>
      <c r="G2" s="140"/>
      <c r="H2" s="141" t="s">
        <v>31</v>
      </c>
      <c r="I2" s="142"/>
      <c r="J2" s="141" t="s">
        <v>59</v>
      </c>
      <c r="K2" s="143"/>
      <c r="L2" s="142"/>
      <c r="M2" s="143"/>
      <c r="N2" s="159" t="s">
        <v>63</v>
      </c>
      <c r="O2" s="159"/>
      <c r="P2" s="159" t="s">
        <v>64</v>
      </c>
      <c r="Q2" s="159"/>
      <c r="R2" s="160" t="s">
        <v>35</v>
      </c>
      <c r="S2" s="160"/>
      <c r="T2" s="161"/>
      <c r="U2" s="155" t="s">
        <v>69</v>
      </c>
      <c r="V2" s="156"/>
      <c r="W2" s="156"/>
      <c r="X2" s="153" t="s">
        <v>70</v>
      </c>
      <c r="Y2" s="154"/>
      <c r="Z2" s="154"/>
      <c r="AA2" s="155" t="s">
        <v>67</v>
      </c>
      <c r="AB2" s="156"/>
      <c r="AC2" s="156"/>
      <c r="AD2" s="157" t="s">
        <v>66</v>
      </c>
      <c r="AE2" s="154"/>
      <c r="AF2" s="154"/>
      <c r="AG2" s="44"/>
    </row>
    <row r="3" spans="1:33" x14ac:dyDescent="0.3">
      <c r="A3" s="1" t="s">
        <v>0</v>
      </c>
      <c r="B3" t="s">
        <v>1</v>
      </c>
      <c r="C3" s="25" t="s">
        <v>40</v>
      </c>
      <c r="D3" s="25" t="s">
        <v>41</v>
      </c>
      <c r="E3" s="24" t="s">
        <v>42</v>
      </c>
      <c r="F3" s="10" t="s">
        <v>32</v>
      </c>
      <c r="G3" s="10" t="s">
        <v>28</v>
      </c>
      <c r="H3" s="11" t="s">
        <v>33</v>
      </c>
      <c r="I3" s="12" t="s">
        <v>34</v>
      </c>
      <c r="J3" s="17" t="s">
        <v>2</v>
      </c>
      <c r="K3" s="18" t="s">
        <v>3</v>
      </c>
      <c r="L3" s="19" t="s">
        <v>4</v>
      </c>
      <c r="M3" s="18" t="s">
        <v>5</v>
      </c>
      <c r="N3" s="30" t="s">
        <v>60</v>
      </c>
      <c r="O3" s="30" t="s">
        <v>61</v>
      </c>
      <c r="P3" s="30" t="s">
        <v>60</v>
      </c>
      <c r="Q3" s="30" t="s">
        <v>61</v>
      </c>
      <c r="R3" s="9" t="s">
        <v>68</v>
      </c>
      <c r="S3" s="8" t="s">
        <v>36</v>
      </c>
      <c r="T3" s="23" t="s">
        <v>27</v>
      </c>
      <c r="U3" s="9" t="s">
        <v>68</v>
      </c>
      <c r="V3" s="8" t="s">
        <v>36</v>
      </c>
      <c r="W3" s="32" t="s">
        <v>27</v>
      </c>
      <c r="X3" s="9" t="s">
        <v>68</v>
      </c>
      <c r="Y3" s="8" t="s">
        <v>36</v>
      </c>
      <c r="Z3" s="12" t="s">
        <v>27</v>
      </c>
      <c r="AA3" s="9" t="s">
        <v>68</v>
      </c>
      <c r="AB3" s="8" t="s">
        <v>36</v>
      </c>
      <c r="AC3" s="32" t="s">
        <v>27</v>
      </c>
      <c r="AD3" s="9" t="s">
        <v>68</v>
      </c>
      <c r="AE3" s="8" t="s">
        <v>36</v>
      </c>
      <c r="AF3" s="32" t="s">
        <v>27</v>
      </c>
    </row>
    <row r="4" spans="1:33" x14ac:dyDescent="0.3">
      <c r="A4" s="1" t="s">
        <v>72</v>
      </c>
      <c r="B4" t="s">
        <v>23</v>
      </c>
      <c r="C4" s="25">
        <v>45383</v>
      </c>
      <c r="D4" s="25">
        <v>45413</v>
      </c>
      <c r="E4" s="24">
        <v>37.639999389648402</v>
      </c>
      <c r="F4" s="2">
        <v>1.5432431692272499</v>
      </c>
      <c r="G4" s="2">
        <v>0.49543103995057902</v>
      </c>
      <c r="H4" s="15">
        <v>-4.3570653991547602E-2</v>
      </c>
      <c r="I4" s="16">
        <v>0.83581295416079704</v>
      </c>
      <c r="J4" s="17">
        <v>0.83581295416079704</v>
      </c>
      <c r="K4" s="18">
        <v>150</v>
      </c>
      <c r="L4" s="19">
        <v>-0.26647181035967998</v>
      </c>
      <c r="M4" s="18">
        <v>67</v>
      </c>
      <c r="N4" s="26">
        <v>26</v>
      </c>
      <c r="O4" s="28">
        <v>30</v>
      </c>
      <c r="P4" s="26">
        <v>26</v>
      </c>
      <c r="Q4" s="28">
        <v>26</v>
      </c>
      <c r="R4" s="36">
        <v>7</v>
      </c>
      <c r="S4" s="6" t="s">
        <v>8</v>
      </c>
      <c r="T4" s="37">
        <v>0.745</v>
      </c>
      <c r="U4" s="39">
        <f t="shared" ref="U4:U15" si="0">O4</f>
        <v>30</v>
      </c>
      <c r="V4" s="6" t="s">
        <v>8</v>
      </c>
      <c r="W4" s="38">
        <v>1.325</v>
      </c>
      <c r="X4" s="43">
        <f t="shared" ref="X4:X22" si="1">N4</f>
        <v>26</v>
      </c>
      <c r="Z4" s="38"/>
      <c r="AA4" s="43">
        <f t="shared" ref="AA4:AA12" si="2">Q4</f>
        <v>26</v>
      </c>
      <c r="AD4" s="43">
        <f t="shared" ref="AD4:AD9" si="3">P4</f>
        <v>26</v>
      </c>
    </row>
    <row r="5" spans="1:33" x14ac:dyDescent="0.3">
      <c r="A5" s="1" t="s">
        <v>72</v>
      </c>
      <c r="B5" t="s">
        <v>77</v>
      </c>
      <c r="C5" s="25">
        <v>45413</v>
      </c>
      <c r="D5" s="25">
        <v>45444</v>
      </c>
      <c r="E5" s="24">
        <v>4.94704246520996</v>
      </c>
      <c r="F5" s="2">
        <v>0.174424716180033</v>
      </c>
      <c r="G5" s="2">
        <v>0.194078946611215</v>
      </c>
      <c r="H5" s="15">
        <v>0.10812023480197</v>
      </c>
      <c r="I5" s="16">
        <v>-0.23222507638775</v>
      </c>
      <c r="J5" s="17">
        <v>0.22334939805488299</v>
      </c>
      <c r="K5" s="18">
        <v>71</v>
      </c>
      <c r="L5" s="19">
        <v>-0.271397293415713</v>
      </c>
      <c r="M5" s="18">
        <v>145</v>
      </c>
      <c r="N5" s="26">
        <v>15</v>
      </c>
      <c r="O5" s="28">
        <v>19</v>
      </c>
      <c r="P5" s="26">
        <v>18</v>
      </c>
      <c r="Q5" s="28">
        <v>144</v>
      </c>
      <c r="R5" s="36">
        <v>7</v>
      </c>
      <c r="S5" s="6" t="s">
        <v>8</v>
      </c>
      <c r="T5" s="37">
        <v>0.33779999999999999</v>
      </c>
      <c r="U5" s="39">
        <f t="shared" si="0"/>
        <v>19</v>
      </c>
      <c r="V5" s="6" t="s">
        <v>8</v>
      </c>
      <c r="W5" s="38">
        <v>0.58309999999999995</v>
      </c>
      <c r="X5" s="43">
        <f t="shared" si="1"/>
        <v>15</v>
      </c>
      <c r="AA5" s="43">
        <f t="shared" si="2"/>
        <v>144</v>
      </c>
      <c r="AD5" s="43">
        <f t="shared" si="3"/>
        <v>18</v>
      </c>
    </row>
    <row r="6" spans="1:33" x14ac:dyDescent="0.3">
      <c r="A6" s="1" t="s">
        <v>72</v>
      </c>
      <c r="B6" t="s">
        <v>52</v>
      </c>
      <c r="C6" s="25">
        <v>45413</v>
      </c>
      <c r="D6" s="25">
        <v>45444</v>
      </c>
      <c r="E6" s="24">
        <v>31.577931404113698</v>
      </c>
      <c r="F6" s="2">
        <v>-0.110915406543101</v>
      </c>
      <c r="G6" s="2">
        <v>-7.2890747254952199E-3</v>
      </c>
      <c r="H6" s="15">
        <v>0.27965021355942499</v>
      </c>
      <c r="I6" s="16">
        <v>0.12118735941782301</v>
      </c>
      <c r="J6" s="17">
        <v>0.32744058088429301</v>
      </c>
      <c r="K6" s="18">
        <v>122</v>
      </c>
      <c r="L6" s="19">
        <v>-5.5460096308087202E-2</v>
      </c>
      <c r="M6" s="18">
        <v>19</v>
      </c>
      <c r="R6" s="36">
        <v>7</v>
      </c>
      <c r="S6" s="6" t="s">
        <v>8</v>
      </c>
      <c r="T6" s="37">
        <v>0.36870000000000003</v>
      </c>
      <c r="U6" s="39">
        <f t="shared" si="0"/>
        <v>0</v>
      </c>
      <c r="V6" s="6" t="s">
        <v>6</v>
      </c>
      <c r="W6" s="38" t="s">
        <v>6</v>
      </c>
      <c r="X6" s="43">
        <f t="shared" si="1"/>
        <v>0</v>
      </c>
      <c r="AA6" s="43">
        <f t="shared" si="2"/>
        <v>0</v>
      </c>
      <c r="AD6" s="43">
        <f t="shared" si="3"/>
        <v>0</v>
      </c>
    </row>
    <row r="7" spans="1:33" x14ac:dyDescent="0.3">
      <c r="A7" s="1" t="s">
        <v>72</v>
      </c>
      <c r="B7" t="s">
        <v>79</v>
      </c>
      <c r="C7" s="25">
        <v>45444</v>
      </c>
      <c r="D7" s="25">
        <v>45474</v>
      </c>
      <c r="E7" s="24">
        <v>14.648505210876399</v>
      </c>
      <c r="F7" s="2">
        <v>-0.44736992835630301</v>
      </c>
      <c r="G7" s="2">
        <v>-0.12877482370533799</v>
      </c>
      <c r="H7" s="15">
        <v>0.16606309957811999</v>
      </c>
      <c r="I7" s="16">
        <v>-0.182688934185264</v>
      </c>
      <c r="J7" s="17">
        <v>0.37541525686958099</v>
      </c>
      <c r="K7" s="18">
        <v>109</v>
      </c>
      <c r="L7" s="19">
        <v>-0.26822564817571398</v>
      </c>
      <c r="M7" s="18">
        <v>133</v>
      </c>
      <c r="N7" s="26">
        <v>132</v>
      </c>
      <c r="O7" s="28">
        <v>132</v>
      </c>
      <c r="P7" s="26">
        <v>24</v>
      </c>
      <c r="Q7" s="28">
        <v>132</v>
      </c>
      <c r="R7" s="36">
        <v>7</v>
      </c>
      <c r="S7" s="6" t="s">
        <v>8</v>
      </c>
      <c r="T7" s="37">
        <v>0.27</v>
      </c>
      <c r="U7" s="39">
        <f t="shared" si="0"/>
        <v>132</v>
      </c>
      <c r="V7" s="6" t="s">
        <v>6</v>
      </c>
      <c r="W7" s="38" t="s">
        <v>6</v>
      </c>
      <c r="X7" s="43">
        <f t="shared" si="1"/>
        <v>132</v>
      </c>
      <c r="AA7" s="43">
        <f t="shared" si="2"/>
        <v>132</v>
      </c>
      <c r="AC7" s="41"/>
      <c r="AD7" s="43">
        <f t="shared" si="3"/>
        <v>24</v>
      </c>
      <c r="AF7" s="41"/>
    </row>
    <row r="8" spans="1:33" x14ac:dyDescent="0.3">
      <c r="A8" s="1" t="s">
        <v>72</v>
      </c>
      <c r="B8" t="s">
        <v>10</v>
      </c>
      <c r="C8" s="25">
        <v>45505</v>
      </c>
      <c r="D8" s="25">
        <v>45536</v>
      </c>
      <c r="E8" s="24">
        <v>45.574998855590799</v>
      </c>
      <c r="F8" s="2">
        <v>-5.1706251491728403E-2</v>
      </c>
      <c r="G8" s="2">
        <v>5.7915434505334297E-2</v>
      </c>
      <c r="H8" s="15">
        <v>-0.18902907268117899</v>
      </c>
      <c r="I8" s="16">
        <v>-0.32046077693855302</v>
      </c>
      <c r="J8" s="17">
        <v>7.3176106978929095E-2</v>
      </c>
      <c r="K8" s="18">
        <v>30</v>
      </c>
      <c r="L8" s="19">
        <v>-0.429292355852881</v>
      </c>
      <c r="M8" s="18">
        <v>149</v>
      </c>
      <c r="N8" s="26">
        <v>5</v>
      </c>
      <c r="O8" s="28">
        <v>127</v>
      </c>
      <c r="P8" s="26">
        <v>69</v>
      </c>
      <c r="Q8" s="28">
        <v>128</v>
      </c>
      <c r="R8" s="36">
        <v>7</v>
      </c>
      <c r="S8" s="6" t="s">
        <v>71</v>
      </c>
      <c r="T8" s="37">
        <v>-0.37</v>
      </c>
      <c r="U8" s="39">
        <f t="shared" si="0"/>
        <v>127</v>
      </c>
      <c r="V8" s="6" t="s">
        <v>71</v>
      </c>
      <c r="W8" s="38">
        <v>-0.2</v>
      </c>
      <c r="X8" s="43">
        <f t="shared" si="1"/>
        <v>5</v>
      </c>
      <c r="AA8" s="43">
        <f t="shared" si="2"/>
        <v>128</v>
      </c>
      <c r="AD8" s="43">
        <f t="shared" si="3"/>
        <v>69</v>
      </c>
      <c r="AF8" s="41"/>
    </row>
    <row r="9" spans="1:33" x14ac:dyDescent="0.3">
      <c r="A9" s="1" t="s">
        <v>72</v>
      </c>
      <c r="B9" t="s">
        <v>76</v>
      </c>
      <c r="C9" s="25">
        <v>45505</v>
      </c>
      <c r="D9" s="25">
        <v>45536</v>
      </c>
      <c r="E9" s="24">
        <v>2.79500007629394</v>
      </c>
      <c r="F9" s="2">
        <v>-0.35894495626058098</v>
      </c>
      <c r="G9" s="2">
        <v>-0.15303026767254199</v>
      </c>
      <c r="H9" s="15">
        <v>-0.27370307120654203</v>
      </c>
      <c r="I9" s="16">
        <v>-0.83542039506682497</v>
      </c>
      <c r="J9" s="17">
        <v>5.18783459636886E-2</v>
      </c>
      <c r="K9" s="18">
        <v>10</v>
      </c>
      <c r="L9" s="19">
        <v>-0.867620753249146</v>
      </c>
      <c r="M9" s="18">
        <v>149</v>
      </c>
      <c r="N9" s="26">
        <v>22</v>
      </c>
      <c r="O9" s="28">
        <v>51</v>
      </c>
      <c r="P9" s="26">
        <v>22</v>
      </c>
      <c r="Q9" s="28">
        <v>51</v>
      </c>
      <c r="R9" s="36">
        <v>7</v>
      </c>
      <c r="S9" s="6" t="s">
        <v>71</v>
      </c>
      <c r="T9" s="37">
        <v>-0.87</v>
      </c>
      <c r="U9" s="39">
        <f t="shared" si="0"/>
        <v>51</v>
      </c>
      <c r="V9" s="6" t="s">
        <v>71</v>
      </c>
      <c r="W9" s="41">
        <v>-0.82</v>
      </c>
      <c r="X9" s="43">
        <f t="shared" si="1"/>
        <v>22</v>
      </c>
      <c r="AA9" s="43">
        <f t="shared" si="2"/>
        <v>51</v>
      </c>
      <c r="AD9" s="43">
        <f t="shared" si="3"/>
        <v>22</v>
      </c>
      <c r="AF9" s="41"/>
    </row>
    <row r="10" spans="1:33" x14ac:dyDescent="0.3">
      <c r="A10" s="1" t="s">
        <v>72</v>
      </c>
      <c r="B10" t="s">
        <v>78</v>
      </c>
      <c r="C10" s="25">
        <v>45536</v>
      </c>
      <c r="D10" s="25">
        <v>45566</v>
      </c>
      <c r="E10" s="24">
        <v>18.4699993133544</v>
      </c>
      <c r="F10" s="2">
        <v>9.0962727727057699E-2</v>
      </c>
      <c r="G10" s="2">
        <v>-5.1361070121563802E-2</v>
      </c>
      <c r="H10" s="15">
        <v>0.118029257510559</v>
      </c>
      <c r="I10" s="16">
        <v>-0.172171059540982</v>
      </c>
      <c r="J10" s="17">
        <v>0.23064430900123001</v>
      </c>
      <c r="K10" s="18">
        <v>93</v>
      </c>
      <c r="L10" s="19">
        <v>-0.25554951211837601</v>
      </c>
      <c r="M10" s="18">
        <v>129</v>
      </c>
      <c r="N10" s="26">
        <v>108</v>
      </c>
      <c r="O10" s="28">
        <v>127</v>
      </c>
      <c r="P10" s="26">
        <v>108</v>
      </c>
      <c r="Q10" s="28">
        <v>127</v>
      </c>
      <c r="R10" s="36">
        <v>7</v>
      </c>
      <c r="S10" s="6" t="s">
        <v>8</v>
      </c>
      <c r="T10" s="37">
        <v>0.23100000000000001</v>
      </c>
      <c r="U10" s="39">
        <f t="shared" si="0"/>
        <v>127</v>
      </c>
      <c r="V10" s="6" t="s">
        <v>6</v>
      </c>
      <c r="W10" s="38" t="s">
        <v>6</v>
      </c>
      <c r="X10" s="43">
        <f t="shared" si="1"/>
        <v>108</v>
      </c>
      <c r="AA10" s="43">
        <f t="shared" si="2"/>
        <v>127</v>
      </c>
      <c r="AD10" s="43" t="s">
        <v>6</v>
      </c>
    </row>
    <row r="11" spans="1:33" x14ac:dyDescent="0.3">
      <c r="A11" s="1" t="s">
        <v>72</v>
      </c>
      <c r="B11" t="s">
        <v>80</v>
      </c>
      <c r="C11" s="25">
        <v>45536</v>
      </c>
      <c r="D11" s="25">
        <v>45566</v>
      </c>
      <c r="E11" s="24">
        <v>50.308662414550703</v>
      </c>
      <c r="F11" s="2">
        <v>-7.5986168498505202E-2</v>
      </c>
      <c r="G11" s="2">
        <v>6.4922656905767401E-2</v>
      </c>
      <c r="H11" s="15">
        <v>1.0035930838935701E-2</v>
      </c>
      <c r="I11" s="16">
        <v>-0.122095623377232</v>
      </c>
      <c r="J11" s="17">
        <v>9.9910116033270394E-2</v>
      </c>
      <c r="K11" s="18">
        <v>43</v>
      </c>
      <c r="L11" s="19">
        <v>-0.39478101266033899</v>
      </c>
      <c r="M11" s="18">
        <v>127</v>
      </c>
      <c r="N11" s="26">
        <v>56</v>
      </c>
      <c r="O11" s="28">
        <v>126</v>
      </c>
      <c r="P11" s="26">
        <v>106</v>
      </c>
      <c r="Q11" s="28">
        <v>126</v>
      </c>
      <c r="R11" s="36">
        <v>7</v>
      </c>
      <c r="S11" s="6" t="s">
        <v>71</v>
      </c>
      <c r="T11" s="37">
        <v>-0.37</v>
      </c>
      <c r="U11" s="39">
        <f t="shared" si="0"/>
        <v>126</v>
      </c>
      <c r="V11" s="6" t="s">
        <v>8</v>
      </c>
      <c r="W11" s="40">
        <v>0.31859999999999999</v>
      </c>
      <c r="X11" s="43">
        <f t="shared" si="1"/>
        <v>56</v>
      </c>
      <c r="Z11" s="40"/>
      <c r="AA11" s="43">
        <f t="shared" si="2"/>
        <v>126</v>
      </c>
      <c r="AD11" s="43">
        <f>P11</f>
        <v>106</v>
      </c>
    </row>
    <row r="12" spans="1:33" x14ac:dyDescent="0.3">
      <c r="A12" s="1" t="s">
        <v>72</v>
      </c>
      <c r="B12" t="s">
        <v>9</v>
      </c>
      <c r="C12" s="25">
        <v>45536</v>
      </c>
      <c r="D12" s="25">
        <v>45566</v>
      </c>
      <c r="E12" s="24">
        <v>14.4799995422363</v>
      </c>
      <c r="F12" s="2">
        <v>-0.375053970886632</v>
      </c>
      <c r="G12" s="2">
        <v>-0.46171004655845099</v>
      </c>
      <c r="H12" s="15">
        <v>-0.58977898860464495</v>
      </c>
      <c r="I12" s="16">
        <v>-0.90676795120717502</v>
      </c>
      <c r="J12" s="17">
        <v>0.29903315335583902</v>
      </c>
      <c r="K12" s="18">
        <v>49</v>
      </c>
      <c r="L12" s="19">
        <v>-0.93191298232014197</v>
      </c>
      <c r="M12" s="18">
        <v>136</v>
      </c>
      <c r="N12" s="26">
        <v>55</v>
      </c>
      <c r="O12" s="28">
        <v>56</v>
      </c>
      <c r="P12" s="26">
        <v>15</v>
      </c>
      <c r="Q12" s="28">
        <v>55</v>
      </c>
      <c r="R12" s="36">
        <v>7</v>
      </c>
      <c r="S12" s="6" t="s">
        <v>71</v>
      </c>
      <c r="T12" s="37">
        <v>-0.94</v>
      </c>
      <c r="U12" s="39">
        <f t="shared" si="0"/>
        <v>56</v>
      </c>
      <c r="V12" s="6" t="s">
        <v>71</v>
      </c>
      <c r="W12" s="38">
        <v>-0.94</v>
      </c>
      <c r="X12" s="43">
        <f t="shared" si="1"/>
        <v>55</v>
      </c>
      <c r="Z12" s="38"/>
      <c r="AA12" s="43">
        <f t="shared" si="2"/>
        <v>55</v>
      </c>
      <c r="AD12" s="43">
        <f>P12</f>
        <v>15</v>
      </c>
    </row>
    <row r="13" spans="1:33" x14ac:dyDescent="0.3">
      <c r="A13" s="1" t="s">
        <v>72</v>
      </c>
      <c r="B13" t="s">
        <v>73</v>
      </c>
      <c r="C13" s="25">
        <v>45536</v>
      </c>
      <c r="D13" s="25">
        <v>45566</v>
      </c>
      <c r="K13" s="18">
        <v>67</v>
      </c>
      <c r="M13" s="18">
        <v>128</v>
      </c>
      <c r="R13" s="36">
        <v>7</v>
      </c>
      <c r="S13" s="6" t="s">
        <v>6</v>
      </c>
      <c r="T13" s="37" t="s">
        <v>6</v>
      </c>
      <c r="U13" s="39">
        <f t="shared" si="0"/>
        <v>0</v>
      </c>
      <c r="V13" s="6" t="s">
        <v>6</v>
      </c>
      <c r="W13" s="45" t="s">
        <v>6</v>
      </c>
      <c r="X13" s="43">
        <f t="shared" si="1"/>
        <v>0</v>
      </c>
      <c r="Y13" s="6" t="s">
        <v>6</v>
      </c>
      <c r="Z13" s="40" t="s">
        <v>6</v>
      </c>
      <c r="AA13" s="43" t="s">
        <v>6</v>
      </c>
      <c r="AB13" s="6" t="s">
        <v>6</v>
      </c>
      <c r="AC13" s="38" t="s">
        <v>6</v>
      </c>
      <c r="AD13" s="43" t="s">
        <v>6</v>
      </c>
      <c r="AE13" s="6" t="s">
        <v>6</v>
      </c>
      <c r="AF13" s="40" t="s">
        <v>6</v>
      </c>
    </row>
    <row r="14" spans="1:33" x14ac:dyDescent="0.3">
      <c r="A14" s="1" t="s">
        <v>72</v>
      </c>
      <c r="B14" t="s">
        <v>11</v>
      </c>
      <c r="C14" s="25">
        <v>45566</v>
      </c>
      <c r="D14" s="25">
        <v>45597</v>
      </c>
      <c r="E14" s="24">
        <v>8</v>
      </c>
      <c r="F14" s="2">
        <v>-0.70046774777070298</v>
      </c>
      <c r="G14" s="2">
        <v>-0.18116687562252301</v>
      </c>
      <c r="H14" s="15">
        <v>0.36249995231628301</v>
      </c>
      <c r="I14" s="16">
        <v>-0.59999999403953497</v>
      </c>
      <c r="J14" s="17">
        <v>1.0374999046325599</v>
      </c>
      <c r="K14" s="18">
        <v>41</v>
      </c>
      <c r="L14" s="19">
        <v>-0.68874999880790699</v>
      </c>
      <c r="M14" s="18">
        <v>142</v>
      </c>
      <c r="N14" s="26">
        <v>103</v>
      </c>
      <c r="O14" s="28">
        <v>104</v>
      </c>
      <c r="P14" s="26">
        <v>100</v>
      </c>
      <c r="Q14" s="28">
        <v>103</v>
      </c>
      <c r="R14" s="36">
        <v>7</v>
      </c>
      <c r="S14" s="6" t="s">
        <v>8</v>
      </c>
      <c r="T14" s="37">
        <v>0.73599999999999999</v>
      </c>
      <c r="U14" s="39">
        <f t="shared" si="0"/>
        <v>104</v>
      </c>
      <c r="V14" s="6" t="s">
        <v>71</v>
      </c>
      <c r="W14" s="38">
        <v>-0.54</v>
      </c>
      <c r="X14" s="43">
        <f t="shared" si="1"/>
        <v>103</v>
      </c>
      <c r="AA14" s="43">
        <f>Q14</f>
        <v>103</v>
      </c>
      <c r="AD14" s="43">
        <f t="shared" ref="AD14:AD22" si="4">P14</f>
        <v>100</v>
      </c>
    </row>
    <row r="15" spans="1:33" x14ac:dyDescent="0.3">
      <c r="A15" s="1" t="s">
        <v>72</v>
      </c>
      <c r="B15" t="s">
        <v>75</v>
      </c>
      <c r="C15" s="25">
        <v>45597</v>
      </c>
      <c r="D15" s="25">
        <v>45627</v>
      </c>
      <c r="E15" s="24">
        <v>7.5174999237060502</v>
      </c>
      <c r="F15" s="2">
        <v>1.2780303128275701</v>
      </c>
      <c r="G15" s="2">
        <v>1.7138989081117499</v>
      </c>
      <c r="H15" s="15">
        <v>0.31426673956920598</v>
      </c>
      <c r="I15" s="16">
        <v>0.24110409290253099</v>
      </c>
      <c r="J15" s="17">
        <v>1.6844031273667399</v>
      </c>
      <c r="K15" s="18">
        <v>23</v>
      </c>
      <c r="L15" s="19">
        <v>-9.0123016693582206E-2</v>
      </c>
      <c r="M15" s="18">
        <v>8</v>
      </c>
      <c r="R15" s="36">
        <v>7</v>
      </c>
      <c r="S15" s="6" t="s">
        <v>8</v>
      </c>
      <c r="T15" s="37">
        <v>1.2</v>
      </c>
      <c r="U15" s="39">
        <f t="shared" si="0"/>
        <v>0</v>
      </c>
      <c r="V15" s="6" t="s">
        <v>6</v>
      </c>
      <c r="W15" s="38" t="s">
        <v>6</v>
      </c>
      <c r="X15" s="43">
        <f t="shared" si="1"/>
        <v>0</v>
      </c>
      <c r="Z15" s="45"/>
      <c r="AA15" s="43">
        <f>Q15</f>
        <v>0</v>
      </c>
      <c r="AD15" s="43">
        <f t="shared" si="4"/>
        <v>0</v>
      </c>
    </row>
    <row r="16" spans="1:33" x14ac:dyDescent="0.3">
      <c r="A16" s="1" t="s">
        <v>72</v>
      </c>
      <c r="B16" t="s">
        <v>74</v>
      </c>
      <c r="C16" s="25">
        <v>45627</v>
      </c>
      <c r="D16" s="25">
        <v>45658</v>
      </c>
      <c r="E16" s="24">
        <v>11.119999885559</v>
      </c>
      <c r="F16" s="2">
        <v>-6.2555583064484097E-3</v>
      </c>
      <c r="G16" s="2">
        <v>-0.25016858106765399</v>
      </c>
      <c r="H16" s="15">
        <v>7.3740980509281198E-2</v>
      </c>
      <c r="I16" s="16">
        <v>0.93345325730810802</v>
      </c>
      <c r="J16" s="17">
        <v>1.01798568030555</v>
      </c>
      <c r="K16" s="18">
        <v>129</v>
      </c>
      <c r="L16" s="19">
        <v>-0.179856116958893</v>
      </c>
      <c r="M16" s="18">
        <v>60</v>
      </c>
      <c r="N16" s="26">
        <v>40</v>
      </c>
      <c r="P16" s="26">
        <v>17</v>
      </c>
      <c r="Q16" s="28">
        <v>38</v>
      </c>
      <c r="R16" s="36">
        <v>7</v>
      </c>
      <c r="S16" s="6" t="s">
        <v>8</v>
      </c>
      <c r="T16" s="37">
        <v>0.68500000000000005</v>
      </c>
      <c r="U16" s="39" t="s">
        <v>6</v>
      </c>
      <c r="V16" s="6" t="s">
        <v>6</v>
      </c>
      <c r="W16" s="38" t="s">
        <v>6</v>
      </c>
      <c r="X16" s="43">
        <f t="shared" si="1"/>
        <v>40</v>
      </c>
      <c r="Y16" s="6" t="s">
        <v>8</v>
      </c>
      <c r="Z16" s="41">
        <v>1.306</v>
      </c>
      <c r="AA16" s="43">
        <f>Q16</f>
        <v>38</v>
      </c>
      <c r="AB16" s="6" t="s">
        <v>8</v>
      </c>
      <c r="AC16" s="38">
        <v>1.149</v>
      </c>
      <c r="AD16" s="43">
        <f t="shared" si="4"/>
        <v>17</v>
      </c>
      <c r="AE16" s="6" t="s">
        <v>8</v>
      </c>
      <c r="AF16" s="38">
        <v>0.878</v>
      </c>
    </row>
    <row r="17" spans="1:32" x14ac:dyDescent="0.3">
      <c r="A17" s="1" t="s">
        <v>72</v>
      </c>
      <c r="B17" t="s">
        <v>21</v>
      </c>
      <c r="C17" s="25">
        <v>45627</v>
      </c>
      <c r="D17" s="25">
        <v>45658</v>
      </c>
      <c r="E17" s="24">
        <v>17.274999618530199</v>
      </c>
      <c r="F17" s="2">
        <v>-0.366984278527406</v>
      </c>
      <c r="G17" s="2">
        <v>-0.198747678736308</v>
      </c>
      <c r="H17" s="15">
        <v>-0.19479015024166099</v>
      </c>
      <c r="I17" s="16">
        <v>-0.110274950798133</v>
      </c>
      <c r="J17" s="17">
        <v>0.201736653389753</v>
      </c>
      <c r="K17" s="18">
        <v>26</v>
      </c>
      <c r="L17" s="19">
        <v>-0.30188129169737399</v>
      </c>
      <c r="M17" s="18">
        <v>83</v>
      </c>
      <c r="N17" s="26">
        <v>5</v>
      </c>
      <c r="O17" s="28">
        <v>63</v>
      </c>
      <c r="P17" s="26">
        <v>65</v>
      </c>
      <c r="R17" s="36">
        <v>7</v>
      </c>
      <c r="S17" s="6" t="s">
        <v>8</v>
      </c>
      <c r="T17" s="37">
        <v>0.39</v>
      </c>
      <c r="U17" s="39">
        <f t="shared" ref="U17:U25" si="5">O17</f>
        <v>63</v>
      </c>
      <c r="V17" s="6" t="s">
        <v>71</v>
      </c>
      <c r="W17" s="41">
        <v>-0.1255</v>
      </c>
      <c r="X17" s="43">
        <f t="shared" si="1"/>
        <v>5</v>
      </c>
      <c r="AA17" s="43">
        <f>Q17</f>
        <v>0</v>
      </c>
      <c r="AD17" s="43">
        <f t="shared" si="4"/>
        <v>65</v>
      </c>
      <c r="AF17" s="41"/>
    </row>
    <row r="18" spans="1:32" x14ac:dyDescent="0.3">
      <c r="A18" s="1" t="s">
        <v>72</v>
      </c>
      <c r="B18" t="s">
        <v>17</v>
      </c>
      <c r="C18" s="25">
        <v>45627</v>
      </c>
      <c r="D18" s="25">
        <v>45658</v>
      </c>
      <c r="E18" s="24">
        <v>8.875</v>
      </c>
      <c r="F18" s="2">
        <v>-0.21806170028949701</v>
      </c>
      <c r="G18" s="2">
        <v>-8.5993824394085303E-2</v>
      </c>
      <c r="H18" s="15">
        <v>0.205633781325649</v>
      </c>
      <c r="I18" s="16">
        <v>-6.2535245653609101E-2</v>
      </c>
      <c r="J18" s="17">
        <v>0.345352065395301</v>
      </c>
      <c r="K18" s="18">
        <v>108</v>
      </c>
      <c r="L18" s="19">
        <v>-7.9436611121808998E-2</v>
      </c>
      <c r="M18" s="18">
        <v>28</v>
      </c>
      <c r="R18" s="36">
        <v>7</v>
      </c>
      <c r="S18" s="6" t="s">
        <v>8</v>
      </c>
      <c r="T18" s="37">
        <v>0.3296</v>
      </c>
      <c r="U18" s="39">
        <f t="shared" si="5"/>
        <v>0</v>
      </c>
      <c r="V18" s="6" t="s">
        <v>6</v>
      </c>
      <c r="W18" s="38" t="s">
        <v>6</v>
      </c>
      <c r="X18" s="43">
        <f t="shared" si="1"/>
        <v>0</v>
      </c>
      <c r="Z18" s="37"/>
      <c r="AA18" s="43">
        <f>Q18</f>
        <v>0</v>
      </c>
      <c r="AD18" s="43">
        <f t="shared" si="4"/>
        <v>0</v>
      </c>
    </row>
    <row r="19" spans="1:32" x14ac:dyDescent="0.3">
      <c r="A19" s="1" t="s">
        <v>72</v>
      </c>
      <c r="B19" t="s">
        <v>14</v>
      </c>
      <c r="C19" s="25">
        <v>45627</v>
      </c>
      <c r="D19" s="25">
        <v>45658</v>
      </c>
      <c r="E19" s="24">
        <v>1.7250000238418499</v>
      </c>
      <c r="F19" s="2">
        <v>-0.13749998807907099</v>
      </c>
      <c r="G19" s="2">
        <v>0.134868450978786</v>
      </c>
      <c r="H19" s="15">
        <v>0.80289846499210205</v>
      </c>
      <c r="I19" s="16">
        <v>1.4869564652517999</v>
      </c>
      <c r="J19" s="17">
        <v>3.37101441022604</v>
      </c>
      <c r="K19" s="18">
        <v>113</v>
      </c>
      <c r="L19" s="19">
        <v>-1.44927396015118E-2</v>
      </c>
      <c r="M19" s="18">
        <v>7</v>
      </c>
      <c r="R19" s="36">
        <v>7</v>
      </c>
      <c r="S19" s="6" t="s">
        <v>8</v>
      </c>
      <c r="T19" s="37">
        <v>3.4350000000000001</v>
      </c>
      <c r="U19" s="39">
        <f t="shared" si="5"/>
        <v>0</v>
      </c>
      <c r="V19" s="6" t="s">
        <v>6</v>
      </c>
      <c r="W19" s="38" t="s">
        <v>6</v>
      </c>
      <c r="X19" s="43">
        <f t="shared" si="1"/>
        <v>0</v>
      </c>
      <c r="Y19" s="6" t="s">
        <v>6</v>
      </c>
      <c r="Z19" s="41" t="s">
        <v>6</v>
      </c>
      <c r="AA19" s="43" t="s">
        <v>6</v>
      </c>
      <c r="AB19" s="6" t="s">
        <v>6</v>
      </c>
      <c r="AC19" s="38" t="s">
        <v>6</v>
      </c>
      <c r="AD19" s="43">
        <f t="shared" si="4"/>
        <v>0</v>
      </c>
      <c r="AE19" s="6" t="s">
        <v>6</v>
      </c>
      <c r="AF19" s="41" t="s">
        <v>6</v>
      </c>
    </row>
    <row r="20" spans="1:32" x14ac:dyDescent="0.3">
      <c r="A20" s="1" t="s">
        <v>72</v>
      </c>
      <c r="B20" t="s">
        <v>26</v>
      </c>
      <c r="C20" s="25">
        <v>45658</v>
      </c>
      <c r="D20" s="25">
        <v>45689</v>
      </c>
      <c r="E20" s="24">
        <v>3.6899999380111601</v>
      </c>
      <c r="F20" s="2">
        <v>-0.28764477600481603</v>
      </c>
      <c r="G20" s="2">
        <v>-0.21321963902105801</v>
      </c>
      <c r="H20" s="15">
        <v>0.40650410417561</v>
      </c>
      <c r="J20" s="17">
        <v>0.50406511760707295</v>
      </c>
      <c r="K20" s="18">
        <v>74</v>
      </c>
      <c r="L20" s="19">
        <v>-0.26558263315104402</v>
      </c>
      <c r="M20" s="18">
        <v>127</v>
      </c>
      <c r="N20" s="26">
        <v>27</v>
      </c>
      <c r="O20" s="28">
        <v>126</v>
      </c>
      <c r="P20" s="26">
        <v>27</v>
      </c>
      <c r="Q20" s="28">
        <v>127</v>
      </c>
      <c r="R20" s="36">
        <v>7</v>
      </c>
      <c r="S20" s="6" t="s">
        <v>8</v>
      </c>
      <c r="T20" s="37">
        <v>0.6</v>
      </c>
      <c r="U20" s="39">
        <f t="shared" si="5"/>
        <v>126</v>
      </c>
      <c r="V20" s="6" t="s">
        <v>8</v>
      </c>
      <c r="W20" s="40">
        <v>0.309</v>
      </c>
      <c r="X20" s="43">
        <f t="shared" si="1"/>
        <v>27</v>
      </c>
      <c r="Z20" s="40"/>
      <c r="AA20" s="43">
        <f>Q20</f>
        <v>127</v>
      </c>
      <c r="AC20" s="40"/>
      <c r="AD20" s="43">
        <f t="shared" si="4"/>
        <v>27</v>
      </c>
      <c r="AF20" s="40"/>
    </row>
    <row r="21" spans="1:32" x14ac:dyDescent="0.3">
      <c r="A21" s="1" t="s">
        <v>72</v>
      </c>
      <c r="B21" t="s">
        <v>46</v>
      </c>
      <c r="C21" s="25">
        <v>45748</v>
      </c>
      <c r="D21" s="25">
        <v>45778</v>
      </c>
      <c r="E21" s="24">
        <v>6.0799999237060502</v>
      </c>
      <c r="F21" s="2">
        <v>-0.64444445683787199</v>
      </c>
      <c r="G21" s="2">
        <v>-0.28047336556865399</v>
      </c>
      <c r="H21" s="15">
        <v>0.29769736274540198</v>
      </c>
      <c r="J21" s="17">
        <v>0.91282899019378105</v>
      </c>
      <c r="K21" s="18">
        <v>87</v>
      </c>
      <c r="L21" s="19">
        <v>-0.33223684313719898</v>
      </c>
      <c r="M21" s="18">
        <v>16</v>
      </c>
      <c r="N21" s="26">
        <v>7</v>
      </c>
      <c r="O21" s="28">
        <v>9</v>
      </c>
      <c r="P21" s="26">
        <v>11</v>
      </c>
      <c r="Q21" s="28">
        <v>16</v>
      </c>
      <c r="R21" s="36">
        <v>7</v>
      </c>
      <c r="S21" s="6" t="s">
        <v>8</v>
      </c>
      <c r="T21" s="37">
        <v>1.2410000000000001</v>
      </c>
      <c r="U21" s="39">
        <f t="shared" si="5"/>
        <v>9</v>
      </c>
      <c r="V21" s="6" t="s">
        <v>8</v>
      </c>
      <c r="W21" s="38">
        <v>1.43</v>
      </c>
      <c r="X21" s="43">
        <f t="shared" si="1"/>
        <v>7</v>
      </c>
      <c r="AA21" s="43">
        <f>Q21</f>
        <v>16</v>
      </c>
      <c r="AD21" s="43">
        <f t="shared" si="4"/>
        <v>11</v>
      </c>
    </row>
    <row r="22" spans="1:32" x14ac:dyDescent="0.3">
      <c r="A22" s="1" t="s">
        <v>72</v>
      </c>
      <c r="B22" t="s">
        <v>50</v>
      </c>
      <c r="C22" s="25">
        <v>45748</v>
      </c>
      <c r="D22" s="25">
        <v>45778</v>
      </c>
      <c r="E22" s="24">
        <v>0.91000002622604304</v>
      </c>
      <c r="F22" s="2">
        <v>-0.79732737803694298</v>
      </c>
      <c r="G22" s="2">
        <v>-0.37671232708937902</v>
      </c>
      <c r="H22" s="15">
        <v>0.17582419957678</v>
      </c>
      <c r="J22" s="17">
        <v>0.45054946638451998</v>
      </c>
      <c r="K22" s="18">
        <v>83</v>
      </c>
      <c r="L22" s="19">
        <v>-0.37362639953830601</v>
      </c>
      <c r="M22" s="18">
        <v>24</v>
      </c>
      <c r="N22" s="26">
        <v>4</v>
      </c>
      <c r="O22" s="28">
        <v>5</v>
      </c>
      <c r="P22" s="26">
        <v>9</v>
      </c>
      <c r="Q22" s="28">
        <v>11</v>
      </c>
      <c r="R22" s="36">
        <v>7</v>
      </c>
      <c r="S22" s="6" t="s">
        <v>8</v>
      </c>
      <c r="T22" s="37">
        <v>0.80800000000000005</v>
      </c>
      <c r="U22" s="39">
        <f t="shared" si="5"/>
        <v>5</v>
      </c>
      <c r="V22" s="6" t="s">
        <v>8</v>
      </c>
      <c r="W22" s="40">
        <v>0.80800000000000005</v>
      </c>
      <c r="X22" s="43">
        <f t="shared" si="1"/>
        <v>4</v>
      </c>
      <c r="AA22" s="43">
        <f>Q22</f>
        <v>11</v>
      </c>
      <c r="AD22" s="43">
        <f t="shared" si="4"/>
        <v>9</v>
      </c>
      <c r="AF22" s="41"/>
    </row>
    <row r="23" spans="1:32" x14ac:dyDescent="0.3">
      <c r="A23" s="1" t="s">
        <v>72</v>
      </c>
      <c r="B23" t="s">
        <v>13</v>
      </c>
      <c r="C23" s="25">
        <v>45778</v>
      </c>
      <c r="D23" s="25">
        <v>45809</v>
      </c>
      <c r="E23" s="24">
        <v>6.6150000095367396</v>
      </c>
      <c r="F23" s="2">
        <v>-0.713820159304144</v>
      </c>
      <c r="G23" s="2">
        <v>-0.61360983146815296</v>
      </c>
      <c r="J23" s="17">
        <v>0.162509455197869</v>
      </c>
      <c r="K23" s="18">
        <v>58</v>
      </c>
      <c r="L23" s="19">
        <v>-9.2970522849600501E-2</v>
      </c>
      <c r="M23" s="18">
        <v>9</v>
      </c>
      <c r="R23" s="36">
        <v>7</v>
      </c>
      <c r="S23" s="6" t="s">
        <v>8</v>
      </c>
      <c r="T23" s="37">
        <v>0.2034</v>
      </c>
      <c r="U23" s="39">
        <f t="shared" si="5"/>
        <v>0</v>
      </c>
      <c r="V23" s="6" t="s">
        <v>6</v>
      </c>
      <c r="W23" s="38" t="s">
        <v>6</v>
      </c>
      <c r="X23" s="43" t="s">
        <v>6</v>
      </c>
      <c r="Y23" s="6" t="s">
        <v>6</v>
      </c>
      <c r="Z23" s="41" t="s">
        <v>6</v>
      </c>
      <c r="AA23" s="43" t="s">
        <v>6</v>
      </c>
      <c r="AB23" s="6" t="s">
        <v>6</v>
      </c>
      <c r="AC23" s="38" t="s">
        <v>6</v>
      </c>
      <c r="AD23" s="43" t="s">
        <v>6</v>
      </c>
      <c r="AE23" s="6" t="s">
        <v>6</v>
      </c>
      <c r="AF23" s="38" t="s">
        <v>6</v>
      </c>
    </row>
    <row r="24" spans="1:32" x14ac:dyDescent="0.3">
      <c r="A24" s="1" t="s">
        <v>72</v>
      </c>
      <c r="B24" t="s">
        <v>18</v>
      </c>
      <c r="C24" s="25">
        <v>45778</v>
      </c>
      <c r="D24" s="25">
        <v>45809</v>
      </c>
      <c r="E24" s="24">
        <v>4.8650000095367396</v>
      </c>
      <c r="F24" s="2">
        <v>-0.40815086964769098</v>
      </c>
      <c r="G24" s="2">
        <v>-0.102398534860666</v>
      </c>
      <c r="J24" s="17">
        <v>0.42651593907834301</v>
      </c>
      <c r="K24" s="18">
        <v>35</v>
      </c>
      <c r="L24" s="19">
        <v>0</v>
      </c>
      <c r="M24" s="18">
        <v>0</v>
      </c>
      <c r="R24" s="36">
        <v>7</v>
      </c>
      <c r="S24" s="6" t="s">
        <v>8</v>
      </c>
      <c r="T24" s="37">
        <v>0.36080000000000001</v>
      </c>
      <c r="U24" s="39">
        <f t="shared" si="5"/>
        <v>0</v>
      </c>
      <c r="V24" s="6" t="s">
        <v>6</v>
      </c>
      <c r="W24" s="38" t="s">
        <v>6</v>
      </c>
      <c r="X24" s="43">
        <f>N24</f>
        <v>0</v>
      </c>
      <c r="Z24" s="40"/>
      <c r="AA24" s="43">
        <f>Q24</f>
        <v>0</v>
      </c>
      <c r="AD24" s="43">
        <f>P24</f>
        <v>0</v>
      </c>
    </row>
    <row r="25" spans="1:32" x14ac:dyDescent="0.3">
      <c r="A25" s="1" t="s">
        <v>72</v>
      </c>
      <c r="B25" t="s">
        <v>20</v>
      </c>
      <c r="C25" s="25">
        <v>45839</v>
      </c>
      <c r="D25" s="25">
        <v>45870</v>
      </c>
      <c r="E25" s="24">
        <v>6.3299999237060502</v>
      </c>
      <c r="F25" s="2">
        <v>-0.375190643739025</v>
      </c>
      <c r="G25" s="2">
        <v>-0.31649045556071498</v>
      </c>
      <c r="J25" s="17">
        <v>0.23222753313528599</v>
      </c>
      <c r="K25" s="18">
        <v>19</v>
      </c>
      <c r="L25" s="19">
        <v>-2.6856252502830101E-2</v>
      </c>
      <c r="M25" s="18">
        <v>2</v>
      </c>
      <c r="R25" s="36">
        <v>7</v>
      </c>
      <c r="S25" s="6" t="s">
        <v>6</v>
      </c>
      <c r="T25" s="37" t="s">
        <v>6</v>
      </c>
      <c r="U25" s="39">
        <f t="shared" si="5"/>
        <v>0</v>
      </c>
      <c r="V25" s="6" t="s">
        <v>6</v>
      </c>
      <c r="W25" s="38" t="s">
        <v>6</v>
      </c>
      <c r="X25" s="43">
        <f>N25</f>
        <v>0</v>
      </c>
      <c r="AA25" s="43">
        <f>Q25</f>
        <v>0</v>
      </c>
      <c r="AD25" s="43">
        <f>P25</f>
        <v>0</v>
      </c>
    </row>
    <row r="26" spans="1:32" x14ac:dyDescent="0.3">
      <c r="U26" s="39"/>
      <c r="W26" s="40"/>
      <c r="X26" s="43"/>
      <c r="Z26" s="40"/>
      <c r="AA26" s="43"/>
      <c r="AD26" s="43"/>
    </row>
    <row r="27" spans="1:32" s="42" customFormat="1" x14ac:dyDescent="0.3">
      <c r="A27" s="1"/>
      <c r="B27"/>
      <c r="C27" s="25"/>
      <c r="D27" s="25"/>
      <c r="E27" s="24"/>
      <c r="F27" s="2"/>
      <c r="G27" s="2"/>
      <c r="H27" s="15"/>
      <c r="I27" s="16"/>
      <c r="J27" s="17"/>
      <c r="K27" s="18"/>
      <c r="L27" s="19"/>
      <c r="M27" s="18"/>
      <c r="N27" s="26"/>
      <c r="O27" s="28"/>
      <c r="P27" s="26"/>
      <c r="Q27" s="28"/>
      <c r="R27" s="36"/>
      <c r="S27" s="6" t="s">
        <v>89</v>
      </c>
      <c r="T27" s="46">
        <f>COUNT(T4:T25)</f>
        <v>20</v>
      </c>
      <c r="U27" s="47"/>
      <c r="V27" s="47"/>
      <c r="W27" s="53">
        <f>COUNT(W4:W25)</f>
        <v>11</v>
      </c>
      <c r="X27" s="48"/>
      <c r="Y27" s="47"/>
      <c r="Z27" s="41"/>
      <c r="AA27" s="36"/>
      <c r="AB27" s="6"/>
      <c r="AC27" s="38"/>
      <c r="AD27" s="36"/>
      <c r="AE27" s="6"/>
      <c r="AF27" s="38"/>
    </row>
    <row r="28" spans="1:32" s="69" customFormat="1" x14ac:dyDescent="0.3">
      <c r="A28" s="3"/>
      <c r="B28" s="4"/>
      <c r="C28" s="54"/>
      <c r="D28" s="54"/>
      <c r="E28" s="55"/>
      <c r="F28" s="5"/>
      <c r="G28" s="5"/>
      <c r="H28" s="56"/>
      <c r="I28" s="57"/>
      <c r="J28" s="58"/>
      <c r="K28" s="59"/>
      <c r="L28" s="60"/>
      <c r="M28" s="59"/>
      <c r="N28" s="61"/>
      <c r="O28" s="62"/>
      <c r="P28" s="61"/>
      <c r="Q28" s="62"/>
      <c r="R28" s="63"/>
      <c r="S28" s="64" t="s">
        <v>81</v>
      </c>
      <c r="T28" s="49">
        <f>COUNTIF(S4:S25, "Win")/COUNT(T4:T25)</f>
        <v>0.8</v>
      </c>
      <c r="U28" s="65"/>
      <c r="V28" s="65"/>
      <c r="W28" s="66">
        <f>COUNTIF(V4:V25, "Win")/COUNT(W4:W25)</f>
        <v>0.54545454545454541</v>
      </c>
      <c r="X28" s="67"/>
      <c r="Y28" s="65"/>
      <c r="Z28" s="68">
        <f>COUNT(Z4:Z25)</f>
        <v>1</v>
      </c>
      <c r="AA28" s="63"/>
      <c r="AB28" s="64"/>
      <c r="AC28" s="68">
        <f>COUNT(AC4:AC25)</f>
        <v>1</v>
      </c>
      <c r="AD28" s="63"/>
      <c r="AE28" s="64"/>
      <c r="AF28" s="68">
        <f>COUNT(AF4:AF25)</f>
        <v>1</v>
      </c>
    </row>
    <row r="29" spans="1:32" s="42" customFormat="1" x14ac:dyDescent="0.3">
      <c r="A29" s="1"/>
      <c r="B29"/>
      <c r="C29" s="25"/>
      <c r="D29" s="25"/>
      <c r="E29" s="24"/>
      <c r="F29" s="2"/>
      <c r="G29" s="2"/>
      <c r="H29" s="15"/>
      <c r="I29" s="16"/>
      <c r="J29" s="17"/>
      <c r="K29" s="18"/>
      <c r="L29" s="19"/>
      <c r="M29" s="18"/>
      <c r="N29" s="26"/>
      <c r="O29" s="28"/>
      <c r="P29" s="26"/>
      <c r="Q29" s="28"/>
      <c r="R29" s="36"/>
      <c r="S29" s="6" t="s">
        <v>82</v>
      </c>
      <c r="T29" s="50">
        <f>AVERAGE(T4:T25)</f>
        <v>0.46956499999999995</v>
      </c>
      <c r="U29" s="47"/>
      <c r="V29" s="47"/>
      <c r="W29" s="51">
        <f>AVERAGE(W4:W25)</f>
        <v>0.1952909090909091</v>
      </c>
      <c r="X29" s="48"/>
      <c r="Y29" s="47"/>
      <c r="Z29" s="37">
        <f>AVERAGE(Z4:Z25)</f>
        <v>1.306</v>
      </c>
      <c r="AA29" s="36"/>
      <c r="AB29" s="6"/>
      <c r="AC29" s="37">
        <f>AVERAGE(AC4:AC25)</f>
        <v>1.149</v>
      </c>
      <c r="AD29" s="36"/>
      <c r="AE29" s="6"/>
      <c r="AF29" s="37">
        <f>AVERAGE(AF4:AF25)</f>
        <v>0.878</v>
      </c>
    </row>
    <row r="30" spans="1:32" s="42" customFormat="1" x14ac:dyDescent="0.3">
      <c r="A30" s="1"/>
      <c r="B30"/>
      <c r="C30" s="25"/>
      <c r="D30" s="25"/>
      <c r="E30" s="24"/>
      <c r="F30" s="2"/>
      <c r="G30" s="2"/>
      <c r="H30" s="15"/>
      <c r="I30" s="16"/>
      <c r="J30" s="17"/>
      <c r="K30" s="18"/>
      <c r="L30" s="19"/>
      <c r="M30" s="18"/>
      <c r="N30" s="26"/>
      <c r="O30" s="28"/>
      <c r="P30" s="26"/>
      <c r="Q30" s="28"/>
      <c r="R30" s="36"/>
      <c r="S30" s="6" t="s">
        <v>84</v>
      </c>
      <c r="T30" s="50">
        <f>_xlfn.STDEV.S(T4:T25)</f>
        <v>0.9081845426164048</v>
      </c>
      <c r="U30" s="47"/>
      <c r="V30" s="47"/>
      <c r="W30" s="51">
        <f>_xlfn.STDEV.S(W4:W25)</f>
        <v>0.80462462608914165</v>
      </c>
      <c r="X30" s="48"/>
      <c r="Y30" s="47"/>
      <c r="Z30" s="37" t="e">
        <f>_xlfn.STDEV.S(Z4:Z25)</f>
        <v>#DIV/0!</v>
      </c>
      <c r="AA30" s="36"/>
      <c r="AB30" s="6"/>
      <c r="AC30" s="37" t="e">
        <f>_xlfn.STDEV.S(AC4:AC25)</f>
        <v>#DIV/0!</v>
      </c>
      <c r="AD30" s="36"/>
      <c r="AE30" s="6"/>
      <c r="AF30" s="37" t="e">
        <f>_xlfn.STDEV.S(AF4:AF25)</f>
        <v>#DIV/0!</v>
      </c>
    </row>
    <row r="31" spans="1:32" s="69" customFormat="1" x14ac:dyDescent="0.3">
      <c r="A31" s="3"/>
      <c r="B31" s="4"/>
      <c r="C31" s="54"/>
      <c r="D31" s="54"/>
      <c r="E31" s="55"/>
      <c r="F31" s="5"/>
      <c r="G31" s="5"/>
      <c r="H31" s="56"/>
      <c r="I31" s="57"/>
      <c r="J31" s="58"/>
      <c r="K31" s="59"/>
      <c r="L31" s="60"/>
      <c r="M31" s="59"/>
      <c r="N31" s="61"/>
      <c r="O31" s="62"/>
      <c r="P31" s="61"/>
      <c r="Q31" s="62"/>
      <c r="R31" s="63"/>
      <c r="S31" s="64" t="s">
        <v>83</v>
      </c>
      <c r="T31" s="70">
        <f>T29/T30</f>
        <v>0.51703698749069427</v>
      </c>
      <c r="U31" s="65"/>
      <c r="V31" s="65"/>
      <c r="W31" s="71">
        <f>W29/W30</f>
        <v>0.242710579267398</v>
      </c>
      <c r="X31" s="67"/>
      <c r="Y31" s="65"/>
      <c r="Z31" s="72" t="e">
        <f>Z29/Z30</f>
        <v>#DIV/0!</v>
      </c>
      <c r="AA31" s="63"/>
      <c r="AB31" s="64"/>
      <c r="AC31" s="72" t="e">
        <f>AC29/AC30</f>
        <v>#DIV/0!</v>
      </c>
      <c r="AD31" s="63"/>
      <c r="AE31" s="64"/>
      <c r="AF31" s="72" t="e">
        <f>AF29/AF30</f>
        <v>#DIV/0!</v>
      </c>
    </row>
    <row r="32" spans="1:32" x14ac:dyDescent="0.3">
      <c r="S32" s="6" t="s">
        <v>85</v>
      </c>
      <c r="T32" s="50" cm="1">
        <f t="array" ref="T32">STDEV(_xlfn._xlws.FILTER(T4:T25,T4:T25&lt;0))</f>
        <v>0.31020154738492201</v>
      </c>
      <c r="U32" s="47"/>
      <c r="V32" s="47"/>
      <c r="W32" s="51" cm="1">
        <f t="array" ref="W32">STDEV(_xlfn._xlws.FILTER(W4:W25,W4:W25&lt;0))</f>
        <v>0.36218096305576292</v>
      </c>
      <c r="X32" s="48"/>
      <c r="Y32" s="47"/>
    </row>
    <row r="33" spans="1:33" s="4" customFormat="1" x14ac:dyDescent="0.3">
      <c r="A33" s="3"/>
      <c r="C33" s="54"/>
      <c r="D33" s="54"/>
      <c r="E33" s="55"/>
      <c r="F33" s="5"/>
      <c r="G33" s="5"/>
      <c r="H33" s="56"/>
      <c r="I33" s="57"/>
      <c r="J33" s="58"/>
      <c r="K33" s="59"/>
      <c r="L33" s="60"/>
      <c r="M33" s="59"/>
      <c r="N33" s="61"/>
      <c r="O33" s="62"/>
      <c r="P33" s="61"/>
      <c r="Q33" s="62"/>
      <c r="R33" s="63"/>
      <c r="S33" s="64" t="s">
        <v>86</v>
      </c>
      <c r="T33" s="70">
        <f>T28/T32</f>
        <v>2.5789684375987276</v>
      </c>
      <c r="U33" s="65"/>
      <c r="V33" s="65"/>
      <c r="W33" s="71">
        <f>W28/W32</f>
        <v>1.5060276521782978</v>
      </c>
      <c r="X33" s="67"/>
      <c r="Y33" s="65"/>
      <c r="Z33" s="73"/>
      <c r="AA33" s="63"/>
      <c r="AB33" s="64"/>
      <c r="AC33" s="74"/>
      <c r="AD33" s="63"/>
      <c r="AE33" s="64"/>
      <c r="AF33" s="74"/>
      <c r="AG33" s="69"/>
    </row>
    <row r="34" spans="1:33" x14ac:dyDescent="0.3">
      <c r="S34" s="6" t="s">
        <v>87</v>
      </c>
      <c r="T34" s="50">
        <f>MIN(T4:T25)</f>
        <v>-0.94</v>
      </c>
      <c r="U34" s="47"/>
      <c r="V34" s="47"/>
      <c r="W34" s="51">
        <f>MIN(W4:W25)</f>
        <v>-0.94</v>
      </c>
      <c r="X34" s="48"/>
      <c r="Y34" s="47"/>
    </row>
    <row r="35" spans="1:33" s="4" customFormat="1" x14ac:dyDescent="0.3">
      <c r="A35" s="3"/>
      <c r="C35" s="54"/>
      <c r="D35" s="54"/>
      <c r="E35" s="55"/>
      <c r="F35" s="5"/>
      <c r="G35" s="5"/>
      <c r="H35" s="56"/>
      <c r="I35" s="57"/>
      <c r="J35" s="58"/>
      <c r="K35" s="59"/>
      <c r="L35" s="60"/>
      <c r="M35" s="59"/>
      <c r="N35" s="61"/>
      <c r="O35" s="62"/>
      <c r="P35" s="61"/>
      <c r="Q35" s="62"/>
      <c r="R35" s="63"/>
      <c r="S35" s="64" t="s">
        <v>88</v>
      </c>
      <c r="T35" s="70" cm="1">
        <f t="array" ref="T35">(PRODUCT(IF(ISNUMBER(T4:T25),T4:T25+1,1)))^(1/T27)/ABS(T34)</f>
        <v>1.1850783938844984</v>
      </c>
      <c r="U35" s="65"/>
      <c r="V35" s="65"/>
      <c r="W35" s="71" cm="1">
        <f t="array" ref="W35">(PRODUCT(IF(ISNUMBER(W4:W25),W4:W25+1,1)))^(1/W27)/ABS(W34)</f>
        <v>0.86052775786455082</v>
      </c>
      <c r="X35" s="67"/>
      <c r="Y35" s="65"/>
      <c r="Z35" s="73"/>
      <c r="AA35" s="63"/>
      <c r="AB35" s="64"/>
      <c r="AC35" s="74"/>
      <c r="AD35" s="63"/>
      <c r="AE35" s="64"/>
      <c r="AF35" s="74"/>
      <c r="AG35" s="69"/>
    </row>
    <row r="36" spans="1:33" x14ac:dyDescent="0.3">
      <c r="T36" s="51"/>
      <c r="U36" s="47"/>
      <c r="V36" s="47"/>
      <c r="W36" s="52"/>
      <c r="X36" s="48"/>
      <c r="Y36" s="47"/>
    </row>
    <row r="37" spans="1:33" x14ac:dyDescent="0.3">
      <c r="T37" s="51"/>
      <c r="U37" s="47"/>
      <c r="V37" s="47"/>
      <c r="W37" s="52"/>
      <c r="X37" s="48"/>
      <c r="Y37" s="47"/>
    </row>
    <row r="38" spans="1:33" x14ac:dyDescent="0.3">
      <c r="T38" s="51"/>
      <c r="U38" s="47"/>
      <c r="V38" s="47"/>
      <c r="W38" s="52"/>
      <c r="X38" s="48"/>
      <c r="Y38" s="47"/>
    </row>
  </sheetData>
  <autoFilter ref="A3:AM25" xr:uid="{00000000-0001-0000-0000-000000000000}">
    <sortState xmlns:xlrd2="http://schemas.microsoft.com/office/spreadsheetml/2017/richdata2" ref="A4:AG25">
      <sortCondition ref="D3:D25"/>
    </sortState>
  </autoFilter>
  <mergeCells count="13">
    <mergeCell ref="X2:Z2"/>
    <mergeCell ref="AA2:AC2"/>
    <mergeCell ref="AD2:AF2"/>
    <mergeCell ref="A1:O1"/>
    <mergeCell ref="R1:AF1"/>
    <mergeCell ref="C2:E2"/>
    <mergeCell ref="F2:G2"/>
    <mergeCell ref="H2:I2"/>
    <mergeCell ref="J2:M2"/>
    <mergeCell ref="N2:O2"/>
    <mergeCell ref="P2:Q2"/>
    <mergeCell ref="R2:T2"/>
    <mergeCell ref="U2:W2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A636-6AA8-4E88-8755-1F4049E6BC13}">
  <dimension ref="A1:AG42"/>
  <sheetViews>
    <sheetView workbookViewId="0">
      <pane xSplit="5" ySplit="3" topLeftCell="F4" activePane="bottomRight" state="frozen"/>
      <selection pane="topRight" activeCell="D1" sqref="D1"/>
      <selection pane="bottomLeft" activeCell="A2" sqref="A2"/>
      <selection pane="bottomRight" activeCell="V16" sqref="A16:V16"/>
    </sheetView>
  </sheetViews>
  <sheetFormatPr defaultRowHeight="14.4" outlineLevelCol="1" x14ac:dyDescent="0.3"/>
  <cols>
    <col min="1" max="1" width="17.33203125" style="1" customWidth="1"/>
    <col min="3" max="4" width="11" style="25" customWidth="1"/>
    <col min="5" max="5" width="11" style="24" bestFit="1" customWidth="1"/>
    <col min="6" max="7" width="9.88671875" style="2" customWidth="1" outlineLevel="1"/>
    <col min="8" max="8" width="9.88671875" style="15" customWidth="1" outlineLevel="1"/>
    <col min="9" max="9" width="9.88671875" style="16" customWidth="1" outlineLevel="1"/>
    <col min="10" max="10" width="6.88671875" style="17" customWidth="1" outlineLevel="1"/>
    <col min="11" max="11" width="12.33203125" style="18" customWidth="1" outlineLevel="1"/>
    <col min="12" max="12" width="6.6640625" style="19" customWidth="1" outlineLevel="1"/>
    <col min="13" max="13" width="12.109375" style="18" customWidth="1" outlineLevel="1"/>
    <col min="14" max="14" width="8.44140625" style="26" customWidth="1" outlineLevel="1"/>
    <col min="15" max="15" width="8.44140625" style="28" customWidth="1" outlineLevel="1"/>
    <col min="16" max="16" width="8.44140625" style="26" customWidth="1" outlineLevel="1"/>
    <col min="17" max="17" width="8.44140625" style="28" customWidth="1" outlineLevel="1"/>
    <col min="18" max="18" width="8.44140625" style="36" bestFit="1" customWidth="1"/>
    <col min="19" max="19" width="8.21875" style="6" customWidth="1"/>
    <col min="20" max="20" width="9.44140625" style="37" bestFit="1" customWidth="1"/>
    <col min="21" max="21" width="8.44140625" style="6" bestFit="1" customWidth="1"/>
    <col min="22" max="22" width="8.21875" style="6" bestFit="1" customWidth="1"/>
    <col min="23" max="23" width="9.44140625" style="38" bestFit="1" customWidth="1"/>
    <col min="24" max="24" width="8.44140625" style="36" bestFit="1" customWidth="1"/>
    <col min="25" max="25" width="8.21875" style="6" bestFit="1" customWidth="1"/>
    <col min="26" max="26" width="9.44140625" style="41" bestFit="1" customWidth="1"/>
    <col min="27" max="27" width="8.44140625" style="36" bestFit="1" customWidth="1"/>
    <col min="28" max="28" width="8.21875" style="6" bestFit="1" customWidth="1"/>
    <col min="29" max="29" width="9.44140625" style="38" bestFit="1" customWidth="1"/>
    <col min="30" max="30" width="8.44140625" style="36" bestFit="1" customWidth="1"/>
    <col min="31" max="31" width="8.21875" style="6" bestFit="1" customWidth="1"/>
    <col min="32" max="32" width="9.44140625" style="38" bestFit="1" customWidth="1"/>
    <col min="33" max="33" width="8.88671875" style="42"/>
  </cols>
  <sheetData>
    <row r="1" spans="1:33" ht="15" thickBot="1" x14ac:dyDescent="0.35">
      <c r="A1" s="158" t="s">
        <v>62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35"/>
      <c r="Q1" s="31"/>
      <c r="R1" s="137" t="s">
        <v>65</v>
      </c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</row>
    <row r="2" spans="1:33" s="34" customFormat="1" ht="30.6" customHeight="1" x14ac:dyDescent="0.3">
      <c r="A2" s="33"/>
      <c r="C2" s="139" t="s">
        <v>37</v>
      </c>
      <c r="D2" s="139"/>
      <c r="E2" s="139"/>
      <c r="F2" s="140" t="s">
        <v>30</v>
      </c>
      <c r="G2" s="140"/>
      <c r="H2" s="141" t="s">
        <v>31</v>
      </c>
      <c r="I2" s="142"/>
      <c r="J2" s="141" t="s">
        <v>59</v>
      </c>
      <c r="K2" s="143"/>
      <c r="L2" s="142"/>
      <c r="M2" s="143"/>
      <c r="N2" s="159" t="s">
        <v>63</v>
      </c>
      <c r="O2" s="159"/>
      <c r="P2" s="159" t="s">
        <v>64</v>
      </c>
      <c r="Q2" s="159"/>
      <c r="R2" s="160" t="s">
        <v>35</v>
      </c>
      <c r="S2" s="160"/>
      <c r="T2" s="161"/>
      <c r="U2" s="155" t="s">
        <v>69</v>
      </c>
      <c r="V2" s="156"/>
      <c r="W2" s="156"/>
      <c r="X2" s="153" t="s">
        <v>70</v>
      </c>
      <c r="Y2" s="154"/>
      <c r="Z2" s="154"/>
      <c r="AA2" s="155" t="s">
        <v>67</v>
      </c>
      <c r="AB2" s="156"/>
      <c r="AC2" s="156"/>
      <c r="AD2" s="157" t="s">
        <v>66</v>
      </c>
      <c r="AE2" s="154"/>
      <c r="AF2" s="154"/>
      <c r="AG2" s="44"/>
    </row>
    <row r="3" spans="1:33" x14ac:dyDescent="0.3">
      <c r="A3" s="1" t="s">
        <v>0</v>
      </c>
      <c r="B3" t="s">
        <v>1</v>
      </c>
      <c r="C3" s="25" t="s">
        <v>40</v>
      </c>
      <c r="D3" s="25" t="s">
        <v>41</v>
      </c>
      <c r="E3" s="24" t="s">
        <v>42</v>
      </c>
      <c r="F3" s="10" t="s">
        <v>32</v>
      </c>
      <c r="G3" s="10" t="s">
        <v>28</v>
      </c>
      <c r="H3" s="11" t="s">
        <v>33</v>
      </c>
      <c r="I3" s="12" t="s">
        <v>34</v>
      </c>
      <c r="J3" s="17" t="s">
        <v>2</v>
      </c>
      <c r="K3" s="18" t="s">
        <v>3</v>
      </c>
      <c r="L3" s="19" t="s">
        <v>4</v>
      </c>
      <c r="M3" s="18" t="s">
        <v>5</v>
      </c>
      <c r="N3" s="30" t="s">
        <v>60</v>
      </c>
      <c r="O3" s="30" t="s">
        <v>61</v>
      </c>
      <c r="P3" s="30" t="s">
        <v>60</v>
      </c>
      <c r="Q3" s="30" t="s">
        <v>61</v>
      </c>
      <c r="R3" s="9" t="s">
        <v>68</v>
      </c>
      <c r="S3" s="8" t="s">
        <v>36</v>
      </c>
      <c r="T3" s="23" t="s">
        <v>27</v>
      </c>
      <c r="U3" s="9" t="s">
        <v>68</v>
      </c>
      <c r="V3" s="8" t="s">
        <v>36</v>
      </c>
      <c r="W3" s="32" t="s">
        <v>27</v>
      </c>
      <c r="X3" s="9" t="s">
        <v>68</v>
      </c>
      <c r="Y3" s="8" t="s">
        <v>36</v>
      </c>
      <c r="Z3" s="12" t="s">
        <v>27</v>
      </c>
      <c r="AA3" s="9" t="s">
        <v>68</v>
      </c>
      <c r="AB3" s="8" t="s">
        <v>36</v>
      </c>
      <c r="AC3" s="32" t="s">
        <v>27</v>
      </c>
      <c r="AD3" s="9" t="s">
        <v>68</v>
      </c>
      <c r="AE3" s="8" t="s">
        <v>36</v>
      </c>
      <c r="AF3" s="32" t="s">
        <v>27</v>
      </c>
    </row>
    <row r="4" spans="1:33" x14ac:dyDescent="0.3">
      <c r="A4" s="1" t="s">
        <v>29</v>
      </c>
      <c r="B4" t="s">
        <v>10</v>
      </c>
      <c r="C4" s="25">
        <v>45413</v>
      </c>
      <c r="D4" s="25">
        <v>45444</v>
      </c>
      <c r="E4" s="24">
        <v>37.125</v>
      </c>
      <c r="F4" s="2">
        <v>0.158707832059029</v>
      </c>
      <c r="G4" s="2">
        <v>-8.2200264529681696E-2</v>
      </c>
      <c r="H4" s="15">
        <v>0.15151515151515099</v>
      </c>
      <c r="I4" s="16">
        <v>0.12619532318629001</v>
      </c>
      <c r="J4" s="17">
        <v>0.34868686046664499</v>
      </c>
      <c r="K4" s="18">
        <v>57</v>
      </c>
      <c r="L4" s="19">
        <v>-0.124848439637258</v>
      </c>
      <c r="M4" s="18">
        <v>14</v>
      </c>
      <c r="N4" s="26">
        <v>13</v>
      </c>
      <c r="P4" s="26">
        <v>14</v>
      </c>
      <c r="R4" s="36">
        <v>7</v>
      </c>
      <c r="S4" s="6" t="s">
        <v>8</v>
      </c>
      <c r="T4" s="37">
        <v>0.35949999999999999</v>
      </c>
      <c r="U4" s="39">
        <f t="shared" ref="U4:U32" si="0">O4</f>
        <v>0</v>
      </c>
      <c r="V4" s="6" t="s">
        <v>6</v>
      </c>
      <c r="W4" s="38" t="s">
        <v>6</v>
      </c>
      <c r="X4" s="43">
        <f>N4</f>
        <v>13</v>
      </c>
      <c r="Y4" s="6" t="s">
        <v>8</v>
      </c>
      <c r="Z4" s="41">
        <v>0.50449999999999995</v>
      </c>
      <c r="AA4" s="43">
        <f>Q4</f>
        <v>0</v>
      </c>
      <c r="AB4" s="6" t="s">
        <v>6</v>
      </c>
      <c r="AC4" s="38" t="s">
        <v>6</v>
      </c>
      <c r="AD4" s="43">
        <f>P4</f>
        <v>14</v>
      </c>
      <c r="AE4" s="6" t="s">
        <v>8</v>
      </c>
      <c r="AF4" s="38">
        <v>0.54110000000000003</v>
      </c>
    </row>
    <row r="5" spans="1:33" x14ac:dyDescent="0.3">
      <c r="A5" s="1" t="s">
        <v>29</v>
      </c>
      <c r="B5" t="s">
        <v>39</v>
      </c>
      <c r="C5" s="25">
        <v>45413</v>
      </c>
      <c r="D5" s="25">
        <v>45444</v>
      </c>
      <c r="E5" s="24">
        <v>17.045000076293899</v>
      </c>
      <c r="F5" s="2">
        <v>0.73928568821954299</v>
      </c>
      <c r="G5" s="2">
        <v>0.35063393271487597</v>
      </c>
      <c r="H5" s="15">
        <v>0.466705772255748</v>
      </c>
      <c r="I5" s="16">
        <v>4.9574614817967197E-2</v>
      </c>
      <c r="J5" s="17">
        <v>0.78938104215201199</v>
      </c>
      <c r="K5" s="18">
        <v>70</v>
      </c>
      <c r="L5" s="19">
        <v>-0.25198005614956798</v>
      </c>
      <c r="M5" s="18">
        <v>15</v>
      </c>
      <c r="N5" s="26">
        <v>11</v>
      </c>
      <c r="O5" s="28">
        <v>14</v>
      </c>
      <c r="P5" s="26">
        <v>11</v>
      </c>
      <c r="Q5" s="28">
        <v>14</v>
      </c>
      <c r="R5" s="36">
        <v>7</v>
      </c>
      <c r="S5" s="6" t="s">
        <v>8</v>
      </c>
      <c r="T5" s="37">
        <v>0.80200000000000005</v>
      </c>
      <c r="U5" s="39">
        <f t="shared" si="0"/>
        <v>14</v>
      </c>
      <c r="V5" s="6" t="s">
        <v>8</v>
      </c>
      <c r="W5" s="38">
        <v>1.319</v>
      </c>
      <c r="X5" s="43">
        <f>N5</f>
        <v>11</v>
      </c>
      <c r="Y5" s="6" t="s">
        <v>8</v>
      </c>
      <c r="Z5" s="41">
        <v>1.319</v>
      </c>
      <c r="AA5" s="43">
        <f>Q5</f>
        <v>14</v>
      </c>
      <c r="AB5" s="6" t="s">
        <v>8</v>
      </c>
      <c r="AC5" s="38">
        <v>1.319</v>
      </c>
      <c r="AD5" s="43">
        <f>P5</f>
        <v>11</v>
      </c>
      <c r="AE5" s="6" t="s">
        <v>8</v>
      </c>
      <c r="AF5" s="41">
        <v>1.319</v>
      </c>
    </row>
    <row r="6" spans="1:33" x14ac:dyDescent="0.3">
      <c r="A6" s="1" t="s">
        <v>29</v>
      </c>
      <c r="B6" t="s">
        <v>48</v>
      </c>
      <c r="C6" s="25">
        <v>45413</v>
      </c>
      <c r="D6" s="25">
        <v>45444</v>
      </c>
      <c r="E6" s="24">
        <v>10.844999790191601</v>
      </c>
      <c r="F6" s="2">
        <v>-0.18519913987320699</v>
      </c>
      <c r="G6" s="2">
        <v>3.28571228753953E-2</v>
      </c>
      <c r="H6" s="15">
        <v>1.0603988029518299E-2</v>
      </c>
      <c r="I6" s="16">
        <v>-0.16274780088809901</v>
      </c>
      <c r="J6" s="17">
        <v>0.61456897811266797</v>
      </c>
      <c r="K6" s="18">
        <v>32</v>
      </c>
      <c r="L6" s="19">
        <v>-0.28630706123956601</v>
      </c>
      <c r="M6" s="18">
        <v>23</v>
      </c>
      <c r="N6" s="26">
        <v>8</v>
      </c>
      <c r="O6" s="28">
        <v>19</v>
      </c>
      <c r="P6" s="26">
        <v>15</v>
      </c>
      <c r="Q6" s="28">
        <v>22</v>
      </c>
      <c r="R6" s="36">
        <v>7</v>
      </c>
      <c r="S6" s="6" t="s">
        <v>8</v>
      </c>
      <c r="T6" s="37">
        <v>0.72509999999999997</v>
      </c>
      <c r="U6" s="39">
        <f t="shared" si="0"/>
        <v>19</v>
      </c>
      <c r="V6" s="6" t="s">
        <v>8</v>
      </c>
      <c r="W6" s="38">
        <v>0.6</v>
      </c>
      <c r="X6" s="43">
        <f>N6</f>
        <v>8</v>
      </c>
      <c r="Y6" s="6" t="s">
        <v>8</v>
      </c>
      <c r="Z6" s="40">
        <v>0.72509999999999997</v>
      </c>
      <c r="AA6" s="43">
        <f>Q6</f>
        <v>22</v>
      </c>
      <c r="AB6" s="6" t="s">
        <v>8</v>
      </c>
      <c r="AC6" s="38">
        <v>0.65</v>
      </c>
      <c r="AD6" s="43">
        <f>P6</f>
        <v>15</v>
      </c>
      <c r="AE6" s="6" t="s">
        <v>8</v>
      </c>
      <c r="AF6" s="40">
        <v>0.9</v>
      </c>
    </row>
    <row r="7" spans="1:33" x14ac:dyDescent="0.3">
      <c r="A7" s="1" t="s">
        <v>29</v>
      </c>
      <c r="B7" t="s">
        <v>51</v>
      </c>
      <c r="C7" s="25">
        <v>45444</v>
      </c>
      <c r="D7" s="25">
        <v>45474</v>
      </c>
      <c r="E7" s="24">
        <v>18.459999084472599</v>
      </c>
      <c r="F7" s="2">
        <v>0.24898507564192501</v>
      </c>
      <c r="G7" s="2">
        <v>0.15374994277954099</v>
      </c>
      <c r="H7" s="15">
        <v>0.38678232129506201</v>
      </c>
      <c r="I7" s="16">
        <v>0.65222110036043202</v>
      </c>
      <c r="J7" s="17">
        <v>0.65492961821201801</v>
      </c>
      <c r="K7" s="18">
        <v>149</v>
      </c>
      <c r="L7" s="19">
        <v>0</v>
      </c>
      <c r="M7" s="18">
        <v>0</v>
      </c>
      <c r="R7" s="36">
        <v>7</v>
      </c>
      <c r="S7" s="6" t="s">
        <v>8</v>
      </c>
      <c r="T7" s="37">
        <v>0.60540000000000005</v>
      </c>
      <c r="U7" s="39">
        <f t="shared" si="0"/>
        <v>0</v>
      </c>
      <c r="V7" s="6" t="s">
        <v>6</v>
      </c>
      <c r="W7" s="38" t="s">
        <v>6</v>
      </c>
      <c r="X7" s="43" t="s">
        <v>6</v>
      </c>
      <c r="Y7" s="6" t="s">
        <v>6</v>
      </c>
      <c r="Z7" s="41" t="s">
        <v>6</v>
      </c>
      <c r="AA7" s="43" t="s">
        <v>6</v>
      </c>
      <c r="AB7" s="6" t="s">
        <v>6</v>
      </c>
      <c r="AC7" s="38" t="s">
        <v>6</v>
      </c>
      <c r="AD7" s="43" t="s">
        <v>6</v>
      </c>
      <c r="AE7" s="6" t="s">
        <v>6</v>
      </c>
      <c r="AF7" s="38" t="s">
        <v>6</v>
      </c>
    </row>
    <row r="8" spans="1:33" x14ac:dyDescent="0.3">
      <c r="A8" s="1" t="s">
        <v>29</v>
      </c>
      <c r="B8" t="s">
        <v>9</v>
      </c>
      <c r="C8" s="25">
        <v>45444</v>
      </c>
      <c r="D8" s="25">
        <v>45474</v>
      </c>
      <c r="E8" s="24">
        <v>27.059999465942301</v>
      </c>
      <c r="F8" s="2">
        <v>-0.37201208238294198</v>
      </c>
      <c r="G8" s="2">
        <v>-3.2534854120558399E-2</v>
      </c>
      <c r="H8" s="15">
        <v>-0.36363637645198299</v>
      </c>
      <c r="I8" s="16">
        <v>-0.84331116575022003</v>
      </c>
      <c r="J8" s="17">
        <v>0.18588325151211599</v>
      </c>
      <c r="K8" s="18">
        <v>48</v>
      </c>
      <c r="L8" s="19">
        <v>-0.85809312675699301</v>
      </c>
      <c r="M8" s="18">
        <v>148</v>
      </c>
      <c r="N8" s="26">
        <v>5</v>
      </c>
      <c r="O8" s="28">
        <v>23</v>
      </c>
      <c r="P8" s="26">
        <v>21</v>
      </c>
      <c r="Q8" s="28">
        <v>25</v>
      </c>
      <c r="R8" s="36">
        <v>7</v>
      </c>
      <c r="S8" s="6" t="s">
        <v>8</v>
      </c>
      <c r="T8" s="37">
        <v>0.26400000000000001</v>
      </c>
      <c r="U8" s="39">
        <f t="shared" si="0"/>
        <v>23</v>
      </c>
      <c r="V8" s="6" t="s">
        <v>8</v>
      </c>
      <c r="W8" s="38">
        <v>0.51400000000000001</v>
      </c>
      <c r="X8" s="43">
        <f t="shared" ref="X8:X32" si="1">N8</f>
        <v>5</v>
      </c>
      <c r="Y8" s="6" t="s">
        <v>8</v>
      </c>
      <c r="Z8" s="41">
        <v>0.51400000000000001</v>
      </c>
      <c r="AA8" s="43">
        <f t="shared" ref="AA8:AA32" si="2">Q8</f>
        <v>25</v>
      </c>
      <c r="AB8" s="6" t="s">
        <v>8</v>
      </c>
      <c r="AC8" s="38">
        <v>0.60799999999999998</v>
      </c>
      <c r="AD8" s="43">
        <f t="shared" ref="AD8:AD19" si="3">P8</f>
        <v>21</v>
      </c>
      <c r="AE8" s="6" t="s">
        <v>8</v>
      </c>
      <c r="AF8" s="38">
        <v>0.40600000000000003</v>
      </c>
    </row>
    <row r="9" spans="1:33" x14ac:dyDescent="0.3">
      <c r="A9" s="1" t="s">
        <v>29</v>
      </c>
      <c r="B9" t="s">
        <v>20</v>
      </c>
      <c r="C9" s="25">
        <v>45474</v>
      </c>
      <c r="D9" s="25">
        <v>45505</v>
      </c>
      <c r="E9" s="24">
        <v>11.198848724365201</v>
      </c>
      <c r="F9" s="2">
        <v>-0.41970780123114698</v>
      </c>
      <c r="G9" s="2">
        <v>0.23202251935847401</v>
      </c>
      <c r="H9" s="15">
        <v>-0.20788439325260499</v>
      </c>
      <c r="I9" s="16">
        <v>-0.47357714195981798</v>
      </c>
      <c r="J9" s="17">
        <v>0.194135679567913</v>
      </c>
      <c r="K9" s="18">
        <v>88</v>
      </c>
      <c r="L9" s="19">
        <v>-0.47357714195981798</v>
      </c>
      <c r="M9" s="18">
        <v>150</v>
      </c>
      <c r="N9" s="26">
        <v>2</v>
      </c>
      <c r="O9" s="28">
        <v>59</v>
      </c>
      <c r="P9" s="26">
        <v>64</v>
      </c>
      <c r="Q9" s="28">
        <v>148</v>
      </c>
      <c r="R9" s="36">
        <v>7</v>
      </c>
      <c r="S9" s="6" t="s">
        <v>8</v>
      </c>
      <c r="T9" s="37">
        <v>0.42549999999999999</v>
      </c>
      <c r="U9" s="39">
        <f t="shared" si="0"/>
        <v>59</v>
      </c>
      <c r="V9" s="6" t="s">
        <v>8</v>
      </c>
      <c r="W9" s="38">
        <v>0.52390000000000003</v>
      </c>
      <c r="X9" s="43">
        <f t="shared" si="1"/>
        <v>2</v>
      </c>
      <c r="Y9" s="6" t="s">
        <v>8</v>
      </c>
      <c r="Z9" s="40">
        <v>0.42549999999999999</v>
      </c>
      <c r="AA9" s="43">
        <f t="shared" si="2"/>
        <v>148</v>
      </c>
      <c r="AB9" s="6" t="s">
        <v>6</v>
      </c>
      <c r="AC9" s="38" t="s">
        <v>6</v>
      </c>
      <c r="AD9" s="43">
        <f t="shared" si="3"/>
        <v>64</v>
      </c>
      <c r="AE9" s="6" t="s">
        <v>8</v>
      </c>
      <c r="AF9" s="38">
        <v>0.60780000000000001</v>
      </c>
    </row>
    <row r="10" spans="1:33" x14ac:dyDescent="0.3">
      <c r="A10" s="1" t="s">
        <v>29</v>
      </c>
      <c r="B10" t="s">
        <v>44</v>
      </c>
      <c r="C10" s="25">
        <v>45505</v>
      </c>
      <c r="D10" s="25">
        <v>45536</v>
      </c>
      <c r="E10" s="24">
        <v>167.38000488281199</v>
      </c>
      <c r="F10" s="2">
        <v>-0.130448334426606</v>
      </c>
      <c r="G10" s="2">
        <v>-0.104392929373173</v>
      </c>
      <c r="H10" s="15">
        <v>3.1305951018723202E-2</v>
      </c>
      <c r="I10" s="16">
        <v>-3.9192241410116603E-2</v>
      </c>
      <c r="J10" s="17">
        <v>0.11273745110952101</v>
      </c>
      <c r="K10" s="18">
        <v>111</v>
      </c>
      <c r="L10" s="19">
        <v>-0.18395272820358</v>
      </c>
      <c r="M10" s="18">
        <v>147</v>
      </c>
      <c r="N10" s="26">
        <v>22</v>
      </c>
      <c r="P10" s="26">
        <v>50</v>
      </c>
      <c r="R10" s="36">
        <v>7</v>
      </c>
      <c r="S10" s="6" t="s">
        <v>8</v>
      </c>
      <c r="T10" s="37">
        <v>0.14399999999999999</v>
      </c>
      <c r="U10" s="39">
        <f t="shared" si="0"/>
        <v>0</v>
      </c>
      <c r="V10" s="6" t="s">
        <v>6</v>
      </c>
      <c r="W10" s="38" t="s">
        <v>6</v>
      </c>
      <c r="X10" s="43">
        <f t="shared" si="1"/>
        <v>22</v>
      </c>
      <c r="Y10" s="6" t="s">
        <v>8</v>
      </c>
      <c r="Z10" s="41">
        <v>0.2374</v>
      </c>
      <c r="AA10" s="43">
        <f t="shared" si="2"/>
        <v>0</v>
      </c>
      <c r="AB10" s="6" t="s">
        <v>6</v>
      </c>
      <c r="AC10" s="38" t="s">
        <v>6</v>
      </c>
      <c r="AD10" s="43">
        <f t="shared" si="3"/>
        <v>50</v>
      </c>
      <c r="AE10" s="6" t="s">
        <v>8</v>
      </c>
      <c r="AF10" s="38">
        <v>0.28299999999999997</v>
      </c>
    </row>
    <row r="11" spans="1:33" x14ac:dyDescent="0.3">
      <c r="A11" s="1" t="s">
        <v>29</v>
      </c>
      <c r="B11" t="s">
        <v>26</v>
      </c>
      <c r="C11" s="25">
        <v>45505</v>
      </c>
      <c r="D11" s="25">
        <v>45536</v>
      </c>
      <c r="E11" s="24">
        <v>5.04500007629394</v>
      </c>
      <c r="F11" s="2">
        <v>-0.55248737357608801</v>
      </c>
      <c r="G11" s="2">
        <v>-0.37716051374079701</v>
      </c>
      <c r="H11" s="15">
        <v>-7.0366702419213695E-2</v>
      </c>
      <c r="I11" s="16">
        <v>-0.21506442452702801</v>
      </c>
      <c r="J11" s="17">
        <v>0.201189266825782</v>
      </c>
      <c r="K11" s="18">
        <v>28</v>
      </c>
      <c r="L11" s="19">
        <v>-0.38156593887486401</v>
      </c>
      <c r="M11" s="18">
        <v>131</v>
      </c>
      <c r="N11" s="26">
        <v>3</v>
      </c>
      <c r="O11" s="28">
        <v>14</v>
      </c>
      <c r="P11" s="26">
        <v>104</v>
      </c>
      <c r="Q11" s="28">
        <v>131</v>
      </c>
      <c r="R11" s="36">
        <v>7</v>
      </c>
      <c r="S11" s="6" t="s">
        <v>8</v>
      </c>
      <c r="T11" s="37">
        <v>0.5</v>
      </c>
      <c r="U11" s="39">
        <f t="shared" si="0"/>
        <v>14</v>
      </c>
      <c r="V11" s="6" t="s">
        <v>8</v>
      </c>
      <c r="W11" s="38">
        <v>0.35</v>
      </c>
      <c r="X11" s="43">
        <f t="shared" si="1"/>
        <v>3</v>
      </c>
      <c r="Y11" s="6" t="s">
        <v>8</v>
      </c>
      <c r="Z11" s="41">
        <v>0.5</v>
      </c>
      <c r="AA11" s="43">
        <f t="shared" si="2"/>
        <v>131</v>
      </c>
      <c r="AB11" s="6" t="s">
        <v>8</v>
      </c>
      <c r="AC11" s="38">
        <v>0.25</v>
      </c>
      <c r="AD11" s="43">
        <f t="shared" si="3"/>
        <v>104</v>
      </c>
      <c r="AE11" s="6" t="s">
        <v>8</v>
      </c>
      <c r="AF11" s="41">
        <v>0.3861</v>
      </c>
    </row>
    <row r="12" spans="1:33" x14ac:dyDescent="0.3">
      <c r="A12" s="1" t="s">
        <v>29</v>
      </c>
      <c r="B12" t="s">
        <v>47</v>
      </c>
      <c r="C12" s="25">
        <v>45505</v>
      </c>
      <c r="D12" s="25">
        <v>45536</v>
      </c>
      <c r="E12" s="24">
        <v>4.6564192771911603</v>
      </c>
      <c r="F12" s="2">
        <v>-0.118568912961241</v>
      </c>
      <c r="G12" s="2">
        <v>-0.22299385331503199</v>
      </c>
      <c r="H12" s="15">
        <v>-0.325183592912765</v>
      </c>
      <c r="I12" s="16">
        <v>-0.223759497866868</v>
      </c>
      <c r="J12" s="17">
        <v>0.20268966830134499</v>
      </c>
      <c r="K12" s="18">
        <v>46</v>
      </c>
      <c r="L12" s="19">
        <v>-0.387093315572339</v>
      </c>
      <c r="M12" s="18">
        <v>82</v>
      </c>
      <c r="N12" s="26">
        <v>6</v>
      </c>
      <c r="O12" s="28">
        <v>71</v>
      </c>
      <c r="P12" s="26">
        <v>70</v>
      </c>
      <c r="Q12" s="28">
        <v>73</v>
      </c>
      <c r="R12" s="36">
        <v>7</v>
      </c>
      <c r="S12" s="6" t="s">
        <v>8</v>
      </c>
      <c r="T12" s="37">
        <v>0.31900000000000001</v>
      </c>
      <c r="U12" s="39">
        <f t="shared" si="0"/>
        <v>71</v>
      </c>
      <c r="V12" s="6" t="s">
        <v>8</v>
      </c>
      <c r="W12" s="38">
        <v>0.38500000000000001</v>
      </c>
      <c r="X12" s="43">
        <f t="shared" si="1"/>
        <v>6</v>
      </c>
      <c r="Y12" s="6" t="s">
        <v>8</v>
      </c>
      <c r="Z12" s="40">
        <v>0.31900000000000001</v>
      </c>
      <c r="AA12" s="43">
        <f t="shared" si="2"/>
        <v>73</v>
      </c>
      <c r="AB12" s="6" t="s">
        <v>8</v>
      </c>
      <c r="AC12" s="38">
        <v>0.50729999999999997</v>
      </c>
      <c r="AD12" s="43">
        <f t="shared" si="3"/>
        <v>70</v>
      </c>
      <c r="AE12" s="6" t="s">
        <v>8</v>
      </c>
      <c r="AF12" s="38">
        <v>0.35370000000000001</v>
      </c>
    </row>
    <row r="13" spans="1:33" x14ac:dyDescent="0.3">
      <c r="A13" s="1" t="s">
        <v>29</v>
      </c>
      <c r="B13" t="s">
        <v>57</v>
      </c>
      <c r="C13" s="25">
        <v>45505</v>
      </c>
      <c r="D13" s="25">
        <v>45536</v>
      </c>
      <c r="E13" s="24">
        <v>18.134930610656699</v>
      </c>
      <c r="F13" s="2">
        <v>0.16522219910060901</v>
      </c>
      <c r="G13" s="2">
        <v>0.129957327974907</v>
      </c>
      <c r="H13" s="15">
        <v>0.21270068715823501</v>
      </c>
      <c r="I13" s="16">
        <v>-0.31986795438521698</v>
      </c>
      <c r="J13" s="17">
        <v>0.46777659671643401</v>
      </c>
      <c r="K13" s="18">
        <v>102</v>
      </c>
      <c r="L13" s="19">
        <v>-0.46662755544018902</v>
      </c>
      <c r="M13" s="18">
        <v>149</v>
      </c>
      <c r="N13" s="26">
        <v>37</v>
      </c>
      <c r="O13" s="28">
        <v>146</v>
      </c>
      <c r="P13" s="26">
        <v>146</v>
      </c>
      <c r="Q13" s="28">
        <v>146</v>
      </c>
      <c r="R13" s="36">
        <v>7</v>
      </c>
      <c r="S13" s="6" t="s">
        <v>8</v>
      </c>
      <c r="T13" s="37">
        <v>0.56799999999999995</v>
      </c>
      <c r="U13" s="39">
        <f t="shared" si="0"/>
        <v>146</v>
      </c>
      <c r="V13" s="6" t="s">
        <v>6</v>
      </c>
      <c r="W13" s="38" t="s">
        <v>6</v>
      </c>
      <c r="X13" s="43">
        <f t="shared" si="1"/>
        <v>37</v>
      </c>
      <c r="Y13" s="6" t="s">
        <v>8</v>
      </c>
      <c r="Z13" s="41">
        <v>0.63200000000000001</v>
      </c>
      <c r="AA13" s="43">
        <f t="shared" si="2"/>
        <v>146</v>
      </c>
      <c r="AB13" s="6" t="s">
        <v>6</v>
      </c>
      <c r="AC13" s="38" t="s">
        <v>6</v>
      </c>
      <c r="AD13" s="43">
        <f t="shared" si="3"/>
        <v>146</v>
      </c>
      <c r="AE13" s="6" t="s">
        <v>6</v>
      </c>
      <c r="AF13" s="41" t="s">
        <v>6</v>
      </c>
    </row>
    <row r="14" spans="1:33" x14ac:dyDescent="0.3">
      <c r="A14" s="1" t="s">
        <v>29</v>
      </c>
      <c r="B14" t="s">
        <v>53</v>
      </c>
      <c r="C14" s="25">
        <v>45536</v>
      </c>
      <c r="D14" s="25">
        <v>45566</v>
      </c>
      <c r="E14" s="24">
        <v>37.889999389648402</v>
      </c>
      <c r="F14" s="2">
        <v>0.324362061563159</v>
      </c>
      <c r="G14" s="2">
        <v>1.36436144184124E-2</v>
      </c>
      <c r="H14" s="15">
        <v>0.15017161607452401</v>
      </c>
      <c r="I14" s="16">
        <v>0.21483239695887299</v>
      </c>
      <c r="J14" s="17">
        <v>0.35814198768584699</v>
      </c>
      <c r="K14" s="18">
        <v>146</v>
      </c>
      <c r="L14" s="19">
        <v>-0.14621274755261299</v>
      </c>
      <c r="M14" s="18">
        <v>22</v>
      </c>
      <c r="N14" s="26">
        <v>16</v>
      </c>
      <c r="R14" s="36">
        <v>7</v>
      </c>
      <c r="S14" s="6" t="s">
        <v>8</v>
      </c>
      <c r="T14" s="37">
        <v>0.45200000000000001</v>
      </c>
      <c r="U14" s="39">
        <f t="shared" si="0"/>
        <v>0</v>
      </c>
      <c r="V14" s="6" t="s">
        <v>6</v>
      </c>
      <c r="W14" s="41" t="s">
        <v>6</v>
      </c>
      <c r="X14" s="43">
        <f t="shared" si="1"/>
        <v>16</v>
      </c>
      <c r="Y14" s="6" t="s">
        <v>8</v>
      </c>
      <c r="Z14" s="41">
        <v>0.52249999999999996</v>
      </c>
      <c r="AA14" s="43">
        <f t="shared" si="2"/>
        <v>0</v>
      </c>
      <c r="AB14" s="6" t="s">
        <v>6</v>
      </c>
      <c r="AC14" s="38" t="s">
        <v>6</v>
      </c>
      <c r="AD14" s="43">
        <f t="shared" si="3"/>
        <v>0</v>
      </c>
      <c r="AE14" s="6" t="s">
        <v>6</v>
      </c>
      <c r="AF14" s="38" t="s">
        <v>6</v>
      </c>
    </row>
    <row r="15" spans="1:33" x14ac:dyDescent="0.3">
      <c r="A15" s="1" t="s">
        <v>29</v>
      </c>
      <c r="B15" t="s">
        <v>14</v>
      </c>
      <c r="C15" s="25">
        <v>45536</v>
      </c>
      <c r="D15" s="25">
        <v>45566</v>
      </c>
      <c r="E15" s="24">
        <v>2.8099999427795401</v>
      </c>
      <c r="F15" s="2">
        <v>0.37073171128835197</v>
      </c>
      <c r="G15" s="2">
        <v>-0.242587624289339</v>
      </c>
      <c r="H15" s="15">
        <v>-0.23131667978110301</v>
      </c>
      <c r="I15" s="16">
        <v>0.46975096033478297</v>
      </c>
      <c r="J15" s="17">
        <v>1.32028473796949</v>
      </c>
      <c r="K15" s="18">
        <v>92</v>
      </c>
      <c r="L15" s="19">
        <v>-0.56939499544968297</v>
      </c>
      <c r="M15" s="18">
        <v>35</v>
      </c>
      <c r="N15" s="26">
        <v>27</v>
      </c>
      <c r="O15" s="28">
        <v>27</v>
      </c>
      <c r="P15" s="26">
        <v>27</v>
      </c>
      <c r="Q15" s="28">
        <v>27</v>
      </c>
      <c r="R15" s="36">
        <v>7</v>
      </c>
      <c r="S15" s="6" t="s">
        <v>8</v>
      </c>
      <c r="T15" s="37">
        <v>1.2030000000000001</v>
      </c>
      <c r="U15" s="39">
        <f t="shared" si="0"/>
        <v>27</v>
      </c>
      <c r="V15" s="6" t="s">
        <v>8</v>
      </c>
      <c r="W15" s="45">
        <v>2.31</v>
      </c>
      <c r="X15" s="43">
        <f t="shared" si="1"/>
        <v>27</v>
      </c>
      <c r="Y15" s="6" t="s">
        <v>8</v>
      </c>
      <c r="Z15" s="45">
        <v>2.31</v>
      </c>
      <c r="AA15" s="43">
        <f t="shared" si="2"/>
        <v>27</v>
      </c>
      <c r="AB15" s="6" t="s">
        <v>8</v>
      </c>
      <c r="AC15" s="38">
        <v>2.31</v>
      </c>
      <c r="AD15" s="43">
        <f t="shared" si="3"/>
        <v>27</v>
      </c>
      <c r="AE15" s="6" t="s">
        <v>8</v>
      </c>
      <c r="AF15" s="38">
        <v>2.31</v>
      </c>
    </row>
    <row r="16" spans="1:33" x14ac:dyDescent="0.3">
      <c r="A16" s="1" t="s">
        <v>29</v>
      </c>
      <c r="B16" t="s">
        <v>15</v>
      </c>
      <c r="C16" s="25">
        <v>45566</v>
      </c>
      <c r="D16" s="25">
        <v>45597</v>
      </c>
      <c r="E16" s="24">
        <v>6.3299999237060502</v>
      </c>
      <c r="F16" s="2">
        <v>0.35250915174318598</v>
      </c>
      <c r="G16" s="2">
        <v>0.198863574275467</v>
      </c>
      <c r="H16" s="15">
        <v>-0.50868879422118496</v>
      </c>
      <c r="I16" s="16">
        <v>-0.48815165109199399</v>
      </c>
      <c r="J16" s="17">
        <v>1.57981500827264E-3</v>
      </c>
      <c r="K16" s="18">
        <v>3</v>
      </c>
      <c r="L16" s="19">
        <v>-0.64139020406220004</v>
      </c>
      <c r="M16" s="18">
        <v>110</v>
      </c>
      <c r="N16" s="26">
        <v>14</v>
      </c>
      <c r="O16" s="28">
        <v>14</v>
      </c>
      <c r="P16" s="26">
        <v>14</v>
      </c>
      <c r="Q16" s="28">
        <v>15</v>
      </c>
      <c r="R16" s="36">
        <v>7</v>
      </c>
      <c r="S16" s="6" t="s">
        <v>71</v>
      </c>
      <c r="T16" s="37">
        <v>-0.61499999999999999</v>
      </c>
      <c r="U16" s="39">
        <f t="shared" si="0"/>
        <v>14</v>
      </c>
      <c r="V16" s="6" t="s">
        <v>71</v>
      </c>
      <c r="W16" s="38">
        <v>-0.5423</v>
      </c>
      <c r="X16" s="43">
        <f t="shared" si="1"/>
        <v>14</v>
      </c>
      <c r="Y16" s="6" t="s">
        <v>71</v>
      </c>
      <c r="Z16" s="38">
        <v>-0.5423</v>
      </c>
      <c r="AA16" s="43">
        <f t="shared" si="2"/>
        <v>15</v>
      </c>
      <c r="AB16" s="6" t="s">
        <v>71</v>
      </c>
      <c r="AC16" s="38">
        <v>-0.5423</v>
      </c>
      <c r="AD16" s="43">
        <f t="shared" si="3"/>
        <v>14</v>
      </c>
      <c r="AE16" s="6" t="s">
        <v>71</v>
      </c>
      <c r="AF16" s="38">
        <v>-0.5423</v>
      </c>
    </row>
    <row r="17" spans="1:32" x14ac:dyDescent="0.3">
      <c r="A17" s="1" t="s">
        <v>29</v>
      </c>
      <c r="B17" t="s">
        <v>54</v>
      </c>
      <c r="C17" s="25">
        <v>45627</v>
      </c>
      <c r="D17" s="25">
        <v>45658</v>
      </c>
      <c r="E17" s="24">
        <v>19.675000190734799</v>
      </c>
      <c r="F17" s="2">
        <v>-0.115730328506298</v>
      </c>
      <c r="G17" s="2">
        <v>0.26608753146925701</v>
      </c>
      <c r="H17" s="15">
        <v>-0.44040660116148</v>
      </c>
      <c r="I17" s="16">
        <v>-0.234053390153418</v>
      </c>
      <c r="J17" s="17">
        <v>0.26658194839708299</v>
      </c>
      <c r="K17" s="18">
        <v>11</v>
      </c>
      <c r="L17" s="19">
        <v>-0.53494284473556997</v>
      </c>
      <c r="M17" s="18">
        <v>65</v>
      </c>
      <c r="N17" s="26">
        <v>18</v>
      </c>
      <c r="O17" s="28">
        <v>35</v>
      </c>
      <c r="P17" s="26">
        <v>18</v>
      </c>
      <c r="Q17" s="28">
        <v>24</v>
      </c>
      <c r="R17" s="36">
        <v>7</v>
      </c>
      <c r="S17" s="6" t="s">
        <v>71</v>
      </c>
      <c r="T17" s="37">
        <v>-0.55800000000000005</v>
      </c>
      <c r="U17" s="39">
        <f t="shared" si="0"/>
        <v>35</v>
      </c>
      <c r="V17" s="6" t="s">
        <v>8</v>
      </c>
      <c r="W17" s="38">
        <v>0.2147</v>
      </c>
      <c r="X17" s="43">
        <f t="shared" si="1"/>
        <v>18</v>
      </c>
      <c r="Y17" s="6" t="s">
        <v>71</v>
      </c>
      <c r="Z17" s="41">
        <v>-0.1</v>
      </c>
      <c r="AA17" s="43">
        <f t="shared" si="2"/>
        <v>24</v>
      </c>
      <c r="AB17" s="6" t="s">
        <v>71</v>
      </c>
      <c r="AC17" s="38">
        <v>0</v>
      </c>
      <c r="AD17" s="43">
        <f t="shared" si="3"/>
        <v>18</v>
      </c>
      <c r="AE17" s="6" t="s">
        <v>71</v>
      </c>
      <c r="AF17" s="38">
        <v>-0.1</v>
      </c>
    </row>
    <row r="18" spans="1:32" x14ac:dyDescent="0.3">
      <c r="A18" s="1" t="s">
        <v>29</v>
      </c>
      <c r="B18" t="s">
        <v>24</v>
      </c>
      <c r="C18" s="25">
        <v>45627</v>
      </c>
      <c r="D18" s="25">
        <v>45658</v>
      </c>
      <c r="E18" s="24">
        <v>11.0050001144409</v>
      </c>
      <c r="F18" s="2">
        <v>-0.32773368660643998</v>
      </c>
      <c r="G18" s="2">
        <v>-3.6339751232971299E-2</v>
      </c>
      <c r="H18" s="15">
        <v>-0.27487506259977001</v>
      </c>
      <c r="I18" s="16">
        <v>-0.34666061040875001</v>
      </c>
      <c r="J18" s="17">
        <v>0.142208047624614</v>
      </c>
      <c r="K18" s="18">
        <v>2</v>
      </c>
      <c r="L18" s="19">
        <v>-0.34666061040875001</v>
      </c>
      <c r="M18" s="18">
        <v>150</v>
      </c>
      <c r="N18" s="26">
        <v>39</v>
      </c>
      <c r="O18" s="28">
        <v>47</v>
      </c>
      <c r="P18" s="26">
        <v>36</v>
      </c>
      <c r="Q18" s="28">
        <v>45</v>
      </c>
      <c r="R18" s="36">
        <v>7</v>
      </c>
      <c r="S18" s="6" t="s">
        <v>71</v>
      </c>
      <c r="T18" s="37">
        <v>-0.36599999999999999</v>
      </c>
      <c r="U18" s="39">
        <f t="shared" si="0"/>
        <v>47</v>
      </c>
      <c r="V18" s="6" t="s">
        <v>8</v>
      </c>
      <c r="W18" s="38">
        <v>0.2366</v>
      </c>
      <c r="X18" s="43">
        <f t="shared" si="1"/>
        <v>39</v>
      </c>
      <c r="Y18" s="6" t="s">
        <v>7</v>
      </c>
      <c r="Z18" s="45" t="s">
        <v>6</v>
      </c>
      <c r="AA18" s="43">
        <f t="shared" si="2"/>
        <v>45</v>
      </c>
      <c r="AB18" s="6" t="s">
        <v>8</v>
      </c>
      <c r="AC18" s="38">
        <v>0.16819999999999999</v>
      </c>
      <c r="AD18" s="43">
        <f t="shared" si="3"/>
        <v>36</v>
      </c>
      <c r="AE18" s="6" t="s">
        <v>7</v>
      </c>
      <c r="AF18" s="41" t="s">
        <v>6</v>
      </c>
    </row>
    <row r="19" spans="1:32" x14ac:dyDescent="0.3">
      <c r="A19" s="1" t="s">
        <v>29</v>
      </c>
      <c r="B19" t="s">
        <v>38</v>
      </c>
      <c r="C19" s="25">
        <v>45627</v>
      </c>
      <c r="D19" s="25">
        <v>45658</v>
      </c>
      <c r="E19" s="24">
        <v>1.90999996662139</v>
      </c>
      <c r="F19" s="2">
        <v>-0.68943090455232103</v>
      </c>
      <c r="G19" s="2">
        <v>1.05820005703125E-2</v>
      </c>
      <c r="H19" s="15">
        <v>1.0523560967532499</v>
      </c>
      <c r="I19" s="16">
        <v>-0.54816754410322499</v>
      </c>
      <c r="J19" s="17">
        <v>1.9738219516233699</v>
      </c>
      <c r="K19" s="18">
        <v>68</v>
      </c>
      <c r="L19" s="19">
        <v>-0.54816754410322499</v>
      </c>
      <c r="M19" s="18">
        <v>150</v>
      </c>
      <c r="N19" s="26">
        <v>144</v>
      </c>
      <c r="O19" s="28">
        <v>146</v>
      </c>
      <c r="P19" s="26">
        <v>92</v>
      </c>
      <c r="Q19" s="28">
        <v>104</v>
      </c>
      <c r="R19" s="36">
        <v>7</v>
      </c>
      <c r="S19" s="6" t="s">
        <v>8</v>
      </c>
      <c r="T19" s="37">
        <v>0.72599999999999998</v>
      </c>
      <c r="U19" s="39">
        <f t="shared" si="0"/>
        <v>146</v>
      </c>
      <c r="V19" s="6" t="s">
        <v>6</v>
      </c>
      <c r="W19" s="38" t="s">
        <v>6</v>
      </c>
      <c r="X19" s="43">
        <f t="shared" si="1"/>
        <v>144</v>
      </c>
      <c r="Y19" s="6" t="s">
        <v>71</v>
      </c>
      <c r="Z19" s="41">
        <v>-0.5</v>
      </c>
      <c r="AA19" s="43">
        <f t="shared" si="2"/>
        <v>104</v>
      </c>
      <c r="AB19" s="6" t="s">
        <v>71</v>
      </c>
      <c r="AC19" s="38">
        <v>-0.61</v>
      </c>
      <c r="AD19" s="43">
        <f t="shared" si="3"/>
        <v>92</v>
      </c>
      <c r="AE19" s="6" t="s">
        <v>71</v>
      </c>
      <c r="AF19" s="38">
        <v>-0.65</v>
      </c>
    </row>
    <row r="20" spans="1:32" x14ac:dyDescent="0.3">
      <c r="A20" s="1" t="s">
        <v>29</v>
      </c>
      <c r="B20" t="s">
        <v>45</v>
      </c>
      <c r="C20" s="25">
        <v>45658</v>
      </c>
      <c r="D20" s="25">
        <v>45689</v>
      </c>
      <c r="R20" s="36">
        <v>7</v>
      </c>
      <c r="S20" s="6" t="s">
        <v>71</v>
      </c>
      <c r="T20" s="37">
        <v>-1</v>
      </c>
      <c r="U20" s="39">
        <f t="shared" si="0"/>
        <v>0</v>
      </c>
      <c r="V20" s="6" t="s">
        <v>6</v>
      </c>
      <c r="W20" s="38" t="s">
        <v>6</v>
      </c>
      <c r="X20" s="43">
        <f t="shared" si="1"/>
        <v>0</v>
      </c>
      <c r="Y20" s="6" t="s">
        <v>6</v>
      </c>
      <c r="Z20" s="41" t="s">
        <v>6</v>
      </c>
      <c r="AA20" s="43">
        <f t="shared" si="2"/>
        <v>0</v>
      </c>
      <c r="AB20" s="6" t="s">
        <v>6</v>
      </c>
      <c r="AC20" s="38" t="s">
        <v>6</v>
      </c>
      <c r="AD20" s="43" t="s">
        <v>6</v>
      </c>
      <c r="AE20" s="6" t="s">
        <v>6</v>
      </c>
      <c r="AF20" s="38" t="s">
        <v>6</v>
      </c>
    </row>
    <row r="21" spans="1:32" x14ac:dyDescent="0.3">
      <c r="A21" s="1" t="s">
        <v>29</v>
      </c>
      <c r="B21" t="s">
        <v>23</v>
      </c>
      <c r="C21" s="25">
        <v>45658</v>
      </c>
      <c r="D21" s="25">
        <v>45689</v>
      </c>
      <c r="E21" s="24">
        <v>65.209999084472599</v>
      </c>
      <c r="F21" s="2">
        <v>1.20006749079916</v>
      </c>
      <c r="G21" s="2">
        <v>3.7054675203224502E-2</v>
      </c>
      <c r="H21" s="15">
        <v>-0.409446421374004</v>
      </c>
      <c r="J21" s="17">
        <v>1.9168839404226201E-2</v>
      </c>
      <c r="K21" s="18">
        <v>2</v>
      </c>
      <c r="L21" s="19">
        <v>-0.62674435678095897</v>
      </c>
      <c r="M21" s="18">
        <v>53</v>
      </c>
      <c r="N21" s="26">
        <v>4</v>
      </c>
      <c r="O21" s="28">
        <v>5</v>
      </c>
      <c r="P21" s="26">
        <v>22</v>
      </c>
      <c r="Q21" s="28">
        <v>43</v>
      </c>
      <c r="R21" s="36">
        <v>7</v>
      </c>
      <c r="S21" s="6" t="s">
        <v>8</v>
      </c>
      <c r="T21" s="37">
        <v>0.65239999999999998</v>
      </c>
      <c r="U21" s="39">
        <f t="shared" si="0"/>
        <v>5</v>
      </c>
      <c r="V21" s="6" t="s">
        <v>8</v>
      </c>
      <c r="W21" s="38">
        <v>0.65239999999999998</v>
      </c>
      <c r="X21" s="43">
        <f t="shared" si="1"/>
        <v>4</v>
      </c>
      <c r="Y21" s="6" t="s">
        <v>8</v>
      </c>
      <c r="Z21" s="38">
        <v>0.65239999999999998</v>
      </c>
      <c r="AA21" s="43">
        <f t="shared" si="2"/>
        <v>43</v>
      </c>
      <c r="AB21" s="6" t="s">
        <v>8</v>
      </c>
      <c r="AC21" s="38">
        <v>1.1619999999999999</v>
      </c>
      <c r="AD21" s="43">
        <f>P21</f>
        <v>22</v>
      </c>
      <c r="AE21" s="6" t="s">
        <v>8</v>
      </c>
      <c r="AF21" s="38">
        <v>0.873</v>
      </c>
    </row>
    <row r="22" spans="1:32" x14ac:dyDescent="0.3">
      <c r="A22" s="1" t="s">
        <v>29</v>
      </c>
      <c r="B22" t="s">
        <v>19</v>
      </c>
      <c r="C22" s="25">
        <v>45658</v>
      </c>
      <c r="D22" s="25">
        <v>45689</v>
      </c>
      <c r="E22" s="24">
        <v>8.9151611328125</v>
      </c>
      <c r="F22" s="2">
        <v>-0.48931548828365401</v>
      </c>
      <c r="G22" s="2">
        <v>-0.179012305562401</v>
      </c>
      <c r="H22" s="15">
        <v>-0.37457655058329797</v>
      </c>
      <c r="J22" s="17">
        <v>0.40995765612805102</v>
      </c>
      <c r="K22" s="18">
        <v>144</v>
      </c>
      <c r="L22" s="19">
        <v>-0.499223809784617</v>
      </c>
      <c r="M22" s="18">
        <v>53</v>
      </c>
      <c r="N22" s="26">
        <v>12</v>
      </c>
      <c r="O22" s="28">
        <v>13</v>
      </c>
      <c r="P22" s="26">
        <v>12</v>
      </c>
      <c r="Q22" s="28">
        <v>13</v>
      </c>
      <c r="R22" s="36">
        <v>7</v>
      </c>
      <c r="S22" s="6" t="s">
        <v>8</v>
      </c>
      <c r="T22" s="37">
        <v>0.49340000000000001</v>
      </c>
      <c r="U22" s="39">
        <f t="shared" si="0"/>
        <v>13</v>
      </c>
      <c r="V22" s="6" t="s">
        <v>8</v>
      </c>
      <c r="W22" s="41">
        <v>0.91400000000000003</v>
      </c>
      <c r="X22" s="43">
        <f t="shared" si="1"/>
        <v>12</v>
      </c>
      <c r="Y22" s="6" t="s">
        <v>8</v>
      </c>
      <c r="Z22" s="41">
        <v>0.75700000000000001</v>
      </c>
      <c r="AA22" s="43">
        <f t="shared" si="2"/>
        <v>13</v>
      </c>
      <c r="AB22" s="6" t="s">
        <v>8</v>
      </c>
      <c r="AC22" s="41">
        <v>0.75700000000000001</v>
      </c>
      <c r="AD22" s="43">
        <f>P22</f>
        <v>12</v>
      </c>
      <c r="AE22" s="6" t="s">
        <v>8</v>
      </c>
      <c r="AF22" s="41">
        <v>0.75700000000000001</v>
      </c>
    </row>
    <row r="23" spans="1:32" x14ac:dyDescent="0.3">
      <c r="A23" s="1" t="s">
        <v>29</v>
      </c>
      <c r="B23" t="s">
        <v>22</v>
      </c>
      <c r="C23" s="25">
        <v>45689</v>
      </c>
      <c r="D23" s="25">
        <v>45717</v>
      </c>
      <c r="E23" s="24">
        <v>13.4918212890625</v>
      </c>
      <c r="F23" s="2">
        <v>8.9317204038616496E-2</v>
      </c>
      <c r="G23" s="2">
        <v>-5.1068138609302802E-2</v>
      </c>
      <c r="H23" s="15">
        <v>-4.7818932368242098E-2</v>
      </c>
      <c r="J23" s="17">
        <v>0.21418542185025899</v>
      </c>
      <c r="K23" s="18">
        <v>14</v>
      </c>
      <c r="L23" s="19">
        <v>-0.130870631644424</v>
      </c>
      <c r="M23" s="18">
        <v>110</v>
      </c>
      <c r="N23" s="26">
        <v>110</v>
      </c>
      <c r="P23" s="26">
        <v>109</v>
      </c>
      <c r="R23" s="36">
        <v>7</v>
      </c>
      <c r="S23" s="6" t="s">
        <v>71</v>
      </c>
      <c r="T23" s="37">
        <v>-0.1522</v>
      </c>
      <c r="U23" s="39">
        <f t="shared" si="0"/>
        <v>0</v>
      </c>
      <c r="V23" s="6" t="s">
        <v>6</v>
      </c>
      <c r="W23" s="41" t="s">
        <v>6</v>
      </c>
      <c r="X23" s="43">
        <f t="shared" si="1"/>
        <v>110</v>
      </c>
      <c r="Y23" s="6" t="s">
        <v>8</v>
      </c>
      <c r="Z23" s="41">
        <v>0.2</v>
      </c>
      <c r="AA23" s="43">
        <f t="shared" si="2"/>
        <v>0</v>
      </c>
      <c r="AB23" s="6" t="s">
        <v>6</v>
      </c>
      <c r="AC23" s="38" t="s">
        <v>6</v>
      </c>
      <c r="AD23" s="43">
        <f>P23</f>
        <v>109</v>
      </c>
      <c r="AE23" s="6" t="s">
        <v>8</v>
      </c>
      <c r="AF23" s="41">
        <v>0.2</v>
      </c>
    </row>
    <row r="24" spans="1:32" x14ac:dyDescent="0.3">
      <c r="A24" s="1" t="s">
        <v>29</v>
      </c>
      <c r="B24" t="s">
        <v>52</v>
      </c>
      <c r="C24" s="25">
        <v>45717</v>
      </c>
      <c r="D24" s="25">
        <v>45748</v>
      </c>
      <c r="E24" s="24">
        <v>34.909999847412102</v>
      </c>
      <c r="F24" s="2">
        <v>-1.8105103007556699E-2</v>
      </c>
      <c r="G24" s="2">
        <v>-8.3854686088145197E-2</v>
      </c>
      <c r="H24" s="15">
        <v>-0.113720977677082</v>
      </c>
      <c r="J24" s="17">
        <v>0</v>
      </c>
      <c r="K24" s="18">
        <v>0</v>
      </c>
      <c r="L24" s="19">
        <v>-0.19793755020380899</v>
      </c>
      <c r="M24" s="18">
        <v>36</v>
      </c>
      <c r="N24" s="26">
        <v>4</v>
      </c>
      <c r="R24" s="36">
        <v>7</v>
      </c>
      <c r="S24" s="6" t="s">
        <v>7</v>
      </c>
      <c r="T24" s="37" t="s">
        <v>6</v>
      </c>
      <c r="U24" s="39">
        <f t="shared" si="0"/>
        <v>0</v>
      </c>
      <c r="V24" s="6" t="s">
        <v>6</v>
      </c>
      <c r="W24" s="38" t="s">
        <v>6</v>
      </c>
      <c r="X24" s="43">
        <f t="shared" si="1"/>
        <v>4</v>
      </c>
      <c r="Y24" s="6" t="s">
        <v>7</v>
      </c>
      <c r="Z24" s="41" t="s">
        <v>6</v>
      </c>
      <c r="AA24" s="43">
        <f t="shared" si="2"/>
        <v>0</v>
      </c>
      <c r="AB24" s="6" t="s">
        <v>6</v>
      </c>
      <c r="AC24" s="38" t="s">
        <v>6</v>
      </c>
      <c r="AD24" s="43" t="s">
        <v>6</v>
      </c>
      <c r="AE24" s="6" t="s">
        <v>6</v>
      </c>
      <c r="AF24" s="38" t="s">
        <v>6</v>
      </c>
    </row>
    <row r="25" spans="1:32" x14ac:dyDescent="0.3">
      <c r="A25" s="1" t="s">
        <v>29</v>
      </c>
      <c r="B25" t="s">
        <v>25</v>
      </c>
      <c r="C25" s="25">
        <v>45717</v>
      </c>
      <c r="D25" s="25">
        <v>45748</v>
      </c>
      <c r="E25" s="24">
        <v>3.0299999713897701</v>
      </c>
      <c r="F25" s="2">
        <v>0.23673465812965899</v>
      </c>
      <c r="G25" s="2">
        <v>0.77192976830176196</v>
      </c>
      <c r="H25" s="15">
        <v>7.5907597770699498E-2</v>
      </c>
      <c r="J25" s="17">
        <v>0.36963700810332001</v>
      </c>
      <c r="K25" s="18">
        <v>68</v>
      </c>
      <c r="L25" s="19">
        <v>-0.363036314926867</v>
      </c>
      <c r="M25" s="18">
        <v>21</v>
      </c>
      <c r="N25" s="26">
        <v>2</v>
      </c>
      <c r="O25" s="28">
        <v>3</v>
      </c>
      <c r="P25" s="26">
        <v>21</v>
      </c>
      <c r="R25" s="36">
        <v>7</v>
      </c>
      <c r="S25" s="6" t="s">
        <v>8</v>
      </c>
      <c r="T25" s="37">
        <v>0.86899999999999999</v>
      </c>
      <c r="U25" s="39">
        <f t="shared" si="0"/>
        <v>3</v>
      </c>
      <c r="V25" s="6" t="s">
        <v>8</v>
      </c>
      <c r="W25" s="38">
        <v>0.86899999999999999</v>
      </c>
      <c r="X25" s="43">
        <f t="shared" si="1"/>
        <v>2</v>
      </c>
      <c r="Y25" s="6" t="s">
        <v>8</v>
      </c>
      <c r="Z25" s="41">
        <v>0.86899999999999999</v>
      </c>
      <c r="AA25" s="43">
        <f t="shared" si="2"/>
        <v>0</v>
      </c>
      <c r="AB25" s="6" t="s">
        <v>6</v>
      </c>
      <c r="AC25" s="38" t="s">
        <v>6</v>
      </c>
      <c r="AD25" s="43">
        <f>P25</f>
        <v>21</v>
      </c>
      <c r="AE25" s="6" t="s">
        <v>8</v>
      </c>
      <c r="AF25" s="38">
        <v>1.1499999999999999</v>
      </c>
    </row>
    <row r="26" spans="1:32" x14ac:dyDescent="0.3">
      <c r="A26" s="1" t="s">
        <v>29</v>
      </c>
      <c r="B26" t="s">
        <v>55</v>
      </c>
      <c r="C26" s="25">
        <v>45717</v>
      </c>
      <c r="D26" s="25">
        <v>45748</v>
      </c>
      <c r="E26" s="24">
        <v>114.209999084472</v>
      </c>
      <c r="F26" s="2">
        <v>-2.7069295117070299E-3</v>
      </c>
      <c r="G26" s="2">
        <v>-0.20846902488941299</v>
      </c>
      <c r="H26" s="15">
        <v>0.28184918194599701</v>
      </c>
      <c r="J26" s="17">
        <v>0.34384026755854602</v>
      </c>
      <c r="K26" s="18">
        <v>64</v>
      </c>
      <c r="L26" s="19">
        <v>-0.245512662116285</v>
      </c>
      <c r="M26" s="18">
        <v>5</v>
      </c>
      <c r="N26" s="26">
        <v>2</v>
      </c>
      <c r="O26" s="28">
        <v>4</v>
      </c>
      <c r="R26" s="36">
        <v>7</v>
      </c>
      <c r="S26" s="6" t="s">
        <v>8</v>
      </c>
      <c r="T26" s="37">
        <v>0.74029999999999996</v>
      </c>
      <c r="U26" s="39">
        <f t="shared" si="0"/>
        <v>4</v>
      </c>
      <c r="V26" s="6" t="s">
        <v>8</v>
      </c>
      <c r="W26" s="41">
        <v>0.74</v>
      </c>
      <c r="X26" s="43">
        <f t="shared" si="1"/>
        <v>2</v>
      </c>
      <c r="Y26" s="6" t="s">
        <v>8</v>
      </c>
      <c r="Z26" s="41">
        <v>0.74</v>
      </c>
      <c r="AA26" s="43">
        <f t="shared" si="2"/>
        <v>0</v>
      </c>
      <c r="AB26" s="6" t="s">
        <v>6</v>
      </c>
      <c r="AC26" s="38" t="s">
        <v>6</v>
      </c>
      <c r="AD26" s="43" t="s">
        <v>6</v>
      </c>
      <c r="AE26" s="6" t="s">
        <v>6</v>
      </c>
      <c r="AF26" s="38" t="s">
        <v>6</v>
      </c>
    </row>
    <row r="27" spans="1:32" x14ac:dyDescent="0.3">
      <c r="A27" s="1" t="s">
        <v>29</v>
      </c>
      <c r="B27" t="s">
        <v>50</v>
      </c>
      <c r="C27" s="25">
        <v>45717</v>
      </c>
      <c r="D27" s="25">
        <v>45748</v>
      </c>
      <c r="E27" s="24">
        <v>1.40999996662139</v>
      </c>
      <c r="F27" s="2">
        <v>-0.64837908076265405</v>
      </c>
      <c r="G27" s="2">
        <v>-0.189655196038305</v>
      </c>
      <c r="H27" s="15">
        <v>-0.46099290180527602</v>
      </c>
      <c r="J27" s="17">
        <v>2.1276660503010799E-2</v>
      </c>
      <c r="K27" s="18">
        <v>1</v>
      </c>
      <c r="L27" s="19">
        <v>-0.595744676353957</v>
      </c>
      <c r="M27" s="18">
        <v>45</v>
      </c>
      <c r="N27" s="26">
        <v>5</v>
      </c>
      <c r="O27" s="28">
        <v>5</v>
      </c>
      <c r="P27" s="26">
        <v>9</v>
      </c>
      <c r="Q27" s="28">
        <v>9</v>
      </c>
      <c r="R27" s="36">
        <v>7</v>
      </c>
      <c r="S27" s="6" t="s">
        <v>8</v>
      </c>
      <c r="T27" s="37">
        <v>0.30690000000000001</v>
      </c>
      <c r="U27" s="39">
        <f t="shared" si="0"/>
        <v>5</v>
      </c>
      <c r="V27" s="6" t="s">
        <v>8</v>
      </c>
      <c r="W27" s="40">
        <v>0.30690000000000001</v>
      </c>
      <c r="X27" s="43">
        <f t="shared" si="1"/>
        <v>5</v>
      </c>
      <c r="Y27" s="6" t="s">
        <v>8</v>
      </c>
      <c r="Z27" s="40">
        <v>0.30690000000000001</v>
      </c>
      <c r="AA27" s="43">
        <f t="shared" si="2"/>
        <v>9</v>
      </c>
      <c r="AB27" s="6" t="s">
        <v>8</v>
      </c>
      <c r="AC27" s="38">
        <v>1.0309999999999999</v>
      </c>
      <c r="AD27" s="43">
        <f t="shared" ref="AD27:AD32" si="4">P27</f>
        <v>9</v>
      </c>
      <c r="AE27" s="6" t="s">
        <v>8</v>
      </c>
      <c r="AF27" s="38">
        <v>1.0309999999999999</v>
      </c>
    </row>
    <row r="28" spans="1:32" x14ac:dyDescent="0.3">
      <c r="A28" s="1" t="s">
        <v>29</v>
      </c>
      <c r="B28" t="s">
        <v>46</v>
      </c>
      <c r="C28" s="25">
        <v>45717</v>
      </c>
      <c r="D28" s="25">
        <v>45748</v>
      </c>
      <c r="E28" s="24">
        <v>7.0500001907348597</v>
      </c>
      <c r="F28" s="2">
        <v>-0.61788618432492304</v>
      </c>
      <c r="G28" s="2">
        <v>-0.52073418270208505</v>
      </c>
      <c r="H28" s="15">
        <v>-0.33900713172514502</v>
      </c>
      <c r="J28" s="17">
        <v>0.51631195619429004</v>
      </c>
      <c r="K28" s="18">
        <v>106</v>
      </c>
      <c r="L28" s="19">
        <v>-0.42411349887405497</v>
      </c>
      <c r="M28" s="18">
        <v>37</v>
      </c>
      <c r="N28" s="26">
        <v>4</v>
      </c>
      <c r="O28" s="28">
        <v>7</v>
      </c>
      <c r="P28" s="26">
        <v>32</v>
      </c>
      <c r="Q28" s="28">
        <v>37</v>
      </c>
      <c r="R28" s="36">
        <v>7</v>
      </c>
      <c r="S28" s="6" t="s">
        <v>8</v>
      </c>
      <c r="T28" s="37">
        <v>1.052</v>
      </c>
      <c r="U28" s="39">
        <f t="shared" si="0"/>
        <v>7</v>
      </c>
      <c r="V28" s="6" t="s">
        <v>8</v>
      </c>
      <c r="W28" s="40">
        <v>1.052</v>
      </c>
      <c r="X28" s="43">
        <f t="shared" si="1"/>
        <v>4</v>
      </c>
      <c r="Y28" s="6" t="s">
        <v>8</v>
      </c>
      <c r="Z28" s="40">
        <v>1.052</v>
      </c>
      <c r="AA28" s="43">
        <f t="shared" si="2"/>
        <v>37</v>
      </c>
      <c r="AB28" s="6" t="s">
        <v>8</v>
      </c>
      <c r="AC28" s="40">
        <v>1.633</v>
      </c>
      <c r="AD28" s="43">
        <f t="shared" si="4"/>
        <v>32</v>
      </c>
      <c r="AE28" s="6" t="s">
        <v>8</v>
      </c>
      <c r="AF28" s="40">
        <v>1.4079999999999999</v>
      </c>
    </row>
    <row r="29" spans="1:32" x14ac:dyDescent="0.3">
      <c r="A29" s="1" t="s">
        <v>29</v>
      </c>
      <c r="B29" t="s">
        <v>56</v>
      </c>
      <c r="C29" s="25">
        <v>45748</v>
      </c>
      <c r="D29" s="25">
        <v>45778</v>
      </c>
      <c r="E29" s="24">
        <v>4.38000011444091</v>
      </c>
      <c r="F29" s="2">
        <v>-0.402455639832205</v>
      </c>
      <c r="G29" s="2">
        <v>-0.21645796155958999</v>
      </c>
      <c r="H29" s="15">
        <v>0.35159815562004798</v>
      </c>
      <c r="J29" s="17">
        <v>0.75342457252856199</v>
      </c>
      <c r="K29" s="18">
        <v>56</v>
      </c>
      <c r="L29" s="19">
        <v>-0.12328771373571799</v>
      </c>
      <c r="M29" s="18">
        <v>3</v>
      </c>
      <c r="N29" s="26">
        <v>3</v>
      </c>
      <c r="R29" s="36">
        <v>7</v>
      </c>
      <c r="S29" s="6" t="s">
        <v>8</v>
      </c>
      <c r="T29" s="37">
        <v>0.65159999999999996</v>
      </c>
      <c r="U29" s="39">
        <f t="shared" si="0"/>
        <v>0</v>
      </c>
      <c r="V29" s="6" t="s">
        <v>6</v>
      </c>
      <c r="W29" s="38" t="s">
        <v>6</v>
      </c>
      <c r="X29" s="43">
        <f t="shared" si="1"/>
        <v>3</v>
      </c>
      <c r="Y29" s="6" t="s">
        <v>8</v>
      </c>
      <c r="Z29" s="40">
        <v>0.65159999999999996</v>
      </c>
      <c r="AA29" s="43">
        <f t="shared" si="2"/>
        <v>0</v>
      </c>
      <c r="AB29" s="6" t="s">
        <v>6</v>
      </c>
      <c r="AC29" s="38" t="s">
        <v>6</v>
      </c>
      <c r="AD29" s="43">
        <f t="shared" si="4"/>
        <v>0</v>
      </c>
      <c r="AE29" s="6" t="s">
        <v>6</v>
      </c>
      <c r="AF29" s="40" t="s">
        <v>6</v>
      </c>
    </row>
    <row r="30" spans="1:32" x14ac:dyDescent="0.3">
      <c r="A30" s="1" t="s">
        <v>29</v>
      </c>
      <c r="B30" t="s">
        <v>58</v>
      </c>
      <c r="C30" s="25">
        <v>45809</v>
      </c>
      <c r="D30" s="25">
        <v>45839</v>
      </c>
      <c r="E30" s="24">
        <v>5.2399997711181596</v>
      </c>
      <c r="F30" s="2">
        <v>-0.29093371234252602</v>
      </c>
      <c r="G30" s="2">
        <v>-3.4990803540889202E-2</v>
      </c>
      <c r="J30" s="17">
        <v>9.5420215494004205E-3</v>
      </c>
      <c r="K30" s="18">
        <v>2</v>
      </c>
      <c r="L30" s="19">
        <v>-0.33587782994675802</v>
      </c>
      <c r="M30" s="18">
        <v>28</v>
      </c>
      <c r="N30" s="26">
        <v>8</v>
      </c>
      <c r="O30" s="28">
        <v>22</v>
      </c>
      <c r="P30" s="26">
        <v>19</v>
      </c>
      <c r="Q30" s="28">
        <v>24</v>
      </c>
      <c r="R30" s="36">
        <v>7</v>
      </c>
      <c r="S30" s="6" t="s">
        <v>8</v>
      </c>
      <c r="T30" s="37">
        <v>6.1699999999999998E-2</v>
      </c>
      <c r="U30" s="39">
        <f t="shared" si="0"/>
        <v>22</v>
      </c>
      <c r="V30" s="6" t="s">
        <v>8</v>
      </c>
      <c r="W30" s="38">
        <v>0.30299999999999999</v>
      </c>
      <c r="X30" s="43">
        <f t="shared" si="1"/>
        <v>8</v>
      </c>
      <c r="Y30" s="6" t="s">
        <v>8</v>
      </c>
      <c r="Z30" s="41">
        <v>0.06</v>
      </c>
      <c r="AA30" s="43">
        <f t="shared" si="2"/>
        <v>24</v>
      </c>
      <c r="AB30" s="6" t="s">
        <v>8</v>
      </c>
      <c r="AC30" s="38">
        <v>0.3473</v>
      </c>
      <c r="AD30" s="43">
        <f t="shared" si="4"/>
        <v>19</v>
      </c>
      <c r="AE30" s="6" t="s">
        <v>8</v>
      </c>
      <c r="AF30" s="38">
        <v>0.2</v>
      </c>
    </row>
    <row r="31" spans="1:32" x14ac:dyDescent="0.3">
      <c r="A31" s="1" t="s">
        <v>29</v>
      </c>
      <c r="B31" t="s">
        <v>43</v>
      </c>
      <c r="C31" s="25">
        <v>45839</v>
      </c>
      <c r="D31" s="25">
        <v>45870</v>
      </c>
      <c r="E31" s="24">
        <v>8.7600002288818306</v>
      </c>
      <c r="F31" s="7">
        <v>-0.21152110714810199</v>
      </c>
      <c r="G31" s="7">
        <v>0</v>
      </c>
      <c r="H31" s="13"/>
      <c r="I31" s="14"/>
      <c r="J31" s="20">
        <v>8.1050230547493995E-2</v>
      </c>
      <c r="K31" s="21">
        <v>1</v>
      </c>
      <c r="L31" s="22">
        <v>-7.6484024975815093E-2</v>
      </c>
      <c r="M31" s="21">
        <v>2</v>
      </c>
      <c r="N31" s="27"/>
      <c r="O31" s="29"/>
      <c r="P31" s="27"/>
      <c r="Q31" s="29"/>
      <c r="R31" s="36">
        <v>7</v>
      </c>
      <c r="S31" s="6" t="s">
        <v>6</v>
      </c>
      <c r="T31" s="37" t="s">
        <v>6</v>
      </c>
      <c r="U31" s="39">
        <f t="shared" si="0"/>
        <v>0</v>
      </c>
      <c r="W31" s="38" t="s">
        <v>6</v>
      </c>
      <c r="X31" s="43">
        <f t="shared" si="1"/>
        <v>0</v>
      </c>
      <c r="AA31" s="43">
        <f t="shared" si="2"/>
        <v>0</v>
      </c>
      <c r="AD31" s="43">
        <f t="shared" si="4"/>
        <v>0</v>
      </c>
    </row>
    <row r="32" spans="1:32" x14ac:dyDescent="0.3">
      <c r="A32" s="1" t="s">
        <v>29</v>
      </c>
      <c r="B32" t="s">
        <v>49</v>
      </c>
      <c r="C32" s="25">
        <v>45839</v>
      </c>
      <c r="D32" s="25">
        <v>45870</v>
      </c>
      <c r="E32" s="24">
        <v>12.310000419616699</v>
      </c>
      <c r="F32" s="2">
        <v>-0.51189529124616895</v>
      </c>
      <c r="G32" s="2">
        <v>8.19003940682261E-3</v>
      </c>
      <c r="J32" s="17">
        <v>0.231519035795788</v>
      </c>
      <c r="K32" s="18">
        <v>21</v>
      </c>
      <c r="L32" s="19">
        <v>0</v>
      </c>
      <c r="M32" s="18">
        <v>0</v>
      </c>
      <c r="R32" s="36">
        <v>7</v>
      </c>
      <c r="S32" s="6" t="s">
        <v>6</v>
      </c>
      <c r="T32" s="37" t="s">
        <v>6</v>
      </c>
      <c r="U32" s="39">
        <f t="shared" si="0"/>
        <v>0</v>
      </c>
      <c r="W32" s="41" t="s">
        <v>6</v>
      </c>
      <c r="X32" s="43">
        <f t="shared" si="1"/>
        <v>0</v>
      </c>
      <c r="AA32" s="43">
        <f t="shared" si="2"/>
        <v>0</v>
      </c>
      <c r="AD32" s="43">
        <f t="shared" si="4"/>
        <v>0</v>
      </c>
    </row>
    <row r="34" spans="19:32" x14ac:dyDescent="0.3">
      <c r="S34" s="6" t="s">
        <v>89</v>
      </c>
      <c r="T34" s="53">
        <f>COUNT(T4:T32)</f>
        <v>26</v>
      </c>
      <c r="V34" s="6" t="s">
        <v>89</v>
      </c>
      <c r="W34" s="46">
        <f>COUNT(W4:W32)</f>
        <v>17</v>
      </c>
      <c r="Z34" s="53">
        <f>COUNT(Z4:Z32)</f>
        <v>23</v>
      </c>
      <c r="AC34" s="53">
        <f>COUNT(AC4:AC32)</f>
        <v>15</v>
      </c>
      <c r="AF34" s="53">
        <f>COUNT(AF4:AF32)</f>
        <v>19</v>
      </c>
    </row>
    <row r="35" spans="19:32" x14ac:dyDescent="0.3">
      <c r="S35" s="64" t="s">
        <v>81</v>
      </c>
      <c r="T35" s="66">
        <f>COUNTIF(S4:S32, "Win")/COUNT(T4:T32)</f>
        <v>0.80769230769230771</v>
      </c>
      <c r="V35" s="64" t="s">
        <v>81</v>
      </c>
      <c r="W35" s="49">
        <f>COUNTIF(V4:V32, "Win")/COUNT(W4:W32)</f>
        <v>0.94117647058823528</v>
      </c>
      <c r="Z35" s="66">
        <f>COUNTIF(Y4:Y32, "Win")/COUNT(Z4:Z32)</f>
        <v>0.86956521739130432</v>
      </c>
      <c r="AC35" s="66">
        <f>COUNTIF(AB4:AB32, "Win")/COUNT(AC4:AC32)</f>
        <v>0.8</v>
      </c>
      <c r="AF35" s="66">
        <f>COUNTIF(AE4:AE32, "Win")/COUNT(AF4:AF32)</f>
        <v>0.84210526315789469</v>
      </c>
    </row>
    <row r="36" spans="19:32" x14ac:dyDescent="0.3">
      <c r="S36" s="6" t="s">
        <v>82</v>
      </c>
      <c r="T36" s="51">
        <f>AVERAGE(T4:T32)</f>
        <v>0.35498461538461545</v>
      </c>
      <c r="V36" s="6" t="s">
        <v>82</v>
      </c>
      <c r="W36" s="50">
        <f>AVERAGE(W4:W32)</f>
        <v>0.63224705882352961</v>
      </c>
      <c r="Z36" s="51">
        <f>AVERAGE(Z4:Z32)</f>
        <v>0.52850434782608702</v>
      </c>
      <c r="AC36" s="51">
        <f>AVERAGE(AC4:AC32)</f>
        <v>0.63936666666666653</v>
      </c>
      <c r="AF36" s="51">
        <f>AVERAGE(AF4:AF32)</f>
        <v>0.60175789473684205</v>
      </c>
    </row>
    <row r="37" spans="19:32" x14ac:dyDescent="0.3">
      <c r="S37" s="6" t="s">
        <v>84</v>
      </c>
      <c r="T37" s="51">
        <f>_xlfn.STDEV.S(T4:T32)</f>
        <v>0.52767713514406334</v>
      </c>
      <c r="V37" s="6" t="s">
        <v>84</v>
      </c>
      <c r="W37" s="50">
        <f>_xlfn.STDEV.S(W4:W32)</f>
        <v>0.59699160810438423</v>
      </c>
      <c r="Z37" s="51">
        <f>_xlfn.STDEV.S(Z4:Z32)</f>
        <v>0.58318324305507696</v>
      </c>
      <c r="AC37" s="51">
        <f>_xlfn.STDEV.S(AC4:AC32)</f>
        <v>0.78029633076769234</v>
      </c>
      <c r="AF37" s="51">
        <f>_xlfn.STDEV.S(AF4:AF32)</f>
        <v>0.69509098230678423</v>
      </c>
    </row>
    <row r="38" spans="19:32" x14ac:dyDescent="0.3">
      <c r="S38" s="64" t="s">
        <v>83</v>
      </c>
      <c r="T38" s="71">
        <f>T36/T37</f>
        <v>0.67273071304804521</v>
      </c>
      <c r="V38" s="64" t="s">
        <v>83</v>
      </c>
      <c r="W38" s="70">
        <f>W36/W37</f>
        <v>1.0590551864390378</v>
      </c>
      <c r="Z38" s="71">
        <f>Z36/Z37</f>
        <v>0.90624062697249697</v>
      </c>
      <c r="AC38" s="71">
        <f>AC36/AC37</f>
        <v>0.81938955939678382</v>
      </c>
      <c r="AF38" s="71">
        <f>AF36/AF37</f>
        <v>0.86572536553387647</v>
      </c>
    </row>
    <row r="39" spans="19:32" x14ac:dyDescent="0.3">
      <c r="S39" s="6" t="s">
        <v>85</v>
      </c>
      <c r="T39" s="51" cm="1">
        <f t="array" ref="T39">STDEV(_xlfn._xlws.FILTER(T4:T32,T4:T32&lt;0))</f>
        <v>0.3155147983851152</v>
      </c>
      <c r="V39" s="6" t="s">
        <v>85</v>
      </c>
      <c r="W39" s="50" t="e" cm="1">
        <f t="array" ref="W39">STDEV(_xlfn._xlws.FILTER(W4:W32,W4:W32&lt;0))</f>
        <v>#DIV/0!</v>
      </c>
      <c r="Z39" s="51" cm="1">
        <f t="array" ref="Z39">STDEV(_xlfn._xlws.FILTER(Z4:Z32,Z4:Z32&lt;0))</f>
        <v>0.24406917735210509</v>
      </c>
      <c r="AC39" s="51" cm="1">
        <f t="array" ref="AC39">STDEV(_xlfn._xlws.FILTER(AC4:AC32,AC4:AC32&lt;0))</f>
        <v>4.7871129086329255E-2</v>
      </c>
      <c r="AF39" s="51" cm="1">
        <f t="array" ref="AF39">STDEV(_xlfn._xlws.FILTER(AF4:AF32,AF4:AF32&lt;0))</f>
        <v>0.29147000417424318</v>
      </c>
    </row>
    <row r="40" spans="19:32" x14ac:dyDescent="0.3">
      <c r="S40" s="64" t="s">
        <v>86</v>
      </c>
      <c r="T40" s="71">
        <f>T35/T39</f>
        <v>2.5599189382757381</v>
      </c>
      <c r="V40" s="64" t="s">
        <v>86</v>
      </c>
      <c r="W40" s="70" t="e">
        <f>W35/W39</f>
        <v>#DIV/0!</v>
      </c>
      <c r="Z40" s="71">
        <f>Z35/Z39</f>
        <v>3.5627817769747745</v>
      </c>
      <c r="AC40" s="71">
        <f>AC35/AC39</f>
        <v>16.711533971912502</v>
      </c>
      <c r="AF40" s="71">
        <f>AF35/AF39</f>
        <v>2.8891661272097049</v>
      </c>
    </row>
    <row r="41" spans="19:32" x14ac:dyDescent="0.3">
      <c r="S41" s="6" t="s">
        <v>87</v>
      </c>
      <c r="T41" s="51">
        <f>MIN(T4:T32)</f>
        <v>-1</v>
      </c>
      <c r="V41" s="6" t="s">
        <v>87</v>
      </c>
      <c r="W41" s="50">
        <f>MIN(W4:W32)</f>
        <v>-0.5423</v>
      </c>
      <c r="Z41" s="51">
        <f>MIN(Z4:Z32)</f>
        <v>-0.5423</v>
      </c>
      <c r="AC41" s="51">
        <f>MIN(AC4:AC32)</f>
        <v>-0.61</v>
      </c>
      <c r="AF41" s="51">
        <f>MIN(AF4:AF32)</f>
        <v>-0.65</v>
      </c>
    </row>
    <row r="42" spans="19:32" x14ac:dyDescent="0.3">
      <c r="S42" s="64" t="s">
        <v>88</v>
      </c>
      <c r="T42" s="71" cm="1">
        <f t="array" ref="T42">(PRODUCT(IF(ISNUMBER(T4:T32),T4:T32+1,1)))^(1/T34)/ABS(T41)</f>
        <v>0</v>
      </c>
      <c r="V42" s="64" t="s">
        <v>88</v>
      </c>
      <c r="W42" s="70" cm="1">
        <f t="array" ref="W42">(PRODUCT(IF(ISNUMBER(W4:W32),W4:W32+1,1)))^(1/W34)/ABS(W41)</f>
        <v>2.8126246822934635</v>
      </c>
      <c r="Z42" s="71" cm="1">
        <f t="array" ref="Z42">(PRODUCT(IF(ISNUMBER(Z4:Z32),Z4:Z32+1,1)))^(1/Z34)/ABS(Z41)</f>
        <v>2.606594952869385</v>
      </c>
      <c r="AC42" s="71" cm="1">
        <f t="array" ref="AC42">(PRODUCT(IF(ISNUMBER(AC4:AC32),AC4:AC32+1,1)))^(1/AC34)/ABS(AC41)</f>
        <v>2.3480017279676075</v>
      </c>
      <c r="AF42" s="71" cm="1">
        <f t="array" ref="AF42">(PRODUCT(IF(ISNUMBER(AF4:AF32),AF4:AF32+1,1)))^(1/AF34)/ABS(AF41)</f>
        <v>2.1979900565532309</v>
      </c>
    </row>
  </sheetData>
  <autoFilter ref="A3:AM32" xr:uid="{00000000-0001-0000-0000-000000000000}">
    <sortState xmlns:xlrd2="http://schemas.microsoft.com/office/spreadsheetml/2017/richdata2" ref="A4:AG32">
      <sortCondition ref="D3:D32"/>
    </sortState>
  </autoFilter>
  <mergeCells count="13">
    <mergeCell ref="AA2:AC2"/>
    <mergeCell ref="AD2:AF2"/>
    <mergeCell ref="R1:AF1"/>
    <mergeCell ref="C2:E2"/>
    <mergeCell ref="N2:O2"/>
    <mergeCell ref="A1:O1"/>
    <mergeCell ref="X2:Z2"/>
    <mergeCell ref="P2:Q2"/>
    <mergeCell ref="J2:M2"/>
    <mergeCell ref="R2:T2"/>
    <mergeCell ref="U2:W2"/>
    <mergeCell ref="F2:G2"/>
    <mergeCell ref="H2:I2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8F31-062E-43DF-9383-DA5101BA2082}">
  <dimension ref="A1:AZ75"/>
  <sheetViews>
    <sheetView zoomScale="85" zoomScaleNormal="85" workbookViewId="0">
      <pane xSplit="4" ySplit="4" topLeftCell="P6" activePane="bottomRight" state="frozen"/>
      <selection pane="topRight" activeCell="D1" sqref="D1"/>
      <selection pane="bottomLeft" activeCell="A2" sqref="A2"/>
      <selection pane="bottomRight" activeCell="AY5" sqref="AY5:AY44"/>
    </sheetView>
  </sheetViews>
  <sheetFormatPr defaultRowHeight="14.4" outlineLevelCol="1" x14ac:dyDescent="0.3"/>
  <cols>
    <col min="2" max="3" width="11" style="25" customWidth="1"/>
    <col min="4" max="4" width="11" style="24" bestFit="1" customWidth="1"/>
    <col min="5" max="6" width="9.88671875" style="2" customWidth="1" outlineLevel="1"/>
    <col min="7" max="7" width="9.88671875" style="15" customWidth="1" outlineLevel="1"/>
    <col min="8" max="8" width="9.88671875" style="16" customWidth="1" outlineLevel="1"/>
    <col min="9" max="9" width="6.88671875" style="17" customWidth="1" outlineLevel="1"/>
    <col min="10" max="10" width="12.33203125" style="18" customWidth="1" outlineLevel="1"/>
    <col min="11" max="11" width="6.6640625" style="19" customWidth="1" outlineLevel="1"/>
    <col min="12" max="12" width="12.109375" style="18" customWidth="1" outlineLevel="1"/>
    <col min="13" max="13" width="10.109375" style="26" customWidth="1" outlineLevel="1"/>
    <col min="14" max="14" width="10.109375" style="28" customWidth="1" outlineLevel="1"/>
    <col min="15" max="15" width="10.109375" style="87" customWidth="1" outlineLevel="1"/>
    <col min="16" max="18" width="10.109375" style="28" customWidth="1" outlineLevel="1"/>
    <col min="19" max="19" width="6.5546875" style="98" bestFit="1" customWidth="1"/>
    <col min="20" max="20" width="5.5546875" style="6" bestFit="1" customWidth="1"/>
    <col min="21" max="21" width="6.5546875" style="41" bestFit="1" customWidth="1"/>
    <col min="22" max="22" width="5.5546875" style="94" bestFit="1" customWidth="1"/>
    <col min="23" max="23" width="9.44140625" style="64" bestFit="1" customWidth="1"/>
    <col min="24" max="24" width="6.5546875" style="41" bestFit="1" customWidth="1"/>
    <col min="25" max="25" width="5.5546875" style="6" bestFit="1" customWidth="1"/>
    <col min="26" max="26" width="6.5546875" style="41" bestFit="1" customWidth="1"/>
    <col min="27" max="27" width="5.5546875" style="84" bestFit="1" customWidth="1"/>
    <col min="28" max="28" width="9.44140625" style="63" bestFit="1" customWidth="1"/>
    <col min="29" max="29" width="6.5546875" style="41" bestFit="1" customWidth="1"/>
    <col min="30" max="30" width="5.5546875" style="6" bestFit="1" customWidth="1"/>
    <col min="31" max="31" width="6.5546875" style="41" bestFit="1" customWidth="1"/>
    <col min="32" max="32" width="5.5546875" style="84" bestFit="1" customWidth="1"/>
    <col min="33" max="33" width="9.44140625" style="63" bestFit="1" customWidth="1"/>
    <col min="34" max="34" width="6.5546875" style="41" bestFit="1" customWidth="1"/>
    <col min="35" max="35" width="5.5546875" style="6" bestFit="1" customWidth="1"/>
    <col min="36" max="36" width="6.5546875" style="41" bestFit="1" customWidth="1"/>
    <col min="37" max="37" width="5.5546875" style="84" bestFit="1" customWidth="1"/>
    <col min="38" max="38" width="9.44140625" style="95" bestFit="1" customWidth="1"/>
    <col min="39" max="39" width="6.5546875" style="41" bestFit="1" customWidth="1"/>
    <col min="40" max="40" width="5.5546875" style="6" bestFit="1" customWidth="1"/>
    <col min="41" max="41" width="6.5546875" style="41" bestFit="1" customWidth="1"/>
    <col min="42" max="42" width="5.5546875" style="84" bestFit="1" customWidth="1"/>
    <col min="43" max="43" width="9.44140625" style="63" bestFit="1" customWidth="1"/>
    <col min="44" max="44" width="6.5546875" style="41" bestFit="1" customWidth="1"/>
    <col min="45" max="45" width="5.5546875" style="6" bestFit="1" customWidth="1"/>
    <col min="46" max="46" width="6.5546875" style="41" bestFit="1" customWidth="1"/>
    <col min="47" max="47" width="5.5546875" style="89" bestFit="1" customWidth="1"/>
    <col min="48" max="48" width="9.44140625" style="64" bestFit="1" customWidth="1"/>
    <col min="49" max="49" width="6.5546875" style="41" bestFit="1" customWidth="1"/>
    <col min="50" max="50" width="5.5546875" style="6" bestFit="1" customWidth="1"/>
    <col min="51" max="51" width="6.5546875" style="41" bestFit="1" customWidth="1"/>
    <col min="52" max="52" width="5.5546875" style="94" bestFit="1" customWidth="1"/>
  </cols>
  <sheetData>
    <row r="1" spans="1:52" ht="15" thickBot="1" x14ac:dyDescent="0.35">
      <c r="A1" s="135"/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6"/>
      <c r="Q1" s="135"/>
      <c r="R1" s="135"/>
      <c r="S1" s="137" t="s">
        <v>65</v>
      </c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8"/>
    </row>
    <row r="2" spans="1:52" s="34" customFormat="1" ht="30.6" customHeight="1" x14ac:dyDescent="0.3">
      <c r="B2" s="139" t="s">
        <v>37</v>
      </c>
      <c r="C2" s="139"/>
      <c r="D2" s="139"/>
      <c r="E2" s="140" t="s">
        <v>30</v>
      </c>
      <c r="F2" s="140"/>
      <c r="G2" s="141" t="s">
        <v>31</v>
      </c>
      <c r="H2" s="142"/>
      <c r="I2" s="141" t="s">
        <v>59</v>
      </c>
      <c r="J2" s="143"/>
      <c r="K2" s="142"/>
      <c r="L2" s="143"/>
      <c r="M2" s="144" t="s">
        <v>100</v>
      </c>
      <c r="N2" s="145"/>
      <c r="O2" s="146"/>
      <c r="P2" s="145" t="s">
        <v>101</v>
      </c>
      <c r="Q2" s="145"/>
      <c r="R2" s="146"/>
      <c r="S2" s="147" t="s">
        <v>98</v>
      </c>
      <c r="T2" s="148"/>
      <c r="U2" s="148"/>
      <c r="V2" s="149"/>
      <c r="W2" s="150" t="s">
        <v>102</v>
      </c>
      <c r="X2" s="151"/>
      <c r="Y2" s="151"/>
      <c r="Z2" s="151"/>
      <c r="AA2" s="152"/>
      <c r="AB2" s="120" t="s">
        <v>103</v>
      </c>
      <c r="AC2" s="121"/>
      <c r="AD2" s="121"/>
      <c r="AE2" s="121"/>
      <c r="AF2" s="122"/>
      <c r="AG2" s="123" t="s">
        <v>104</v>
      </c>
      <c r="AH2" s="124"/>
      <c r="AI2" s="124"/>
      <c r="AJ2" s="124"/>
      <c r="AK2" s="125"/>
      <c r="AL2" s="126" t="s">
        <v>107</v>
      </c>
      <c r="AM2" s="127"/>
      <c r="AN2" s="127"/>
      <c r="AO2" s="127"/>
      <c r="AP2" s="128"/>
      <c r="AQ2" s="129" t="s">
        <v>108</v>
      </c>
      <c r="AR2" s="130"/>
      <c r="AS2" s="130"/>
      <c r="AT2" s="130"/>
      <c r="AU2" s="131"/>
      <c r="AV2" s="132" t="s">
        <v>109</v>
      </c>
      <c r="AW2" s="132"/>
      <c r="AX2" s="132"/>
      <c r="AY2" s="132"/>
      <c r="AZ2" s="133"/>
    </row>
    <row r="3" spans="1:52" s="34" customFormat="1" ht="80.400000000000006" customHeight="1" x14ac:dyDescent="0.3">
      <c r="B3" s="79"/>
      <c r="C3" s="79"/>
      <c r="D3" s="79"/>
      <c r="E3" s="80"/>
      <c r="F3" s="80"/>
      <c r="G3" s="81"/>
      <c r="H3" s="82"/>
      <c r="I3" s="81"/>
      <c r="J3" s="33"/>
      <c r="K3" s="82"/>
      <c r="L3" s="33"/>
      <c r="M3" s="85"/>
      <c r="N3" s="83"/>
      <c r="O3" s="86"/>
      <c r="P3" s="83"/>
      <c r="Q3" s="83"/>
      <c r="R3" s="83"/>
      <c r="S3" s="134" t="s">
        <v>97</v>
      </c>
      <c r="T3" s="118"/>
      <c r="U3" s="116" t="s">
        <v>99</v>
      </c>
      <c r="V3" s="119"/>
      <c r="W3" s="96"/>
      <c r="X3" s="118" t="s">
        <v>97</v>
      </c>
      <c r="Y3" s="118"/>
      <c r="Z3" s="116" t="s">
        <v>99</v>
      </c>
      <c r="AA3" s="117"/>
      <c r="AB3" s="90"/>
      <c r="AC3" s="118" t="s">
        <v>97</v>
      </c>
      <c r="AD3" s="118"/>
      <c r="AE3" s="116" t="s">
        <v>99</v>
      </c>
      <c r="AF3" s="117"/>
      <c r="AG3" s="90"/>
      <c r="AH3" s="118" t="s">
        <v>97</v>
      </c>
      <c r="AI3" s="118"/>
      <c r="AJ3" s="116" t="s">
        <v>99</v>
      </c>
      <c r="AK3" s="119"/>
      <c r="AL3" s="92"/>
      <c r="AM3" s="118" t="s">
        <v>97</v>
      </c>
      <c r="AN3" s="118"/>
      <c r="AO3" s="116" t="s">
        <v>99</v>
      </c>
      <c r="AP3" s="116"/>
      <c r="AQ3" s="90"/>
      <c r="AR3" s="118" t="s">
        <v>97</v>
      </c>
      <c r="AS3" s="118"/>
      <c r="AT3" s="116" t="s">
        <v>99</v>
      </c>
      <c r="AU3" s="117"/>
      <c r="AV3" s="96"/>
      <c r="AW3" s="118" t="s">
        <v>97</v>
      </c>
      <c r="AX3" s="118"/>
      <c r="AY3" s="116" t="s">
        <v>99</v>
      </c>
      <c r="AZ3" s="119"/>
    </row>
    <row r="4" spans="1:52" s="100" customFormat="1" x14ac:dyDescent="0.3">
      <c r="A4" s="100" t="s">
        <v>1</v>
      </c>
      <c r="B4" s="101" t="s">
        <v>40</v>
      </c>
      <c r="C4" s="101" t="s">
        <v>41</v>
      </c>
      <c r="D4" s="102" t="s">
        <v>42</v>
      </c>
      <c r="E4" s="103" t="s">
        <v>32</v>
      </c>
      <c r="F4" s="103" t="s">
        <v>28</v>
      </c>
      <c r="G4" s="104" t="s">
        <v>33</v>
      </c>
      <c r="H4" s="104" t="s">
        <v>34</v>
      </c>
      <c r="I4" s="105" t="s">
        <v>2</v>
      </c>
      <c r="J4" s="106" t="s">
        <v>3</v>
      </c>
      <c r="K4" s="105" t="s">
        <v>4</v>
      </c>
      <c r="L4" s="106" t="s">
        <v>5</v>
      </c>
      <c r="M4" s="107">
        <v>0.1</v>
      </c>
      <c r="N4" s="107">
        <v>0.2</v>
      </c>
      <c r="O4" s="107">
        <v>0.3</v>
      </c>
      <c r="P4" s="107">
        <v>-0.1</v>
      </c>
      <c r="Q4" s="107">
        <v>-0.2</v>
      </c>
      <c r="R4" s="107">
        <v>-0.3</v>
      </c>
      <c r="S4" s="104" t="s">
        <v>105</v>
      </c>
      <c r="T4" s="108" t="s">
        <v>106</v>
      </c>
      <c r="U4" s="104" t="s">
        <v>105</v>
      </c>
      <c r="V4" s="108" t="s">
        <v>106</v>
      </c>
      <c r="W4" s="99" t="s">
        <v>68</v>
      </c>
      <c r="X4" s="104" t="s">
        <v>105</v>
      </c>
      <c r="Y4" s="108" t="s">
        <v>106</v>
      </c>
      <c r="Z4" s="104" t="s">
        <v>105</v>
      </c>
      <c r="AA4" s="108" t="s">
        <v>106</v>
      </c>
      <c r="AB4" s="99" t="s">
        <v>68</v>
      </c>
      <c r="AC4" s="104" t="s">
        <v>105</v>
      </c>
      <c r="AD4" s="108" t="s">
        <v>106</v>
      </c>
      <c r="AE4" s="104" t="s">
        <v>105</v>
      </c>
      <c r="AF4" s="108" t="s">
        <v>106</v>
      </c>
      <c r="AG4" s="99" t="s">
        <v>68</v>
      </c>
      <c r="AH4" s="104" t="s">
        <v>105</v>
      </c>
      <c r="AI4" s="108" t="s">
        <v>106</v>
      </c>
      <c r="AJ4" s="104" t="s">
        <v>105</v>
      </c>
      <c r="AK4" s="108" t="s">
        <v>106</v>
      </c>
      <c r="AL4" s="99" t="s">
        <v>68</v>
      </c>
      <c r="AM4" s="104" t="s">
        <v>105</v>
      </c>
      <c r="AN4" s="108" t="s">
        <v>106</v>
      </c>
      <c r="AO4" s="104" t="s">
        <v>105</v>
      </c>
      <c r="AP4" s="108" t="s">
        <v>106</v>
      </c>
      <c r="AQ4" s="99" t="s">
        <v>68</v>
      </c>
      <c r="AR4" s="104" t="s">
        <v>105</v>
      </c>
      <c r="AS4" s="108" t="s">
        <v>106</v>
      </c>
      <c r="AT4" s="104" t="s">
        <v>105</v>
      </c>
      <c r="AU4" s="108" t="s">
        <v>106</v>
      </c>
      <c r="AV4" s="99" t="s">
        <v>68</v>
      </c>
      <c r="AW4" s="104" t="s">
        <v>105</v>
      </c>
      <c r="AX4" s="108" t="s">
        <v>106</v>
      </c>
      <c r="AY4" s="104" t="s">
        <v>105</v>
      </c>
      <c r="AZ4" s="108" t="s">
        <v>106</v>
      </c>
    </row>
    <row r="5" spans="1:52" x14ac:dyDescent="0.3">
      <c r="A5" t="s">
        <v>144</v>
      </c>
      <c r="B5" s="25">
        <v>45627</v>
      </c>
      <c r="C5" s="25">
        <v>45658</v>
      </c>
      <c r="D5" s="24">
        <v>5.8399999141693097</v>
      </c>
      <c r="E5" s="2">
        <v>-1.1844320651454699E-2</v>
      </c>
      <c r="F5" s="2">
        <v>-9.73724724036934E-2</v>
      </c>
      <c r="G5" s="15">
        <v>-0.82191781213391302</v>
      </c>
      <c r="H5" s="16">
        <v>-0.63356162048701403</v>
      </c>
      <c r="I5" s="17">
        <v>0.131849354565378</v>
      </c>
      <c r="J5" s="18">
        <v>22</v>
      </c>
      <c r="K5" s="19">
        <v>-0.85719178019276299</v>
      </c>
      <c r="L5" s="18">
        <v>72</v>
      </c>
      <c r="M5" s="26">
        <v>21</v>
      </c>
      <c r="P5" s="28">
        <v>5</v>
      </c>
      <c r="Q5" s="28">
        <v>39</v>
      </c>
      <c r="R5" s="28">
        <v>49</v>
      </c>
      <c r="S5" s="98">
        <v>-0.23781676440433899</v>
      </c>
      <c r="T5" s="6">
        <v>49</v>
      </c>
      <c r="U5" s="41">
        <v>-0.32066280363511601</v>
      </c>
      <c r="V5" s="94">
        <v>50</v>
      </c>
      <c r="W5" s="64">
        <v>7</v>
      </c>
      <c r="X5" s="41">
        <v>-0.42001300699965299</v>
      </c>
      <c r="Y5" s="6">
        <v>999</v>
      </c>
      <c r="Z5" s="41">
        <v>-0.42001300699965299</v>
      </c>
      <c r="AA5" s="84">
        <v>999</v>
      </c>
      <c r="AB5" s="63">
        <v>39</v>
      </c>
      <c r="AC5" s="41">
        <v>-0.51400108365001496</v>
      </c>
      <c r="AD5" s="6">
        <v>999</v>
      </c>
      <c r="AE5" s="41">
        <v>-0.51400108365001496</v>
      </c>
      <c r="AF5" s="84">
        <v>999</v>
      </c>
      <c r="AG5" s="63">
        <v>49</v>
      </c>
      <c r="AH5" s="41">
        <v>-0.48833309421532101</v>
      </c>
      <c r="AI5" s="6">
        <v>999</v>
      </c>
      <c r="AJ5" s="41">
        <v>-0.48833309421532101</v>
      </c>
      <c r="AK5" s="84">
        <v>999</v>
      </c>
      <c r="AL5" s="95">
        <v>7</v>
      </c>
      <c r="AM5" s="41">
        <v>-0.42001300699965299</v>
      </c>
      <c r="AN5" s="6">
        <v>999</v>
      </c>
      <c r="AO5" s="41">
        <v>-0.42001300699965299</v>
      </c>
      <c r="AP5" s="84">
        <v>999</v>
      </c>
      <c r="AQ5" s="63">
        <v>39</v>
      </c>
      <c r="AR5" s="41">
        <v>-0.51400108365001496</v>
      </c>
      <c r="AS5" s="6">
        <v>999</v>
      </c>
      <c r="AT5" s="41">
        <v>-0.51400108365001496</v>
      </c>
      <c r="AU5" s="89">
        <v>999</v>
      </c>
      <c r="AV5" s="64">
        <v>49</v>
      </c>
      <c r="AW5" s="41">
        <v>-0.48833309421532101</v>
      </c>
      <c r="AX5" s="6">
        <v>999</v>
      </c>
      <c r="AY5" s="41">
        <v>-0.48833309421532101</v>
      </c>
      <c r="AZ5" s="94">
        <v>999</v>
      </c>
    </row>
    <row r="6" spans="1:52" x14ac:dyDescent="0.3">
      <c r="A6" t="s">
        <v>9</v>
      </c>
      <c r="B6" s="25">
        <v>45383</v>
      </c>
      <c r="C6" s="25">
        <v>45413</v>
      </c>
      <c r="D6" s="24">
        <v>22.309999465942301</v>
      </c>
      <c r="E6" s="2">
        <v>-0.51573693045956703</v>
      </c>
      <c r="F6" s="2">
        <v>-6.88647613346349E-2</v>
      </c>
      <c r="G6" s="15">
        <v>0.173913095517474</v>
      </c>
      <c r="H6" s="16">
        <v>-0.20528910951780599</v>
      </c>
      <c r="I6" s="17">
        <v>0.43836848591481498</v>
      </c>
      <c r="J6" s="18">
        <v>89</v>
      </c>
      <c r="K6" s="19">
        <v>-0.477364404906784</v>
      </c>
      <c r="L6" s="18">
        <v>101</v>
      </c>
      <c r="M6" s="26">
        <v>2</v>
      </c>
      <c r="N6" s="28">
        <v>2</v>
      </c>
      <c r="O6" s="87">
        <v>85</v>
      </c>
      <c r="P6" s="28">
        <v>66</v>
      </c>
      <c r="Q6" s="28">
        <v>92</v>
      </c>
      <c r="R6" s="28">
        <v>92</v>
      </c>
      <c r="S6" s="98">
        <v>-0.217904735746837</v>
      </c>
      <c r="T6" s="6">
        <v>65</v>
      </c>
      <c r="U6" s="41">
        <v>0.22247619628906201</v>
      </c>
      <c r="V6" s="94">
        <v>89</v>
      </c>
      <c r="W6" s="64">
        <v>66</v>
      </c>
      <c r="X6" s="41">
        <v>-4.5773856097228303E-2</v>
      </c>
      <c r="Y6" s="6">
        <v>999</v>
      </c>
      <c r="Z6" s="41">
        <v>-4.5773856097228303E-2</v>
      </c>
      <c r="AA6" s="84">
        <v>999</v>
      </c>
      <c r="AB6" s="63">
        <v>92</v>
      </c>
      <c r="AC6" s="41">
        <v>0.47257057825099302</v>
      </c>
      <c r="AD6" s="6">
        <v>147</v>
      </c>
      <c r="AE6" s="41">
        <v>0.47257057825099302</v>
      </c>
      <c r="AF6" s="84">
        <v>147</v>
      </c>
      <c r="AG6" s="63">
        <v>92</v>
      </c>
      <c r="AH6" s="41">
        <v>0.47257057825099302</v>
      </c>
      <c r="AI6" s="6">
        <v>147</v>
      </c>
      <c r="AJ6" s="41">
        <v>0.47257057825099302</v>
      </c>
      <c r="AK6" s="84">
        <v>147</v>
      </c>
      <c r="AL6" s="95">
        <v>7</v>
      </c>
      <c r="AM6" s="41">
        <v>0.22247619628906201</v>
      </c>
      <c r="AN6" s="6">
        <v>89</v>
      </c>
      <c r="AO6" s="41">
        <v>0.22247619628906201</v>
      </c>
      <c r="AP6" s="84">
        <v>89</v>
      </c>
      <c r="AQ6" s="63">
        <v>7</v>
      </c>
      <c r="AR6" s="41">
        <v>0.22247619628906201</v>
      </c>
      <c r="AS6" s="6">
        <v>89</v>
      </c>
      <c r="AT6" s="41">
        <v>0.22247619628906201</v>
      </c>
      <c r="AU6" s="89">
        <v>89</v>
      </c>
      <c r="AV6" s="64">
        <v>85</v>
      </c>
      <c r="AW6" s="41">
        <v>-0.42241370302972497</v>
      </c>
      <c r="AX6" s="6">
        <v>999</v>
      </c>
      <c r="AY6" s="41">
        <v>-0.42241370302972497</v>
      </c>
      <c r="AZ6" s="94">
        <v>999</v>
      </c>
    </row>
    <row r="7" spans="1:52" x14ac:dyDescent="0.3">
      <c r="A7" t="s">
        <v>159</v>
      </c>
      <c r="B7" s="25">
        <v>45383</v>
      </c>
      <c r="C7" s="25">
        <v>45413</v>
      </c>
      <c r="D7" s="24">
        <v>4.63000011444091</v>
      </c>
      <c r="E7" s="2">
        <v>-0.19055939086218199</v>
      </c>
      <c r="F7" s="2">
        <v>-0.167266157897422</v>
      </c>
      <c r="G7" s="15">
        <v>-0.336933076163971</v>
      </c>
      <c r="H7" s="16">
        <v>-0.37580992797596302</v>
      </c>
      <c r="I7" s="17">
        <v>0.37365010287529699</v>
      </c>
      <c r="J7" s="18">
        <v>11</v>
      </c>
      <c r="K7" s="19">
        <v>-0.49892011319681301</v>
      </c>
      <c r="L7" s="18">
        <v>100</v>
      </c>
      <c r="M7" s="26">
        <v>7</v>
      </c>
      <c r="N7" s="28">
        <v>7</v>
      </c>
      <c r="O7" s="87">
        <v>11</v>
      </c>
      <c r="P7" s="28">
        <v>46</v>
      </c>
      <c r="Q7" s="28">
        <v>71</v>
      </c>
      <c r="R7" s="28">
        <v>71</v>
      </c>
      <c r="S7" s="98">
        <v>-0.22183712548345799</v>
      </c>
      <c r="T7" s="6">
        <v>41</v>
      </c>
      <c r="U7" s="41">
        <v>-0.30502595456890502</v>
      </c>
      <c r="V7" s="94">
        <v>67</v>
      </c>
      <c r="W7" s="64">
        <v>46</v>
      </c>
      <c r="X7" s="41">
        <v>-0.230900514398035</v>
      </c>
      <c r="Y7" s="6">
        <v>999</v>
      </c>
      <c r="Z7" s="41">
        <v>-0.230900514398035</v>
      </c>
      <c r="AA7" s="84">
        <v>999</v>
      </c>
      <c r="AB7" s="63">
        <v>71</v>
      </c>
      <c r="AC7" s="41">
        <v>1.61812919494221E-2</v>
      </c>
      <c r="AD7" s="6">
        <v>147</v>
      </c>
      <c r="AE7" s="41">
        <v>1.61812919494221E-2</v>
      </c>
      <c r="AF7" s="84">
        <v>147</v>
      </c>
      <c r="AG7" s="63">
        <v>71</v>
      </c>
      <c r="AH7" s="41">
        <v>1.61812919494221E-2</v>
      </c>
      <c r="AI7" s="6">
        <v>147</v>
      </c>
      <c r="AJ7" s="41">
        <v>1.61812919494221E-2</v>
      </c>
      <c r="AK7" s="84">
        <v>147</v>
      </c>
      <c r="AL7" s="95">
        <v>7</v>
      </c>
      <c r="AM7" s="41">
        <v>-0.34142114046529098</v>
      </c>
      <c r="AN7" s="6">
        <v>999</v>
      </c>
      <c r="AO7" s="41">
        <v>-0.34142114046529098</v>
      </c>
      <c r="AP7" s="84">
        <v>999</v>
      </c>
      <c r="AQ7" s="63">
        <v>7</v>
      </c>
      <c r="AR7" s="41">
        <v>-0.34142114046529098</v>
      </c>
      <c r="AS7" s="6">
        <v>999</v>
      </c>
      <c r="AT7" s="41">
        <v>-0.34142114046529098</v>
      </c>
      <c r="AU7" s="89">
        <v>999</v>
      </c>
      <c r="AV7" s="64">
        <v>11</v>
      </c>
      <c r="AW7" s="41">
        <v>-0.41169138629572299</v>
      </c>
      <c r="AX7" s="6">
        <v>999</v>
      </c>
      <c r="AY7" s="41">
        <v>-0.41169138629572299</v>
      </c>
      <c r="AZ7" s="94">
        <v>999</v>
      </c>
    </row>
    <row r="8" spans="1:52" x14ac:dyDescent="0.3">
      <c r="A8" t="s">
        <v>50</v>
      </c>
      <c r="B8" s="25">
        <v>45536</v>
      </c>
      <c r="C8" s="25">
        <v>45566</v>
      </c>
      <c r="D8" s="24">
        <v>4.0199999809265101</v>
      </c>
      <c r="E8" s="2">
        <v>-0.496871076835596</v>
      </c>
      <c r="F8" s="2">
        <v>-0.20238095012832</v>
      </c>
      <c r="G8" s="15">
        <v>-5.7213935364367099E-2</v>
      </c>
      <c r="H8" s="16">
        <v>-0.82587064890539097</v>
      </c>
      <c r="I8" s="17">
        <v>0.25373133974279899</v>
      </c>
      <c r="J8" s="18">
        <v>26</v>
      </c>
      <c r="K8" s="19">
        <v>-0.83830846287508298</v>
      </c>
      <c r="L8" s="18">
        <v>133</v>
      </c>
      <c r="M8" s="26">
        <v>11</v>
      </c>
      <c r="N8" s="28">
        <v>26</v>
      </c>
      <c r="P8" s="28">
        <v>36</v>
      </c>
      <c r="Q8" s="28">
        <v>82</v>
      </c>
      <c r="R8" s="28">
        <v>82</v>
      </c>
      <c r="S8" s="98">
        <v>0.19714962379700501</v>
      </c>
      <c r="T8" s="6">
        <v>26</v>
      </c>
      <c r="U8" s="41">
        <v>0.19714962379700501</v>
      </c>
      <c r="V8" s="94">
        <v>26</v>
      </c>
      <c r="W8" s="64">
        <v>36</v>
      </c>
      <c r="X8" s="41">
        <v>-0.32112153737577798</v>
      </c>
      <c r="Y8" s="6">
        <v>999</v>
      </c>
      <c r="Z8" s="41">
        <v>-0.32112153737577798</v>
      </c>
      <c r="AA8" s="84">
        <v>999</v>
      </c>
      <c r="AB8" s="63">
        <v>82</v>
      </c>
      <c r="AC8" s="41">
        <v>-0.38657843778892398</v>
      </c>
      <c r="AD8" s="6">
        <v>999</v>
      </c>
      <c r="AE8" s="41">
        <v>-0.38657843778892398</v>
      </c>
      <c r="AF8" s="84">
        <v>999</v>
      </c>
      <c r="AG8" s="63">
        <v>82</v>
      </c>
      <c r="AH8" s="41">
        <v>-0.38657843778892398</v>
      </c>
      <c r="AI8" s="6">
        <v>999</v>
      </c>
      <c r="AJ8" s="41">
        <v>-0.38657843778892398</v>
      </c>
      <c r="AK8" s="84">
        <v>999</v>
      </c>
      <c r="AL8" s="95">
        <v>11</v>
      </c>
      <c r="AM8" s="41">
        <v>-0.39365079289390897</v>
      </c>
      <c r="AN8" s="6">
        <v>999</v>
      </c>
      <c r="AO8" s="41">
        <v>-0.39365079289390897</v>
      </c>
      <c r="AP8" s="84">
        <v>999</v>
      </c>
      <c r="AQ8" s="63">
        <v>26</v>
      </c>
      <c r="AR8" s="41">
        <v>-0.49349205943131802</v>
      </c>
      <c r="AS8" s="6">
        <v>999</v>
      </c>
      <c r="AT8" s="41">
        <v>-0.49349205943131802</v>
      </c>
      <c r="AU8" s="89">
        <v>999</v>
      </c>
      <c r="AV8" s="64">
        <v>82</v>
      </c>
      <c r="AW8" s="41">
        <v>-0.38657843778892398</v>
      </c>
      <c r="AX8" s="6">
        <v>999</v>
      </c>
      <c r="AY8" s="41">
        <v>-0.38657843778892398</v>
      </c>
      <c r="AZ8" s="94">
        <v>999</v>
      </c>
    </row>
    <row r="9" spans="1:52" x14ac:dyDescent="0.3">
      <c r="A9" t="s">
        <v>26</v>
      </c>
      <c r="B9" s="25">
        <v>45444</v>
      </c>
      <c r="C9" s="25">
        <v>45474</v>
      </c>
      <c r="D9" s="24">
        <v>5.75</v>
      </c>
      <c r="E9" s="2">
        <v>-0.717027581366669</v>
      </c>
      <c r="F9" s="2">
        <v>-0.107142865076039</v>
      </c>
      <c r="G9" s="15">
        <v>2.0869545314623001E-2</v>
      </c>
      <c r="H9" s="16">
        <v>-0.39826086293096102</v>
      </c>
      <c r="I9" s="17">
        <v>0.44347829404084499</v>
      </c>
      <c r="J9" s="18">
        <v>20</v>
      </c>
      <c r="K9" s="19">
        <v>-0.39826086293096102</v>
      </c>
      <c r="L9" s="18">
        <v>150</v>
      </c>
      <c r="M9" s="26">
        <v>8</v>
      </c>
      <c r="N9" s="28">
        <v>9</v>
      </c>
      <c r="O9" s="87">
        <v>10</v>
      </c>
      <c r="P9" s="28">
        <v>28</v>
      </c>
      <c r="Q9" s="28">
        <v>28</v>
      </c>
      <c r="R9" s="28">
        <v>31</v>
      </c>
      <c r="S9" s="98">
        <v>-0.28184712130455902</v>
      </c>
      <c r="T9" s="6">
        <v>28</v>
      </c>
      <c r="U9" s="41">
        <v>-0.353503215423707</v>
      </c>
      <c r="V9" s="94">
        <v>29</v>
      </c>
      <c r="W9" s="64">
        <v>28</v>
      </c>
      <c r="X9" s="41">
        <v>0.34368062865531002</v>
      </c>
      <c r="Y9" s="6">
        <v>72</v>
      </c>
      <c r="Z9" s="41">
        <v>0.34368062865531002</v>
      </c>
      <c r="AA9" s="84">
        <v>72</v>
      </c>
      <c r="AB9" s="63">
        <v>28</v>
      </c>
      <c r="AC9" s="41">
        <v>0.34368062865531002</v>
      </c>
      <c r="AD9" s="6">
        <v>72</v>
      </c>
      <c r="AE9" s="41">
        <v>0.34368062865531002</v>
      </c>
      <c r="AF9" s="84">
        <v>72</v>
      </c>
      <c r="AG9" s="63">
        <v>31</v>
      </c>
      <c r="AH9" s="41">
        <v>0.53807102912954496</v>
      </c>
      <c r="AI9" s="6">
        <v>72</v>
      </c>
      <c r="AJ9" s="41">
        <v>0.53807102912954496</v>
      </c>
      <c r="AK9" s="84">
        <v>72</v>
      </c>
      <c r="AL9" s="95">
        <v>8</v>
      </c>
      <c r="AM9" s="41">
        <v>-0.25849732874795101</v>
      </c>
      <c r="AN9" s="6">
        <v>999</v>
      </c>
      <c r="AO9" s="41">
        <v>-0.25849732874795101</v>
      </c>
      <c r="AP9" s="84">
        <v>999</v>
      </c>
      <c r="AQ9" s="63">
        <v>9</v>
      </c>
      <c r="AR9" s="41">
        <v>-0.26881981934576199</v>
      </c>
      <c r="AS9" s="6">
        <v>999</v>
      </c>
      <c r="AT9" s="41">
        <v>-0.26881981934576199</v>
      </c>
      <c r="AU9" s="89">
        <v>999</v>
      </c>
      <c r="AV9" s="64">
        <v>10</v>
      </c>
      <c r="AW9" s="41">
        <v>-0.34166735976509399</v>
      </c>
      <c r="AX9" s="6">
        <v>999</v>
      </c>
      <c r="AY9" s="41">
        <v>-0.34166735976509399</v>
      </c>
      <c r="AZ9" s="94">
        <v>999</v>
      </c>
    </row>
    <row r="10" spans="1:52" x14ac:dyDescent="0.3">
      <c r="A10" t="s">
        <v>117</v>
      </c>
      <c r="B10" s="25">
        <v>45689</v>
      </c>
      <c r="C10" s="25">
        <v>45717</v>
      </c>
      <c r="D10" s="24">
        <v>25.929999351501401</v>
      </c>
      <c r="E10" s="2">
        <v>-0.458211470521939</v>
      </c>
      <c r="F10" s="2">
        <v>-0.31691254012416398</v>
      </c>
      <c r="G10" s="15">
        <v>-6.4404132833999705E-2</v>
      </c>
      <c r="I10" s="17">
        <v>0.31315079400836499</v>
      </c>
      <c r="J10" s="18">
        <v>30</v>
      </c>
      <c r="K10" s="19">
        <v>-0.172387210907121</v>
      </c>
      <c r="L10" s="18">
        <v>109</v>
      </c>
      <c r="M10" s="26">
        <v>4</v>
      </c>
      <c r="N10" s="28">
        <v>11</v>
      </c>
      <c r="O10" s="87">
        <v>30</v>
      </c>
      <c r="P10" s="28">
        <v>95</v>
      </c>
      <c r="S10" s="98">
        <v>0.148010769124514</v>
      </c>
      <c r="T10" s="6">
        <v>30</v>
      </c>
      <c r="U10" s="41">
        <v>0.148010769124514</v>
      </c>
      <c r="V10" s="94">
        <v>30</v>
      </c>
      <c r="W10" s="97">
        <v>95</v>
      </c>
      <c r="X10" s="41">
        <v>0.41103751093778101</v>
      </c>
      <c r="Y10" s="6">
        <v>125</v>
      </c>
      <c r="Z10" s="41">
        <v>0.41103751093778101</v>
      </c>
      <c r="AA10" s="84">
        <v>125</v>
      </c>
      <c r="AB10" s="91"/>
      <c r="AG10" s="91"/>
      <c r="AL10" s="93">
        <v>7</v>
      </c>
      <c r="AM10" s="41">
        <v>-5.9468846785589197E-2</v>
      </c>
      <c r="AN10" s="6">
        <v>999</v>
      </c>
      <c r="AO10" s="41">
        <v>-5.9468846785589197E-2</v>
      </c>
      <c r="AP10" s="84">
        <v>999</v>
      </c>
      <c r="AQ10" s="91">
        <v>11</v>
      </c>
      <c r="AR10" s="41">
        <v>-0.13084951745492701</v>
      </c>
      <c r="AS10" s="6">
        <v>999</v>
      </c>
      <c r="AT10" s="41">
        <v>-0.13084951745492701</v>
      </c>
      <c r="AU10" s="89">
        <v>999</v>
      </c>
      <c r="AV10" s="97">
        <v>30</v>
      </c>
      <c r="AW10" s="41">
        <v>-0.199047562518959</v>
      </c>
      <c r="AX10" s="6">
        <v>999</v>
      </c>
      <c r="AY10" s="41">
        <v>-0.199047562518959</v>
      </c>
      <c r="AZ10" s="94">
        <v>999</v>
      </c>
    </row>
    <row r="11" spans="1:52" x14ac:dyDescent="0.3">
      <c r="A11" t="s">
        <v>124</v>
      </c>
      <c r="B11" s="25">
        <v>45566</v>
      </c>
      <c r="C11" s="25">
        <v>45597</v>
      </c>
      <c r="D11" s="24">
        <v>35.689998626708899</v>
      </c>
      <c r="E11" s="2">
        <v>-0.17403380275622199</v>
      </c>
      <c r="F11" s="2">
        <v>-0.11570866979731401</v>
      </c>
      <c r="G11" s="15">
        <v>0.24040353491730701</v>
      </c>
      <c r="H11" s="16">
        <v>6.1361796740651599E-2</v>
      </c>
      <c r="I11" s="17">
        <v>0.49873924731498798</v>
      </c>
      <c r="J11" s="18">
        <v>70</v>
      </c>
      <c r="K11" s="19">
        <v>-0.112636556601227</v>
      </c>
      <c r="L11" s="18">
        <v>104</v>
      </c>
      <c r="M11" s="26">
        <v>5</v>
      </c>
      <c r="N11" s="28">
        <v>6</v>
      </c>
      <c r="O11" s="87">
        <v>69</v>
      </c>
      <c r="P11" s="28">
        <v>104</v>
      </c>
      <c r="S11" s="98">
        <v>0.28242634506265002</v>
      </c>
      <c r="T11" s="6">
        <v>70</v>
      </c>
      <c r="U11" s="41">
        <v>0.28242634506265002</v>
      </c>
      <c r="V11" s="94">
        <v>70</v>
      </c>
      <c r="W11" s="97">
        <v>104</v>
      </c>
      <c r="X11" s="41">
        <v>0.20776760050061999</v>
      </c>
      <c r="Y11" s="6">
        <v>131</v>
      </c>
      <c r="Z11" s="41">
        <v>0.20776760050061999</v>
      </c>
      <c r="AA11" s="84">
        <v>131</v>
      </c>
      <c r="AB11" s="91"/>
      <c r="AG11" s="91"/>
      <c r="AL11" s="93">
        <v>7</v>
      </c>
      <c r="AM11" s="41">
        <v>0.28242634506265002</v>
      </c>
      <c r="AN11" s="6">
        <v>70</v>
      </c>
      <c r="AO11" s="41">
        <v>0.28242634506265002</v>
      </c>
      <c r="AP11" s="84">
        <v>70</v>
      </c>
      <c r="AQ11" s="91">
        <v>7</v>
      </c>
      <c r="AR11" s="41">
        <v>0.28242634506265002</v>
      </c>
      <c r="AS11" s="6">
        <v>70</v>
      </c>
      <c r="AT11" s="41">
        <v>0.28242634506265002</v>
      </c>
      <c r="AU11" s="89">
        <v>70</v>
      </c>
      <c r="AV11" s="97">
        <v>69</v>
      </c>
      <c r="AW11" s="41">
        <v>-0.19618525963143199</v>
      </c>
      <c r="AX11" s="6">
        <v>999</v>
      </c>
      <c r="AY11" s="41">
        <v>-0.19618525963143199</v>
      </c>
      <c r="AZ11" s="94">
        <v>999</v>
      </c>
    </row>
    <row r="12" spans="1:52" x14ac:dyDescent="0.3">
      <c r="A12" t="s">
        <v>135</v>
      </c>
      <c r="B12" s="25">
        <v>45413</v>
      </c>
      <c r="C12" s="25">
        <v>45444</v>
      </c>
      <c r="D12" s="24">
        <v>9.8099999427795392</v>
      </c>
      <c r="E12" s="2">
        <v>6.7464677987545796E-2</v>
      </c>
      <c r="F12" s="2">
        <v>8.7583087020345105E-2</v>
      </c>
      <c r="G12" s="15">
        <v>0.27319060590934802</v>
      </c>
      <c r="H12" s="16">
        <v>-2.85423253253368E-2</v>
      </c>
      <c r="I12" s="17">
        <v>0.353720673846249</v>
      </c>
      <c r="J12" s="18">
        <v>109</v>
      </c>
      <c r="K12" s="19">
        <v>-0.115188546808858</v>
      </c>
      <c r="L12" s="18">
        <v>45</v>
      </c>
      <c r="M12" s="26">
        <v>51</v>
      </c>
      <c r="N12" s="28">
        <v>73</v>
      </c>
      <c r="O12" s="87">
        <v>109</v>
      </c>
      <c r="P12" s="28">
        <v>44</v>
      </c>
      <c r="S12" s="98">
        <v>0.30451859870959802</v>
      </c>
      <c r="T12" s="6">
        <v>109</v>
      </c>
      <c r="U12" s="41">
        <v>0.30451859870959802</v>
      </c>
      <c r="V12" s="94">
        <v>109</v>
      </c>
      <c r="W12" s="64">
        <v>44</v>
      </c>
      <c r="X12" s="41">
        <v>0.51945081015399097</v>
      </c>
      <c r="Y12" s="6">
        <v>109</v>
      </c>
      <c r="Z12" s="41">
        <v>0.51945081015399097</v>
      </c>
      <c r="AA12" s="84">
        <v>109</v>
      </c>
      <c r="AL12" s="95">
        <v>44</v>
      </c>
      <c r="AM12" s="41">
        <v>0.51945081015399097</v>
      </c>
      <c r="AN12" s="6">
        <v>109</v>
      </c>
      <c r="AO12" s="41">
        <v>0.51945081015399097</v>
      </c>
      <c r="AP12" s="84">
        <v>109</v>
      </c>
      <c r="AQ12" s="63">
        <v>73</v>
      </c>
      <c r="AR12" s="41">
        <v>6.0702815289135501E-2</v>
      </c>
      <c r="AS12" s="6">
        <v>109</v>
      </c>
      <c r="AT12" s="41">
        <v>6.0702815289135501E-2</v>
      </c>
      <c r="AU12" s="89">
        <v>109</v>
      </c>
      <c r="AV12" s="64">
        <v>109</v>
      </c>
      <c r="AW12" s="41">
        <v>-0.193147574616339</v>
      </c>
      <c r="AX12" s="6">
        <v>999</v>
      </c>
      <c r="AY12" s="41">
        <v>-0.193147574616339</v>
      </c>
      <c r="AZ12" s="94">
        <v>999</v>
      </c>
    </row>
    <row r="13" spans="1:52" x14ac:dyDescent="0.3">
      <c r="A13" t="s">
        <v>148</v>
      </c>
      <c r="B13" s="25">
        <v>45627</v>
      </c>
      <c r="C13" s="25">
        <v>45658</v>
      </c>
      <c r="D13" s="24">
        <v>6.8300001621246302</v>
      </c>
      <c r="E13" s="2">
        <v>5.8910457284730901E-3</v>
      </c>
      <c r="F13" s="2">
        <v>-8.5675990099404895E-2</v>
      </c>
      <c r="G13" s="15">
        <v>-0.43631042265818398</v>
      </c>
      <c r="H13" s="16">
        <v>-0.40995605942200702</v>
      </c>
      <c r="I13" s="17">
        <v>0.23426063031796901</v>
      </c>
      <c r="J13" s="18">
        <v>17</v>
      </c>
      <c r="K13" s="19">
        <v>-0.55929723001252096</v>
      </c>
      <c r="L13" s="18">
        <v>84</v>
      </c>
      <c r="M13" s="26">
        <v>17</v>
      </c>
      <c r="N13" s="28">
        <v>17</v>
      </c>
      <c r="P13" s="28">
        <v>7</v>
      </c>
      <c r="Q13" s="28">
        <v>58</v>
      </c>
      <c r="R13" s="28">
        <v>62</v>
      </c>
      <c r="S13" s="98">
        <v>-0.28827361879726199</v>
      </c>
      <c r="T13" s="6">
        <v>62</v>
      </c>
      <c r="U13" s="41">
        <v>-0.34039083407130399</v>
      </c>
      <c r="V13" s="94">
        <v>63</v>
      </c>
      <c r="W13" s="64">
        <v>7</v>
      </c>
      <c r="X13" s="41">
        <v>-0.22221089183849599</v>
      </c>
      <c r="Y13" s="6">
        <v>999</v>
      </c>
      <c r="Z13" s="41">
        <v>-0.22221089183849599</v>
      </c>
      <c r="AA13" s="84">
        <v>999</v>
      </c>
      <c r="AB13" s="63">
        <v>58</v>
      </c>
      <c r="AC13" s="41">
        <v>-0.30169367888306697</v>
      </c>
      <c r="AD13" s="6">
        <v>999</v>
      </c>
      <c r="AE13" s="41">
        <v>-0.30169367888306697</v>
      </c>
      <c r="AF13" s="84">
        <v>999</v>
      </c>
      <c r="AG13" s="63">
        <v>62</v>
      </c>
      <c r="AH13" s="41">
        <v>-0.15455220801577199</v>
      </c>
      <c r="AI13" s="6">
        <v>999</v>
      </c>
      <c r="AJ13" s="41">
        <v>-0.15455220801577199</v>
      </c>
      <c r="AK13" s="84">
        <v>999</v>
      </c>
      <c r="AL13" s="95">
        <v>7</v>
      </c>
      <c r="AM13" s="41">
        <v>-0.22221089183849599</v>
      </c>
      <c r="AN13" s="6">
        <v>999</v>
      </c>
      <c r="AO13" s="41">
        <v>-0.22221089183849599</v>
      </c>
      <c r="AP13" s="84">
        <v>999</v>
      </c>
      <c r="AQ13" s="63">
        <v>17</v>
      </c>
      <c r="AR13" s="41">
        <v>-0.44584906409332797</v>
      </c>
      <c r="AS13" s="6">
        <v>999</v>
      </c>
      <c r="AT13" s="41">
        <v>-0.44584906409332797</v>
      </c>
      <c r="AU13" s="89">
        <v>999</v>
      </c>
      <c r="AV13" s="64">
        <v>62</v>
      </c>
      <c r="AW13" s="41">
        <v>-0.15455220801577199</v>
      </c>
      <c r="AX13" s="6">
        <v>999</v>
      </c>
      <c r="AY13" s="41">
        <v>-0.15455220801577199</v>
      </c>
      <c r="AZ13" s="94">
        <v>999</v>
      </c>
    </row>
    <row r="14" spans="1:52" x14ac:dyDescent="0.3">
      <c r="A14" t="s">
        <v>96</v>
      </c>
      <c r="B14" s="25">
        <v>45627</v>
      </c>
      <c r="C14" s="25">
        <v>45658</v>
      </c>
      <c r="D14" s="24">
        <v>13.494999885559</v>
      </c>
      <c r="E14" s="2">
        <v>-0.18655818195071</v>
      </c>
      <c r="F14" s="2">
        <v>-0.155506866574633</v>
      </c>
      <c r="G14" s="15">
        <v>-0.11004073132792901</v>
      </c>
      <c r="H14" s="16">
        <v>0.156724697225186</v>
      </c>
      <c r="I14" s="17">
        <v>0.58873662214702405</v>
      </c>
      <c r="J14" s="18">
        <v>121</v>
      </c>
      <c r="K14" s="19">
        <v>-0.14042234310184501</v>
      </c>
      <c r="L14" s="18">
        <v>74</v>
      </c>
      <c r="M14" s="26">
        <v>4</v>
      </c>
      <c r="N14" s="28">
        <v>12</v>
      </c>
      <c r="O14" s="87">
        <v>114</v>
      </c>
      <c r="P14" s="28">
        <v>65</v>
      </c>
      <c r="S14" s="98">
        <v>-0.215003347122113</v>
      </c>
      <c r="T14" s="6">
        <v>65</v>
      </c>
      <c r="U14" s="41">
        <v>0.43603483562053302</v>
      </c>
      <c r="V14" s="94">
        <v>121</v>
      </c>
      <c r="W14" s="64">
        <v>65</v>
      </c>
      <c r="X14" s="41">
        <v>0.82935153972423603</v>
      </c>
      <c r="Y14" s="6">
        <v>121</v>
      </c>
      <c r="Z14" s="41">
        <v>0.82935153972423603</v>
      </c>
      <c r="AA14" s="84">
        <v>121</v>
      </c>
      <c r="AL14" s="95">
        <v>7</v>
      </c>
      <c r="AM14" s="41">
        <v>0.43603483562053302</v>
      </c>
      <c r="AN14" s="6">
        <v>121</v>
      </c>
      <c r="AO14" s="41">
        <v>0.43603483562053302</v>
      </c>
      <c r="AP14" s="84">
        <v>121</v>
      </c>
      <c r="AQ14" s="63">
        <v>12</v>
      </c>
      <c r="AR14" s="41">
        <v>0.31857320001599998</v>
      </c>
      <c r="AS14" s="6">
        <v>121</v>
      </c>
      <c r="AT14" s="41">
        <v>0.31857320001599998</v>
      </c>
      <c r="AU14" s="89">
        <v>121</v>
      </c>
      <c r="AV14" s="64">
        <v>114</v>
      </c>
      <c r="AW14" s="41">
        <v>-0.13794297257051499</v>
      </c>
      <c r="AX14" s="6">
        <v>999</v>
      </c>
      <c r="AY14" s="41">
        <v>-0.13794297257051499</v>
      </c>
      <c r="AZ14" s="94">
        <v>999</v>
      </c>
    </row>
    <row r="15" spans="1:52" x14ac:dyDescent="0.3">
      <c r="A15" t="s">
        <v>142</v>
      </c>
      <c r="B15" s="25">
        <v>45627</v>
      </c>
      <c r="C15" s="25">
        <v>45658</v>
      </c>
      <c r="D15" s="24">
        <v>7.46000003814697</v>
      </c>
      <c r="E15" s="2">
        <v>0.35883430767931901</v>
      </c>
      <c r="F15" s="2">
        <v>8.1081002711205202E-3</v>
      </c>
      <c r="G15" s="15">
        <v>-0.146112620243181</v>
      </c>
      <c r="H15" s="16">
        <v>-0.38739944392861603</v>
      </c>
      <c r="I15" s="17">
        <v>9.5174267361442605E-2</v>
      </c>
      <c r="J15" s="18">
        <v>16</v>
      </c>
      <c r="K15" s="19">
        <v>-0.49195711226907102</v>
      </c>
      <c r="L15" s="18">
        <v>144</v>
      </c>
      <c r="P15" s="28">
        <v>56</v>
      </c>
      <c r="Q15" s="28">
        <v>85</v>
      </c>
      <c r="R15" s="28">
        <v>112</v>
      </c>
      <c r="S15" s="98">
        <v>-0.20618561008731701</v>
      </c>
      <c r="T15" s="6">
        <v>73</v>
      </c>
      <c r="U15" s="41">
        <v>-0.30154640252182902</v>
      </c>
      <c r="V15" s="94">
        <v>110</v>
      </c>
      <c r="W15" s="64">
        <v>56</v>
      </c>
      <c r="X15" s="41">
        <v>-0.16449759536987599</v>
      </c>
      <c r="Y15" s="6">
        <v>999</v>
      </c>
      <c r="Z15" s="41">
        <v>-0.16449759536987599</v>
      </c>
      <c r="AA15" s="84">
        <v>999</v>
      </c>
      <c r="AB15" s="63">
        <v>85</v>
      </c>
      <c r="AC15" s="41">
        <v>-8.7004382695289401E-2</v>
      </c>
      <c r="AD15" s="6">
        <v>999</v>
      </c>
      <c r="AE15" s="41">
        <v>-8.7004382695289401E-2</v>
      </c>
      <c r="AF15" s="84">
        <v>999</v>
      </c>
      <c r="AG15" s="63">
        <v>112</v>
      </c>
      <c r="AH15" s="41">
        <v>-0.126965245191067</v>
      </c>
      <c r="AI15" s="6">
        <v>999</v>
      </c>
      <c r="AJ15" s="41">
        <v>-0.126965245191067</v>
      </c>
      <c r="AK15" s="84">
        <v>999</v>
      </c>
      <c r="AL15" s="95">
        <v>56</v>
      </c>
      <c r="AM15" s="41">
        <v>-0.16449759536987599</v>
      </c>
      <c r="AN15" s="6">
        <v>999</v>
      </c>
      <c r="AO15" s="41">
        <v>-0.16449759536987599</v>
      </c>
      <c r="AP15" s="84">
        <v>999</v>
      </c>
      <c r="AQ15" s="63">
        <v>85</v>
      </c>
      <c r="AR15" s="41">
        <v>-8.7004382695289401E-2</v>
      </c>
      <c r="AS15" s="6">
        <v>999</v>
      </c>
      <c r="AT15" s="41">
        <v>-8.7004382695289401E-2</v>
      </c>
      <c r="AU15" s="89">
        <v>999</v>
      </c>
      <c r="AV15" s="64">
        <v>112</v>
      </c>
      <c r="AW15" s="41">
        <v>-0.126965245191067</v>
      </c>
      <c r="AX15" s="6">
        <v>999</v>
      </c>
      <c r="AY15" s="41">
        <v>-0.126965245191067</v>
      </c>
      <c r="AZ15" s="94">
        <v>999</v>
      </c>
    </row>
    <row r="16" spans="1:52" x14ac:dyDescent="0.3">
      <c r="A16" t="s">
        <v>56</v>
      </c>
      <c r="B16" s="25">
        <v>45536</v>
      </c>
      <c r="C16" s="25">
        <v>45566</v>
      </c>
      <c r="D16" s="24">
        <v>7.71000003814697</v>
      </c>
      <c r="E16" s="2">
        <v>-0.29005522266232298</v>
      </c>
      <c r="F16" s="2">
        <v>-7.4429758852055494E-2</v>
      </c>
      <c r="G16" s="15">
        <v>1.94552651913453E-2</v>
      </c>
      <c r="H16" s="16">
        <v>-0.44617380547344698</v>
      </c>
      <c r="I16" s="17">
        <v>0.16212710685023801</v>
      </c>
      <c r="J16" s="18">
        <v>53</v>
      </c>
      <c r="K16" s="19">
        <v>-0.50194553888845095</v>
      </c>
      <c r="L16" s="18">
        <v>148</v>
      </c>
      <c r="M16" s="26">
        <v>49</v>
      </c>
      <c r="P16" s="28">
        <v>33</v>
      </c>
      <c r="Q16" s="28">
        <v>98</v>
      </c>
      <c r="R16" s="28">
        <v>109</v>
      </c>
      <c r="S16" s="98">
        <v>0.272727285042281</v>
      </c>
      <c r="T16" s="6">
        <v>53</v>
      </c>
      <c r="U16" s="45">
        <v>0.272727285042281</v>
      </c>
      <c r="V16" s="94">
        <v>53</v>
      </c>
      <c r="W16" s="64">
        <v>33</v>
      </c>
      <c r="X16" s="41">
        <v>-4.4537634531502501E-2</v>
      </c>
      <c r="Y16" s="6">
        <v>999</v>
      </c>
      <c r="Z16" s="45">
        <v>-4.4537634531502501E-2</v>
      </c>
      <c r="AA16" s="84">
        <v>999</v>
      </c>
      <c r="AB16" s="63">
        <v>98</v>
      </c>
      <c r="AC16" s="41">
        <v>-0.166574165166333</v>
      </c>
      <c r="AD16" s="6">
        <v>999</v>
      </c>
      <c r="AE16" s="45">
        <v>-0.166574165166333</v>
      </c>
      <c r="AF16" s="84">
        <v>999</v>
      </c>
      <c r="AG16" s="63">
        <v>109</v>
      </c>
      <c r="AH16" s="41">
        <v>-7.4939236205676898E-2</v>
      </c>
      <c r="AI16" s="6">
        <v>999</v>
      </c>
      <c r="AJ16" s="45">
        <v>-7.4939236205676898E-2</v>
      </c>
      <c r="AK16" s="84">
        <v>999</v>
      </c>
      <c r="AL16" s="95">
        <v>33</v>
      </c>
      <c r="AM16" s="41">
        <v>-4.4537634531502501E-2</v>
      </c>
      <c r="AN16" s="6">
        <v>999</v>
      </c>
      <c r="AO16" s="45">
        <v>-4.4537634531502501E-2</v>
      </c>
      <c r="AP16" s="84">
        <v>999</v>
      </c>
      <c r="AQ16" s="63">
        <v>98</v>
      </c>
      <c r="AR16" s="41">
        <v>-0.166574165166333</v>
      </c>
      <c r="AS16" s="6">
        <v>999</v>
      </c>
      <c r="AT16" s="45">
        <v>-0.166574165166333</v>
      </c>
      <c r="AU16" s="89">
        <v>999</v>
      </c>
      <c r="AV16" s="64">
        <v>109</v>
      </c>
      <c r="AW16" s="41">
        <v>-7.4939236205676898E-2</v>
      </c>
      <c r="AX16" s="6">
        <v>999</v>
      </c>
      <c r="AY16" s="45">
        <v>-7.4939236205676898E-2</v>
      </c>
      <c r="AZ16" s="94">
        <v>999</v>
      </c>
    </row>
    <row r="17" spans="1:52" x14ac:dyDescent="0.3">
      <c r="A17" t="s">
        <v>137</v>
      </c>
      <c r="B17" s="25">
        <v>45778</v>
      </c>
      <c r="C17" s="25">
        <v>45809</v>
      </c>
      <c r="D17" s="24">
        <v>18.695527076721099</v>
      </c>
      <c r="E17" s="2">
        <v>-0.44056723478762699</v>
      </c>
      <c r="F17" s="2">
        <v>-0.15312909721073201</v>
      </c>
      <c r="I17" s="17">
        <v>0.39864110214811099</v>
      </c>
      <c r="J17" s="18">
        <v>50</v>
      </c>
      <c r="K17" s="19">
        <v>0</v>
      </c>
      <c r="L17" s="18">
        <v>0</v>
      </c>
      <c r="M17" s="26">
        <v>5</v>
      </c>
      <c r="N17" s="28">
        <v>22</v>
      </c>
      <c r="O17" s="87">
        <v>50</v>
      </c>
      <c r="S17" s="98">
        <v>0.223570602868326</v>
      </c>
      <c r="T17" s="6">
        <v>50</v>
      </c>
      <c r="U17" s="41">
        <v>0.223570602868326</v>
      </c>
      <c r="V17" s="94">
        <v>50</v>
      </c>
      <c r="AL17" s="95">
        <v>7</v>
      </c>
      <c r="AM17" s="41">
        <v>0.223570602868326</v>
      </c>
      <c r="AN17" s="6">
        <v>50</v>
      </c>
      <c r="AO17" s="41">
        <v>0.223570602868326</v>
      </c>
      <c r="AP17" s="84">
        <v>50</v>
      </c>
      <c r="AQ17" s="63">
        <v>22</v>
      </c>
      <c r="AR17" s="41">
        <v>0.162043204751497</v>
      </c>
      <c r="AS17" s="6">
        <v>50</v>
      </c>
      <c r="AT17" s="41">
        <v>0.162043204751497</v>
      </c>
      <c r="AU17" s="89">
        <v>50</v>
      </c>
      <c r="AV17" s="64">
        <v>50</v>
      </c>
      <c r="AW17" s="41">
        <v>-4.1260563330796703E-2</v>
      </c>
      <c r="AX17" s="6">
        <v>999</v>
      </c>
      <c r="AY17" s="41">
        <v>-4.1260563330796703E-2</v>
      </c>
      <c r="AZ17" s="94">
        <v>999</v>
      </c>
    </row>
    <row r="18" spans="1:52" x14ac:dyDescent="0.3">
      <c r="A18" t="s">
        <v>78</v>
      </c>
      <c r="B18" s="25">
        <v>45383</v>
      </c>
      <c r="C18" s="25">
        <v>45413</v>
      </c>
      <c r="D18" s="24">
        <v>16.440000534057599</v>
      </c>
      <c r="E18" s="2">
        <v>-0.30309451344983901</v>
      </c>
      <c r="F18" s="2">
        <v>-7.5885346374064605E-2</v>
      </c>
      <c r="G18" s="15">
        <v>0.21836983187139999</v>
      </c>
      <c r="H18" s="16">
        <v>0.33272500825183399</v>
      </c>
      <c r="I18" s="17">
        <v>0.35888074372671902</v>
      </c>
      <c r="J18" s="18">
        <v>148</v>
      </c>
      <c r="K18" s="19">
        <v>-0.110097345548562</v>
      </c>
      <c r="L18" s="18">
        <v>20</v>
      </c>
      <c r="M18" s="26">
        <v>29</v>
      </c>
      <c r="N18" s="28">
        <v>34</v>
      </c>
      <c r="O18" s="87">
        <v>135</v>
      </c>
      <c r="P18" s="28">
        <v>20</v>
      </c>
      <c r="S18" s="98">
        <v>0.38930349866811798</v>
      </c>
      <c r="T18" s="6">
        <v>148</v>
      </c>
      <c r="U18" s="41">
        <v>0.38930349866811798</v>
      </c>
      <c r="V18" s="94">
        <v>148</v>
      </c>
      <c r="W18" s="64">
        <v>20</v>
      </c>
      <c r="X18" s="41">
        <v>0.52699931495807795</v>
      </c>
      <c r="Y18" s="6">
        <v>148</v>
      </c>
      <c r="Z18" s="41">
        <v>0.52699931495807795</v>
      </c>
      <c r="AA18" s="84">
        <v>148</v>
      </c>
      <c r="AL18" s="95">
        <v>20</v>
      </c>
      <c r="AM18" s="41">
        <v>0.52699931495807795</v>
      </c>
      <c r="AN18" s="6">
        <v>148</v>
      </c>
      <c r="AO18" s="41">
        <v>0.52699931495807795</v>
      </c>
      <c r="AP18" s="84">
        <v>148</v>
      </c>
      <c r="AQ18" s="63">
        <v>34</v>
      </c>
      <c r="AR18" s="41">
        <v>0.114770415767719</v>
      </c>
      <c r="AS18" s="6">
        <v>148</v>
      </c>
      <c r="AT18" s="41">
        <v>0.114770415767719</v>
      </c>
      <c r="AU18" s="89">
        <v>148</v>
      </c>
      <c r="AV18" s="64">
        <v>135</v>
      </c>
      <c r="AW18" s="41">
        <v>-2.3444785934216301E-2</v>
      </c>
      <c r="AX18" s="6">
        <v>999</v>
      </c>
      <c r="AY18" s="41">
        <v>-2.3444785934216301E-2</v>
      </c>
      <c r="AZ18" s="94">
        <v>999</v>
      </c>
    </row>
    <row r="19" spans="1:52" x14ac:dyDescent="0.3">
      <c r="A19" t="s">
        <v>15</v>
      </c>
      <c r="B19" s="25">
        <v>45413</v>
      </c>
      <c r="C19" s="25">
        <v>45444</v>
      </c>
      <c r="D19" s="24">
        <v>5.7379131317138601</v>
      </c>
      <c r="E19" s="2">
        <v>-4.4902672869801902E-2</v>
      </c>
      <c r="F19" s="2">
        <v>0.285115293012488</v>
      </c>
      <c r="G19" s="15">
        <v>-0.19482923852157899</v>
      </c>
      <c r="H19" s="16">
        <v>-0.353423456754419</v>
      </c>
      <c r="I19" s="17">
        <v>0.14501562168107801</v>
      </c>
      <c r="J19" s="18">
        <v>103</v>
      </c>
      <c r="K19" s="19">
        <v>-0.46844786905909902</v>
      </c>
      <c r="L19" s="18">
        <v>129</v>
      </c>
      <c r="M19" s="26">
        <v>103</v>
      </c>
      <c r="P19" s="28">
        <v>19</v>
      </c>
      <c r="Q19" s="28">
        <v>66</v>
      </c>
      <c r="R19" s="28">
        <v>121</v>
      </c>
      <c r="S19" s="98">
        <v>-0.212543542584753</v>
      </c>
      <c r="T19" s="6">
        <v>67</v>
      </c>
      <c r="U19" s="41">
        <v>0.18862243550685301</v>
      </c>
      <c r="V19" s="94">
        <v>103</v>
      </c>
      <c r="W19" s="97">
        <v>19</v>
      </c>
      <c r="X19" s="41">
        <v>0.29956040541887702</v>
      </c>
      <c r="Y19" s="6">
        <v>103</v>
      </c>
      <c r="Z19" s="41">
        <v>0.29956040541887702</v>
      </c>
      <c r="AA19" s="84">
        <v>103</v>
      </c>
      <c r="AB19" s="91">
        <v>66</v>
      </c>
      <c r="AC19" s="41">
        <v>0.43333866654238601</v>
      </c>
      <c r="AD19" s="6">
        <v>103</v>
      </c>
      <c r="AE19" s="41">
        <v>0.43333866654238601</v>
      </c>
      <c r="AF19" s="84">
        <v>103</v>
      </c>
      <c r="AG19" s="91">
        <v>121</v>
      </c>
      <c r="AH19" s="41">
        <v>-1.1753928301733701E-2</v>
      </c>
      <c r="AI19" s="6">
        <v>999</v>
      </c>
      <c r="AJ19" s="41">
        <v>-1.1753928301733701E-2</v>
      </c>
      <c r="AK19" s="84">
        <v>999</v>
      </c>
      <c r="AL19" s="93">
        <v>19</v>
      </c>
      <c r="AM19" s="41">
        <v>0.29956040541887702</v>
      </c>
      <c r="AN19" s="6">
        <v>103</v>
      </c>
      <c r="AO19" s="41">
        <v>0.29956040541887702</v>
      </c>
      <c r="AP19" s="84">
        <v>103</v>
      </c>
      <c r="AQ19" s="91">
        <v>66</v>
      </c>
      <c r="AR19" s="41">
        <v>0.43333866654238601</v>
      </c>
      <c r="AS19" s="6">
        <v>103</v>
      </c>
      <c r="AT19" s="41">
        <v>0.43333866654238601</v>
      </c>
      <c r="AU19" s="89">
        <v>103</v>
      </c>
      <c r="AV19" s="97">
        <v>121</v>
      </c>
      <c r="AW19" s="41">
        <v>-1.1753928301733701E-2</v>
      </c>
      <c r="AX19" s="6">
        <v>999</v>
      </c>
      <c r="AY19" s="41">
        <v>-1.1753928301733701E-2</v>
      </c>
      <c r="AZ19" s="94">
        <v>999</v>
      </c>
    </row>
    <row r="20" spans="1:52" x14ac:dyDescent="0.3">
      <c r="A20" t="s">
        <v>150</v>
      </c>
      <c r="B20" s="25">
        <v>45689</v>
      </c>
      <c r="C20" s="25">
        <v>45717</v>
      </c>
      <c r="D20" s="24">
        <v>25.402003288269</v>
      </c>
      <c r="E20" s="2">
        <v>0.18747234826430501</v>
      </c>
      <c r="F20" s="2">
        <v>-8.3541580778572905E-2</v>
      </c>
      <c r="G20" s="15">
        <v>0.26572756176609702</v>
      </c>
      <c r="I20" s="17">
        <v>0.38296183452344801</v>
      </c>
      <c r="J20" s="18">
        <v>136</v>
      </c>
      <c r="K20" s="19">
        <v>-5.5035170349404999E-2</v>
      </c>
      <c r="L20" s="18">
        <v>8</v>
      </c>
      <c r="M20" s="26">
        <v>43</v>
      </c>
      <c r="N20" s="28">
        <v>43</v>
      </c>
      <c r="O20" s="87">
        <v>62</v>
      </c>
      <c r="S20" s="98">
        <v>0.45568949654327501</v>
      </c>
      <c r="T20" s="6">
        <v>136</v>
      </c>
      <c r="U20" s="41">
        <v>0.45568949654327501</v>
      </c>
      <c r="V20" s="94">
        <v>136</v>
      </c>
      <c r="AL20" s="95">
        <v>43</v>
      </c>
      <c r="AM20" s="41">
        <v>0.14925344729460599</v>
      </c>
      <c r="AN20" s="6">
        <v>136</v>
      </c>
      <c r="AO20" s="41">
        <v>0.14925344729460599</v>
      </c>
      <c r="AP20" s="84">
        <v>136</v>
      </c>
      <c r="AQ20" s="63">
        <v>43</v>
      </c>
      <c r="AR20" s="41">
        <v>0.14925344729460599</v>
      </c>
      <c r="AS20" s="6">
        <v>136</v>
      </c>
      <c r="AT20" s="41">
        <v>0.14925344729460599</v>
      </c>
      <c r="AU20" s="89">
        <v>136</v>
      </c>
      <c r="AV20" s="64">
        <v>62</v>
      </c>
      <c r="AW20" s="41">
        <v>3.6771183424844499E-2</v>
      </c>
      <c r="AX20" s="6">
        <v>136</v>
      </c>
      <c r="AY20" s="41">
        <v>3.6771183424844499E-2</v>
      </c>
      <c r="AZ20" s="94">
        <v>136</v>
      </c>
    </row>
    <row r="21" spans="1:52" x14ac:dyDescent="0.3">
      <c r="A21" t="s">
        <v>162</v>
      </c>
      <c r="B21" s="25">
        <v>45597</v>
      </c>
      <c r="C21" s="25">
        <v>45627</v>
      </c>
      <c r="D21" s="24">
        <v>213.88501739501899</v>
      </c>
      <c r="E21" s="2">
        <v>2.45178741805735</v>
      </c>
      <c r="F21" s="2">
        <v>0.18515481442957801</v>
      </c>
      <c r="G21" s="15">
        <v>-0.138034903411484</v>
      </c>
      <c r="H21" s="16">
        <v>-0.35736193796914101</v>
      </c>
      <c r="I21" s="17">
        <v>2.05448411353545E-2</v>
      </c>
      <c r="J21" s="18">
        <v>7</v>
      </c>
      <c r="K21" s="19">
        <v>-0.38968208878990002</v>
      </c>
      <c r="L21" s="18">
        <v>94</v>
      </c>
      <c r="P21" s="28">
        <v>35</v>
      </c>
      <c r="Q21" s="28">
        <v>65</v>
      </c>
      <c r="R21" s="28">
        <v>84</v>
      </c>
      <c r="S21" s="98">
        <v>-0.30600240514796401</v>
      </c>
      <c r="T21" s="6">
        <v>65</v>
      </c>
      <c r="U21" s="41">
        <v>-0.30600240514796401</v>
      </c>
      <c r="V21" s="94">
        <v>65</v>
      </c>
      <c r="W21" s="64">
        <v>35</v>
      </c>
      <c r="X21" s="41">
        <v>-0.172826987477007</v>
      </c>
      <c r="Y21" s="6">
        <v>999</v>
      </c>
      <c r="Z21" s="41">
        <v>-0.172826987477007</v>
      </c>
      <c r="AA21" s="84">
        <v>999</v>
      </c>
      <c r="AB21" s="63">
        <v>65</v>
      </c>
      <c r="AC21" s="41">
        <v>-3.1961536327422997E-2</v>
      </c>
      <c r="AD21" s="6">
        <v>999</v>
      </c>
      <c r="AE21" s="41">
        <v>-3.1961536327422997E-2</v>
      </c>
      <c r="AF21" s="84">
        <v>999</v>
      </c>
      <c r="AG21" s="63">
        <v>84</v>
      </c>
      <c r="AH21" s="41">
        <v>3.8177953797602797E-2</v>
      </c>
      <c r="AI21" s="6">
        <v>999</v>
      </c>
      <c r="AJ21" s="41">
        <v>3.8177953797602797E-2</v>
      </c>
      <c r="AK21" s="84">
        <v>999</v>
      </c>
      <c r="AL21" s="95">
        <v>35</v>
      </c>
      <c r="AM21" s="41">
        <v>-0.172826987477007</v>
      </c>
      <c r="AN21" s="6">
        <v>999</v>
      </c>
      <c r="AO21" s="41">
        <v>-0.172826987477007</v>
      </c>
      <c r="AP21" s="84">
        <v>999</v>
      </c>
      <c r="AQ21" s="63">
        <v>65</v>
      </c>
      <c r="AR21" s="41">
        <v>-3.1961536327422997E-2</v>
      </c>
      <c r="AS21" s="6">
        <v>999</v>
      </c>
      <c r="AT21" s="41">
        <v>-3.1961536327422997E-2</v>
      </c>
      <c r="AU21" s="89">
        <v>999</v>
      </c>
      <c r="AV21" s="64">
        <v>84</v>
      </c>
      <c r="AW21" s="41">
        <v>3.8177953797602797E-2</v>
      </c>
      <c r="AX21" s="6">
        <v>999</v>
      </c>
      <c r="AY21" s="41">
        <v>3.8177953797602797E-2</v>
      </c>
      <c r="AZ21" s="94">
        <v>999</v>
      </c>
    </row>
    <row r="22" spans="1:52" x14ac:dyDescent="0.3">
      <c r="A22" t="s">
        <v>141</v>
      </c>
      <c r="B22" s="25">
        <v>45748</v>
      </c>
      <c r="C22" s="25">
        <v>45778</v>
      </c>
      <c r="D22" s="24">
        <v>46.491283416747997</v>
      </c>
      <c r="E22" s="2">
        <v>-0.26485105215587301</v>
      </c>
      <c r="F22" s="2">
        <v>-0.21778068881371601</v>
      </c>
      <c r="G22" s="15">
        <v>0.28561734727744797</v>
      </c>
      <c r="I22" s="17">
        <v>0.44500205991247799</v>
      </c>
      <c r="J22" s="18">
        <v>91</v>
      </c>
      <c r="K22" s="19">
        <v>0</v>
      </c>
      <c r="L22" s="18">
        <v>0</v>
      </c>
      <c r="M22" s="26">
        <v>7</v>
      </c>
      <c r="N22" s="28">
        <v>42</v>
      </c>
      <c r="O22" s="87">
        <v>70</v>
      </c>
      <c r="S22" s="98">
        <v>0.2608010668979</v>
      </c>
      <c r="T22" s="6">
        <v>91</v>
      </c>
      <c r="U22" s="41">
        <v>0.2608010668979</v>
      </c>
      <c r="V22" s="94">
        <v>91</v>
      </c>
      <c r="AL22" s="95">
        <v>7</v>
      </c>
      <c r="AM22" s="41">
        <v>0.2608010668979</v>
      </c>
      <c r="AN22" s="6">
        <v>91</v>
      </c>
      <c r="AO22" s="41">
        <v>0.2608010668979</v>
      </c>
      <c r="AP22" s="84">
        <v>91</v>
      </c>
      <c r="AQ22" s="63">
        <v>42</v>
      </c>
      <c r="AR22" s="41">
        <v>0.19443772421352401</v>
      </c>
      <c r="AS22" s="6">
        <v>91</v>
      </c>
      <c r="AT22" s="41">
        <v>0.19443772421352401</v>
      </c>
      <c r="AU22" s="89">
        <v>91</v>
      </c>
      <c r="AV22" s="64">
        <v>70</v>
      </c>
      <c r="AW22" s="41">
        <v>4.1924483412678203E-2</v>
      </c>
      <c r="AX22" s="6">
        <v>999</v>
      </c>
      <c r="AY22" s="41">
        <v>4.1924483412678203E-2</v>
      </c>
      <c r="AZ22" s="94">
        <v>999</v>
      </c>
    </row>
    <row r="23" spans="1:52" x14ac:dyDescent="0.3">
      <c r="A23" t="s">
        <v>133</v>
      </c>
      <c r="B23" s="25">
        <v>45474</v>
      </c>
      <c r="C23" s="25">
        <v>45505</v>
      </c>
      <c r="D23" s="24">
        <v>61.305965423583899</v>
      </c>
      <c r="E23" s="2">
        <v>0.26075941204380099</v>
      </c>
      <c r="F23" s="2">
        <v>0.14497927978903399</v>
      </c>
      <c r="G23" s="15">
        <v>-0.14716161560914301</v>
      </c>
      <c r="H23" s="16">
        <v>-0.34012364265526601</v>
      </c>
      <c r="I23" s="17">
        <v>4.4605650018720099E-2</v>
      </c>
      <c r="J23" s="18">
        <v>63</v>
      </c>
      <c r="K23" s="19">
        <v>-0.45184873789052499</v>
      </c>
      <c r="L23" s="18">
        <v>130</v>
      </c>
      <c r="P23" s="28">
        <v>72</v>
      </c>
      <c r="Q23" s="28">
        <v>97</v>
      </c>
      <c r="R23" s="28">
        <v>128</v>
      </c>
      <c r="S23" s="98">
        <v>0.12673795937236501</v>
      </c>
      <c r="T23" s="6">
        <v>63</v>
      </c>
      <c r="U23" s="41">
        <v>0.12673795937236501</v>
      </c>
      <c r="V23" s="94">
        <v>63</v>
      </c>
      <c r="W23" s="64">
        <v>72</v>
      </c>
      <c r="X23" s="41">
        <v>-0.111778385878053</v>
      </c>
      <c r="Y23" s="6">
        <v>999</v>
      </c>
      <c r="Z23" s="41">
        <v>-0.111778385878053</v>
      </c>
      <c r="AA23" s="84">
        <v>999</v>
      </c>
      <c r="AB23" s="63">
        <v>97</v>
      </c>
      <c r="AC23" s="41">
        <v>0.161944837472314</v>
      </c>
      <c r="AD23" s="6">
        <v>124</v>
      </c>
      <c r="AE23" s="41">
        <v>0.161944837472314</v>
      </c>
      <c r="AF23" s="84">
        <v>124</v>
      </c>
      <c r="AG23" s="63">
        <v>128</v>
      </c>
      <c r="AH23" s="41">
        <v>4.5185067614350802E-2</v>
      </c>
      <c r="AI23" s="6">
        <v>999</v>
      </c>
      <c r="AJ23" s="41">
        <v>4.5185067614350802E-2</v>
      </c>
      <c r="AK23" s="84">
        <v>999</v>
      </c>
      <c r="AL23" s="95">
        <v>72</v>
      </c>
      <c r="AM23" s="41">
        <v>-0.111778385878053</v>
      </c>
      <c r="AN23" s="6">
        <v>999</v>
      </c>
      <c r="AO23" s="41">
        <v>-0.111778385878053</v>
      </c>
      <c r="AP23" s="84">
        <v>999</v>
      </c>
      <c r="AQ23" s="63">
        <v>97</v>
      </c>
      <c r="AR23" s="41">
        <v>0.161944837472314</v>
      </c>
      <c r="AS23" s="6">
        <v>124</v>
      </c>
      <c r="AT23" s="41">
        <v>0.161944837472314</v>
      </c>
      <c r="AU23" s="89">
        <v>124</v>
      </c>
      <c r="AV23" s="64">
        <v>128</v>
      </c>
      <c r="AW23" s="41">
        <v>4.5185067614350802E-2</v>
      </c>
      <c r="AX23" s="6">
        <v>999</v>
      </c>
      <c r="AY23" s="41">
        <v>4.5185067614350802E-2</v>
      </c>
      <c r="AZ23" s="94">
        <v>999</v>
      </c>
    </row>
    <row r="24" spans="1:52" x14ac:dyDescent="0.3">
      <c r="A24" t="s">
        <v>76</v>
      </c>
      <c r="B24" s="25">
        <v>45383</v>
      </c>
      <c r="C24" s="25">
        <v>45413</v>
      </c>
      <c r="D24" s="24">
        <v>3.8199999332427899</v>
      </c>
      <c r="E24" s="2">
        <v>-0.101176486295812</v>
      </c>
      <c r="F24" s="2">
        <v>-4.9751255878767602E-2</v>
      </c>
      <c r="G24" s="15">
        <v>-0.22513086652485101</v>
      </c>
      <c r="H24" s="16">
        <v>-0.40837695550828301</v>
      </c>
      <c r="I24" s="17">
        <v>2.61780483766282E-2</v>
      </c>
      <c r="J24" s="18">
        <v>3</v>
      </c>
      <c r="K24" s="19">
        <v>-0.46335078844463701</v>
      </c>
      <c r="L24" s="18">
        <v>140</v>
      </c>
      <c r="P24" s="28">
        <v>8</v>
      </c>
      <c r="Q24" s="28">
        <v>25</v>
      </c>
      <c r="R24" s="28">
        <v>99</v>
      </c>
      <c r="S24" s="98">
        <v>-0.20679887393485799</v>
      </c>
      <c r="T24" s="6">
        <v>27</v>
      </c>
      <c r="U24" s="41">
        <v>2.8328585111345702E-3</v>
      </c>
      <c r="V24" s="94">
        <v>51</v>
      </c>
      <c r="W24" s="64">
        <v>8</v>
      </c>
      <c r="X24" s="41">
        <v>4.4247744043386099E-2</v>
      </c>
      <c r="Y24" s="6">
        <v>51</v>
      </c>
      <c r="Z24" s="41">
        <v>4.4247744043386099E-2</v>
      </c>
      <c r="AA24" s="84">
        <v>51</v>
      </c>
      <c r="AB24" s="63">
        <v>25</v>
      </c>
      <c r="AC24" s="41">
        <v>0.187919442682973</v>
      </c>
      <c r="AD24" s="6">
        <v>51</v>
      </c>
      <c r="AE24" s="41">
        <v>0.187919442682973</v>
      </c>
      <c r="AF24" s="84">
        <v>51</v>
      </c>
      <c r="AG24" s="63">
        <v>99</v>
      </c>
      <c r="AH24" s="41">
        <v>6.8181750449269801E-2</v>
      </c>
      <c r="AI24" s="6">
        <v>131</v>
      </c>
      <c r="AJ24" s="41">
        <v>6.8181750449269801E-2</v>
      </c>
      <c r="AK24" s="84">
        <v>131</v>
      </c>
      <c r="AL24" s="95">
        <v>8</v>
      </c>
      <c r="AM24" s="41">
        <v>4.4247744043386099E-2</v>
      </c>
      <c r="AN24" s="6">
        <v>51</v>
      </c>
      <c r="AO24" s="41">
        <v>4.4247744043386099E-2</v>
      </c>
      <c r="AP24" s="84">
        <v>51</v>
      </c>
      <c r="AQ24" s="63">
        <v>25</v>
      </c>
      <c r="AR24" s="41">
        <v>0.187919442682973</v>
      </c>
      <c r="AS24" s="6">
        <v>51</v>
      </c>
      <c r="AT24" s="41">
        <v>0.187919442682973</v>
      </c>
      <c r="AU24" s="89">
        <v>51</v>
      </c>
      <c r="AV24" s="64">
        <v>99</v>
      </c>
      <c r="AW24" s="41">
        <v>6.8181750449269801E-2</v>
      </c>
      <c r="AX24" s="6">
        <v>131</v>
      </c>
      <c r="AY24" s="41">
        <v>6.8181750449269801E-2</v>
      </c>
      <c r="AZ24" s="94">
        <v>131</v>
      </c>
    </row>
    <row r="25" spans="1:52" x14ac:dyDescent="0.3">
      <c r="A25" t="s">
        <v>112</v>
      </c>
      <c r="B25" s="25">
        <v>45839</v>
      </c>
      <c r="C25" s="25">
        <v>45870</v>
      </c>
      <c r="D25" s="24">
        <v>5.63000011444091</v>
      </c>
      <c r="E25" s="2">
        <v>-0.424923377285153</v>
      </c>
      <c r="F25" s="2">
        <v>-0.10492843424718699</v>
      </c>
      <c r="I25" s="17">
        <v>0.48490221789408</v>
      </c>
      <c r="J25" s="18">
        <v>30</v>
      </c>
      <c r="K25" s="19">
        <v>0</v>
      </c>
      <c r="L25" s="18">
        <v>0</v>
      </c>
      <c r="M25" s="26">
        <v>5</v>
      </c>
      <c r="N25" s="28">
        <v>6</v>
      </c>
      <c r="O25" s="87">
        <v>23</v>
      </c>
      <c r="S25" s="98">
        <v>0.22222214476329599</v>
      </c>
      <c r="T25" s="6">
        <v>30</v>
      </c>
      <c r="U25" s="41">
        <v>0.22222214476329599</v>
      </c>
      <c r="V25" s="94">
        <v>30</v>
      </c>
      <c r="W25" s="97"/>
      <c r="AB25" s="91"/>
      <c r="AG25" s="91"/>
      <c r="AL25" s="93">
        <v>7</v>
      </c>
      <c r="AM25" s="41">
        <v>7.5146168711117498E-2</v>
      </c>
      <c r="AN25" s="6">
        <v>999</v>
      </c>
      <c r="AO25" s="41">
        <v>7.5146168711117498E-2</v>
      </c>
      <c r="AP25" s="84">
        <v>999</v>
      </c>
      <c r="AQ25" s="91">
        <v>7</v>
      </c>
      <c r="AR25" s="41">
        <v>7.5146168711117498E-2</v>
      </c>
      <c r="AS25" s="6">
        <v>999</v>
      </c>
      <c r="AT25" s="41">
        <v>7.5146168711117498E-2</v>
      </c>
      <c r="AU25" s="89">
        <v>999</v>
      </c>
      <c r="AV25" s="97">
        <v>23</v>
      </c>
      <c r="AW25" s="41">
        <v>7.0652141245354502E-2</v>
      </c>
      <c r="AX25" s="6">
        <v>999</v>
      </c>
      <c r="AY25" s="41">
        <v>7.0652141245354502E-2</v>
      </c>
      <c r="AZ25" s="94">
        <v>999</v>
      </c>
    </row>
    <row r="26" spans="1:52" x14ac:dyDescent="0.3">
      <c r="A26" t="s">
        <v>161</v>
      </c>
      <c r="B26" s="25">
        <v>45474</v>
      </c>
      <c r="C26" s="25">
        <v>45505</v>
      </c>
      <c r="D26" s="24">
        <v>145.96000671386699</v>
      </c>
      <c r="E26" s="2">
        <v>-0.139386783837847</v>
      </c>
      <c r="F26" s="2">
        <v>-7.3505059450100399E-2</v>
      </c>
      <c r="G26" s="15">
        <v>0.216908652692685</v>
      </c>
      <c r="H26" s="16">
        <v>0.38346110843660602</v>
      </c>
      <c r="I26" s="17">
        <v>0.48246091346784598</v>
      </c>
      <c r="J26" s="18">
        <v>136</v>
      </c>
      <c r="K26" s="19">
        <v>-7.0498822085517596E-2</v>
      </c>
      <c r="L26" s="18">
        <v>4</v>
      </c>
      <c r="M26" s="26">
        <v>18</v>
      </c>
      <c r="N26" s="28">
        <v>69</v>
      </c>
      <c r="O26" s="87">
        <v>88</v>
      </c>
      <c r="S26" s="98">
        <v>0.46907471482099899</v>
      </c>
      <c r="T26" s="6">
        <v>136</v>
      </c>
      <c r="U26" s="41">
        <v>0.46907471482099899</v>
      </c>
      <c r="V26" s="94">
        <v>136</v>
      </c>
      <c r="AL26" s="95">
        <v>18</v>
      </c>
      <c r="AM26" s="41">
        <v>0.34581419657701201</v>
      </c>
      <c r="AN26" s="6">
        <v>136</v>
      </c>
      <c r="AO26" s="41">
        <v>0.34581419657701201</v>
      </c>
      <c r="AP26" s="84">
        <v>136</v>
      </c>
      <c r="AQ26" s="63">
        <v>69</v>
      </c>
      <c r="AR26" s="41">
        <v>0.20767989671340301</v>
      </c>
      <c r="AS26" s="6">
        <v>136</v>
      </c>
      <c r="AT26" s="41">
        <v>0.20767989671340301</v>
      </c>
      <c r="AU26" s="89">
        <v>136</v>
      </c>
      <c r="AV26" s="64">
        <v>88</v>
      </c>
      <c r="AW26" s="41">
        <v>0.138662349485771</v>
      </c>
      <c r="AX26" s="6">
        <v>136</v>
      </c>
      <c r="AY26" s="41">
        <v>0.138662349485771</v>
      </c>
      <c r="AZ26" s="94">
        <v>136</v>
      </c>
    </row>
    <row r="27" spans="1:52" x14ac:dyDescent="0.3">
      <c r="A27" t="s">
        <v>58</v>
      </c>
      <c r="B27" s="25">
        <v>45627</v>
      </c>
      <c r="C27" s="25">
        <v>45658</v>
      </c>
      <c r="D27" s="24">
        <v>7.1649999618530202</v>
      </c>
      <c r="E27" s="2">
        <v>-0.17071762996047199</v>
      </c>
      <c r="F27" s="2">
        <v>-0.21177119454578</v>
      </c>
      <c r="G27" s="15">
        <v>-0.23656666862326201</v>
      </c>
      <c r="H27" s="16">
        <v>-0.51430564722941297</v>
      </c>
      <c r="I27" s="17">
        <v>0.12909981795668199</v>
      </c>
      <c r="J27" s="18">
        <v>25</v>
      </c>
      <c r="K27" s="19">
        <v>-0.51430564722941297</v>
      </c>
      <c r="L27" s="18">
        <v>150</v>
      </c>
      <c r="M27" s="26">
        <v>22</v>
      </c>
      <c r="P27" s="28">
        <v>36</v>
      </c>
      <c r="Q27" s="28">
        <v>36</v>
      </c>
      <c r="R27" s="28">
        <v>87</v>
      </c>
      <c r="S27" s="98">
        <v>-0.22814814249674401</v>
      </c>
      <c r="T27" s="6">
        <v>63</v>
      </c>
      <c r="U27" s="41">
        <v>-0.354074054294162</v>
      </c>
      <c r="V27" s="94">
        <v>87</v>
      </c>
      <c r="W27" s="64">
        <v>36</v>
      </c>
      <c r="X27" s="41">
        <v>0.13957596875452799</v>
      </c>
      <c r="Y27" s="6">
        <v>104</v>
      </c>
      <c r="Z27" s="41">
        <v>0.13957596875452799</v>
      </c>
      <c r="AA27" s="84">
        <v>104</v>
      </c>
      <c r="AB27" s="63">
        <v>36</v>
      </c>
      <c r="AC27" s="41">
        <v>0.13957596875452799</v>
      </c>
      <c r="AD27" s="6">
        <v>104</v>
      </c>
      <c r="AE27" s="41">
        <v>0.13957596875452799</v>
      </c>
      <c r="AF27" s="84">
        <v>104</v>
      </c>
      <c r="AG27" s="63">
        <v>87</v>
      </c>
      <c r="AH27" s="41">
        <v>0.1573967477041</v>
      </c>
      <c r="AI27" s="6">
        <v>999</v>
      </c>
      <c r="AJ27" s="41">
        <v>0.1573967477041</v>
      </c>
      <c r="AK27" s="84">
        <v>999</v>
      </c>
      <c r="AL27" s="95">
        <v>22</v>
      </c>
      <c r="AM27" s="41">
        <v>-0.30417128308814001</v>
      </c>
      <c r="AN27" s="6">
        <v>999</v>
      </c>
      <c r="AO27" s="41">
        <v>-0.30417128308814001</v>
      </c>
      <c r="AP27" s="84">
        <v>999</v>
      </c>
      <c r="AQ27" s="63">
        <v>36</v>
      </c>
      <c r="AR27" s="41">
        <v>0.13957596875452799</v>
      </c>
      <c r="AS27" s="6">
        <v>104</v>
      </c>
      <c r="AT27" s="41">
        <v>0.13957596875452799</v>
      </c>
      <c r="AU27" s="89">
        <v>104</v>
      </c>
      <c r="AV27" s="64">
        <v>87</v>
      </c>
      <c r="AW27" s="41">
        <v>0.1573967477041</v>
      </c>
      <c r="AX27" s="6">
        <v>999</v>
      </c>
      <c r="AY27" s="41">
        <v>0.1573967477041</v>
      </c>
      <c r="AZ27" s="94">
        <v>999</v>
      </c>
    </row>
    <row r="28" spans="1:52" x14ac:dyDescent="0.3">
      <c r="A28" t="s">
        <v>146</v>
      </c>
      <c r="B28" s="25">
        <v>45717</v>
      </c>
      <c r="C28" s="25">
        <v>45748</v>
      </c>
      <c r="D28" s="24">
        <v>8.3900003433227504</v>
      </c>
      <c r="E28" s="2">
        <v>-0.43653457690582498</v>
      </c>
      <c r="F28" s="2">
        <v>-0.18543687495561401</v>
      </c>
      <c r="G28" s="15">
        <v>-0.43027413418253901</v>
      </c>
      <c r="I28" s="17">
        <v>2.3837878555548399E-2</v>
      </c>
      <c r="J28" s="18">
        <v>1</v>
      </c>
      <c r="K28" s="19">
        <v>-0.476758082616836</v>
      </c>
      <c r="L28" s="18">
        <v>12</v>
      </c>
      <c r="P28" s="28">
        <v>5</v>
      </c>
      <c r="Q28" s="28">
        <v>6</v>
      </c>
      <c r="R28" s="28">
        <v>6</v>
      </c>
      <c r="S28" s="98">
        <v>-0.22024870741560501</v>
      </c>
      <c r="T28" s="6">
        <v>12</v>
      </c>
      <c r="U28" s="41">
        <v>0.17406749540906599</v>
      </c>
      <c r="V28" s="94">
        <v>32</v>
      </c>
      <c r="W28" s="64">
        <v>7</v>
      </c>
      <c r="X28" s="41">
        <v>0.17406749540906599</v>
      </c>
      <c r="Y28" s="6">
        <v>32</v>
      </c>
      <c r="Z28" s="41">
        <v>0.17406749540906599</v>
      </c>
      <c r="AA28" s="84">
        <v>32</v>
      </c>
      <c r="AB28" s="63">
        <v>7</v>
      </c>
      <c r="AC28" s="41">
        <v>0.17406749540906599</v>
      </c>
      <c r="AD28" s="6">
        <v>32</v>
      </c>
      <c r="AE28" s="41">
        <v>0.17406749540906599</v>
      </c>
      <c r="AF28" s="84">
        <v>32</v>
      </c>
      <c r="AG28" s="63">
        <v>7</v>
      </c>
      <c r="AH28" s="41">
        <v>0.17406749540906599</v>
      </c>
      <c r="AI28" s="6">
        <v>32</v>
      </c>
      <c r="AJ28" s="41">
        <v>0.17406749540906599</v>
      </c>
      <c r="AK28" s="84">
        <v>32</v>
      </c>
      <c r="AL28" s="95">
        <v>7</v>
      </c>
      <c r="AM28" s="41">
        <v>0.17406749540906599</v>
      </c>
      <c r="AN28" s="6">
        <v>32</v>
      </c>
      <c r="AO28" s="41">
        <v>0.17406749540906599</v>
      </c>
      <c r="AP28" s="84">
        <v>32</v>
      </c>
      <c r="AQ28" s="63">
        <v>7</v>
      </c>
      <c r="AR28" s="41">
        <v>0.17406749540906599</v>
      </c>
      <c r="AS28" s="6">
        <v>32</v>
      </c>
      <c r="AT28" s="41">
        <v>0.17406749540906599</v>
      </c>
      <c r="AU28" s="89">
        <v>32</v>
      </c>
      <c r="AV28" s="64">
        <v>7</v>
      </c>
      <c r="AW28" s="41">
        <v>0.17406749540906599</v>
      </c>
      <c r="AX28" s="6">
        <v>32</v>
      </c>
      <c r="AY28" s="41">
        <v>0.17406749540906599</v>
      </c>
      <c r="AZ28" s="94">
        <v>32</v>
      </c>
    </row>
    <row r="29" spans="1:52" x14ac:dyDescent="0.3">
      <c r="A29" t="s">
        <v>57</v>
      </c>
      <c r="B29" s="25">
        <v>45413</v>
      </c>
      <c r="C29" s="25">
        <v>45444</v>
      </c>
      <c r="D29" s="24">
        <v>13.0976634025573</v>
      </c>
      <c r="E29" s="2">
        <v>-0.24786364596244101</v>
      </c>
      <c r="F29" s="2">
        <v>7.3296410322136504E-2</v>
      </c>
      <c r="G29" s="15">
        <v>0.39321025123571002</v>
      </c>
      <c r="H29" s="16">
        <v>0.61816754758327597</v>
      </c>
      <c r="I29" s="17">
        <v>0.694687424991692</v>
      </c>
      <c r="J29" s="18">
        <v>137</v>
      </c>
      <c r="K29" s="19">
        <v>-5.3156476980621002E-2</v>
      </c>
      <c r="L29" s="18">
        <v>25</v>
      </c>
      <c r="M29" s="26">
        <v>30</v>
      </c>
      <c r="N29" s="28">
        <v>30</v>
      </c>
      <c r="O29" s="87">
        <v>45</v>
      </c>
      <c r="S29" s="98">
        <v>0.65234882242780101</v>
      </c>
      <c r="T29" s="6">
        <v>137</v>
      </c>
      <c r="U29" s="41">
        <v>0.65234882242780101</v>
      </c>
      <c r="V29" s="94">
        <v>137</v>
      </c>
      <c r="AL29" s="95">
        <v>30</v>
      </c>
      <c r="AM29" s="41">
        <v>0.41191419415799202</v>
      </c>
      <c r="AN29" s="6">
        <v>137</v>
      </c>
      <c r="AO29" s="41">
        <v>0.41191419415799202</v>
      </c>
      <c r="AP29" s="84">
        <v>137</v>
      </c>
      <c r="AQ29" s="63">
        <v>30</v>
      </c>
      <c r="AR29" s="41">
        <v>0.41191419415799202</v>
      </c>
      <c r="AS29" s="6">
        <v>137</v>
      </c>
      <c r="AT29" s="41">
        <v>0.41191419415799202</v>
      </c>
      <c r="AU29" s="89">
        <v>137</v>
      </c>
      <c r="AV29" s="64">
        <v>45</v>
      </c>
      <c r="AW29" s="41">
        <v>0.295591573249114</v>
      </c>
      <c r="AX29" s="6">
        <v>137</v>
      </c>
      <c r="AY29" s="41">
        <v>0.295591573249114</v>
      </c>
      <c r="AZ29" s="94">
        <v>137</v>
      </c>
    </row>
    <row r="30" spans="1:52" x14ac:dyDescent="0.3">
      <c r="A30" t="s">
        <v>129</v>
      </c>
      <c r="B30" s="25">
        <v>45444</v>
      </c>
      <c r="C30" s="25">
        <v>45474</v>
      </c>
      <c r="D30" s="24">
        <v>11.519740104675201</v>
      </c>
      <c r="E30" s="2">
        <v>-0.35748562160526698</v>
      </c>
      <c r="F30" s="2">
        <v>-5.3738299636930303E-2</v>
      </c>
      <c r="G30" s="15">
        <v>0.13961866902640199</v>
      </c>
      <c r="H30" s="16">
        <v>0.52546794220172699</v>
      </c>
      <c r="I30" s="17">
        <v>0.75428788517369805</v>
      </c>
      <c r="J30" s="18">
        <v>130</v>
      </c>
      <c r="K30" s="19">
        <v>-5.6790186006284799E-2</v>
      </c>
      <c r="L30" s="18">
        <v>3</v>
      </c>
      <c r="M30" s="26">
        <v>11</v>
      </c>
      <c r="N30" s="28">
        <v>14</v>
      </c>
      <c r="O30" s="87">
        <v>15</v>
      </c>
      <c r="S30" s="98">
        <v>0.66911486763606898</v>
      </c>
      <c r="T30" s="6">
        <v>130</v>
      </c>
      <c r="U30" s="41">
        <v>0.66911486763606898</v>
      </c>
      <c r="V30" s="94">
        <v>130</v>
      </c>
      <c r="W30" s="97"/>
      <c r="AB30" s="91"/>
      <c r="AG30" s="91"/>
      <c r="AL30" s="93">
        <v>11</v>
      </c>
      <c r="AM30" s="41">
        <v>0.56724987293733897</v>
      </c>
      <c r="AN30" s="6">
        <v>130</v>
      </c>
      <c r="AO30" s="41">
        <v>0.56724987293733897</v>
      </c>
      <c r="AP30" s="84">
        <v>130</v>
      </c>
      <c r="AQ30" s="91">
        <v>14</v>
      </c>
      <c r="AR30" s="41">
        <v>0.40412364466874401</v>
      </c>
      <c r="AS30" s="6">
        <v>130</v>
      </c>
      <c r="AT30" s="41">
        <v>0.40412364466874401</v>
      </c>
      <c r="AU30" s="89">
        <v>130</v>
      </c>
      <c r="AV30" s="97">
        <v>15</v>
      </c>
      <c r="AW30" s="41">
        <v>0.31409362985559502</v>
      </c>
      <c r="AX30" s="6">
        <v>130</v>
      </c>
      <c r="AY30" s="41">
        <v>0.31409362985559502</v>
      </c>
      <c r="AZ30" s="94">
        <v>130</v>
      </c>
    </row>
    <row r="31" spans="1:52" x14ac:dyDescent="0.3">
      <c r="A31" t="s">
        <v>125</v>
      </c>
      <c r="B31" s="25">
        <v>45717</v>
      </c>
      <c r="C31" s="25">
        <v>45748</v>
      </c>
      <c r="D31" s="24">
        <v>4.8206248283386204</v>
      </c>
      <c r="E31" s="7">
        <v>-0.53474421335531497</v>
      </c>
      <c r="F31" s="7">
        <v>-0.31837308429483602</v>
      </c>
      <c r="G31" s="13">
        <v>-0.32373911960562501</v>
      </c>
      <c r="H31" s="14"/>
      <c r="I31" s="20">
        <v>1.85184690604944E-2</v>
      </c>
      <c r="J31" s="21">
        <v>1</v>
      </c>
      <c r="K31" s="22">
        <v>-0.46687410351149</v>
      </c>
      <c r="L31" s="21">
        <v>58</v>
      </c>
      <c r="M31" s="27"/>
      <c r="N31" s="29"/>
      <c r="O31" s="88"/>
      <c r="P31" s="29">
        <v>5</v>
      </c>
      <c r="Q31" s="29">
        <v>26</v>
      </c>
      <c r="R31" s="29">
        <v>26</v>
      </c>
      <c r="S31" s="98">
        <v>-0.23388626104913199</v>
      </c>
      <c r="T31" s="6">
        <v>26</v>
      </c>
      <c r="U31" s="41">
        <v>-0.358438488323087</v>
      </c>
      <c r="V31" s="94">
        <v>27</v>
      </c>
      <c r="W31" s="97">
        <v>7</v>
      </c>
      <c r="X31" s="41">
        <v>-0.20037669440566999</v>
      </c>
      <c r="Y31" s="6">
        <v>999</v>
      </c>
      <c r="Z31" s="41">
        <v>-0.20037669440566999</v>
      </c>
      <c r="AA31" s="84">
        <v>999</v>
      </c>
      <c r="AB31" s="91">
        <v>26</v>
      </c>
      <c r="AC31" s="41">
        <v>0.35582824822826098</v>
      </c>
      <c r="AD31" s="6">
        <v>79</v>
      </c>
      <c r="AE31" s="41">
        <v>0.35582824822826098</v>
      </c>
      <c r="AF31" s="84">
        <v>79</v>
      </c>
      <c r="AG31" s="91">
        <v>26</v>
      </c>
      <c r="AH31" s="41">
        <v>0.35582824822826098</v>
      </c>
      <c r="AI31" s="6">
        <v>79</v>
      </c>
      <c r="AJ31" s="41">
        <v>0.35582824822826098</v>
      </c>
      <c r="AK31" s="84">
        <v>79</v>
      </c>
      <c r="AL31" s="93">
        <v>7</v>
      </c>
      <c r="AM31" s="41">
        <v>-0.20037669440566999</v>
      </c>
      <c r="AN31" s="6">
        <v>999</v>
      </c>
      <c r="AO31" s="41">
        <v>-0.20037669440566999</v>
      </c>
      <c r="AP31" s="84">
        <v>999</v>
      </c>
      <c r="AQ31" s="91">
        <v>26</v>
      </c>
      <c r="AR31" s="41">
        <v>0.35582824822826098</v>
      </c>
      <c r="AS31" s="6">
        <v>79</v>
      </c>
      <c r="AT31" s="41">
        <v>0.35582824822826098</v>
      </c>
      <c r="AU31" s="89">
        <v>79</v>
      </c>
      <c r="AV31" s="97">
        <v>26</v>
      </c>
      <c r="AW31" s="41">
        <v>0.35582824822826098</v>
      </c>
      <c r="AX31" s="6">
        <v>79</v>
      </c>
      <c r="AY31" s="41">
        <v>0.35582824822826098</v>
      </c>
      <c r="AZ31" s="94">
        <v>79</v>
      </c>
    </row>
    <row r="32" spans="1:52" x14ac:dyDescent="0.3">
      <c r="A32" t="s">
        <v>147</v>
      </c>
      <c r="B32" s="25">
        <v>45383</v>
      </c>
      <c r="C32" s="25">
        <v>45413</v>
      </c>
      <c r="D32" s="24">
        <v>27.170000076293899</v>
      </c>
      <c r="E32" s="2">
        <v>-0.11757066357889601</v>
      </c>
      <c r="F32" s="2">
        <v>-2.58156804987856E-2</v>
      </c>
      <c r="G32" s="15">
        <v>0.58594037657674702</v>
      </c>
      <c r="H32" s="16">
        <v>0.68973131094942297</v>
      </c>
      <c r="I32" s="17">
        <v>0.95252112948454104</v>
      </c>
      <c r="J32" s="18">
        <v>126</v>
      </c>
      <c r="K32" s="19">
        <v>-5.7416248125207098E-2</v>
      </c>
      <c r="L32" s="18">
        <v>47</v>
      </c>
      <c r="M32" s="26">
        <v>2</v>
      </c>
      <c r="N32" s="28">
        <v>17</v>
      </c>
      <c r="O32" s="87">
        <v>63</v>
      </c>
      <c r="S32" s="98">
        <v>0.76128810620613296</v>
      </c>
      <c r="T32" s="6">
        <v>126</v>
      </c>
      <c r="U32" s="41">
        <v>0.76128810620613296</v>
      </c>
      <c r="V32" s="94">
        <v>126</v>
      </c>
      <c r="AL32" s="95">
        <v>7</v>
      </c>
      <c r="AM32" s="41">
        <v>0.76128810620613296</v>
      </c>
      <c r="AN32" s="6">
        <v>126</v>
      </c>
      <c r="AO32" s="41">
        <v>0.76128810620613296</v>
      </c>
      <c r="AP32" s="84">
        <v>126</v>
      </c>
      <c r="AQ32" s="63">
        <v>17</v>
      </c>
      <c r="AR32" s="41">
        <v>0.62580439780919705</v>
      </c>
      <c r="AS32" s="6">
        <v>126</v>
      </c>
      <c r="AT32" s="41">
        <v>0.62580439780919705</v>
      </c>
      <c r="AU32" s="89">
        <v>126</v>
      </c>
      <c r="AV32" s="64">
        <v>63</v>
      </c>
      <c r="AW32" s="41">
        <v>0.36550839950221398</v>
      </c>
      <c r="AX32" s="6">
        <v>126</v>
      </c>
      <c r="AY32" s="41">
        <v>0.36550839950221398</v>
      </c>
      <c r="AZ32" s="94">
        <v>126</v>
      </c>
    </row>
    <row r="33" spans="1:52" x14ac:dyDescent="0.3">
      <c r="A33" t="s">
        <v>114</v>
      </c>
      <c r="B33" s="25">
        <v>45597</v>
      </c>
      <c r="C33" s="25">
        <v>45627</v>
      </c>
      <c r="D33" s="24">
        <v>171.94622802734301</v>
      </c>
      <c r="E33" s="2">
        <v>0.47266610536688097</v>
      </c>
      <c r="F33" s="2">
        <v>0.190634064865635</v>
      </c>
      <c r="G33" s="15">
        <v>-0.14314300501177199</v>
      </c>
      <c r="H33" s="16">
        <v>-0.14716655065177101</v>
      </c>
      <c r="I33" s="17">
        <v>2.8356057699099699E-2</v>
      </c>
      <c r="J33" s="18">
        <v>7</v>
      </c>
      <c r="K33" s="19">
        <v>-0.37248497337928399</v>
      </c>
      <c r="L33" s="18">
        <v>84</v>
      </c>
      <c r="P33" s="28">
        <v>26</v>
      </c>
      <c r="Q33" s="28">
        <v>61</v>
      </c>
      <c r="R33" s="28">
        <v>84</v>
      </c>
      <c r="S33" s="98">
        <v>-0.225612720108544</v>
      </c>
      <c r="T33" s="6">
        <v>61</v>
      </c>
      <c r="U33" s="41">
        <v>-0.30685823332573597</v>
      </c>
      <c r="V33" s="94">
        <v>83</v>
      </c>
      <c r="W33" s="97">
        <v>26</v>
      </c>
      <c r="X33" s="41">
        <v>-8.1818143188294598E-2</v>
      </c>
      <c r="Y33" s="6">
        <v>999</v>
      </c>
      <c r="Z33" s="41">
        <v>-8.1818143188294598E-2</v>
      </c>
      <c r="AA33" s="84">
        <v>999</v>
      </c>
      <c r="AB33" s="91">
        <v>61</v>
      </c>
      <c r="AC33" s="41">
        <v>7.8428243599642997E-2</v>
      </c>
      <c r="AD33" s="6">
        <v>149</v>
      </c>
      <c r="AE33" s="41">
        <v>7.8428243599642997E-2</v>
      </c>
      <c r="AF33" s="84">
        <v>149</v>
      </c>
      <c r="AG33" s="91">
        <v>84</v>
      </c>
      <c r="AH33" s="41">
        <v>0.36857576342315801</v>
      </c>
      <c r="AI33" s="6">
        <v>149</v>
      </c>
      <c r="AJ33" s="41">
        <v>0.36857576342315801</v>
      </c>
      <c r="AK33" s="84">
        <v>149</v>
      </c>
      <c r="AL33" s="93">
        <v>26</v>
      </c>
      <c r="AM33" s="41">
        <v>-8.1818143188294598E-2</v>
      </c>
      <c r="AN33" s="6">
        <v>999</v>
      </c>
      <c r="AO33" s="41">
        <v>-8.1818143188294598E-2</v>
      </c>
      <c r="AP33" s="84">
        <v>999</v>
      </c>
      <c r="AQ33" s="91">
        <v>61</v>
      </c>
      <c r="AR33" s="41">
        <v>7.8428243599642997E-2</v>
      </c>
      <c r="AS33" s="6">
        <v>149</v>
      </c>
      <c r="AT33" s="41">
        <v>7.8428243599642997E-2</v>
      </c>
      <c r="AU33" s="89">
        <v>149</v>
      </c>
      <c r="AV33" s="97">
        <v>84</v>
      </c>
      <c r="AW33" s="41">
        <v>0.36857576342315801</v>
      </c>
      <c r="AX33" s="6">
        <v>149</v>
      </c>
      <c r="AY33" s="41">
        <v>0.36857576342315801</v>
      </c>
      <c r="AZ33" s="94">
        <v>149</v>
      </c>
    </row>
    <row r="34" spans="1:52" x14ac:dyDescent="0.3">
      <c r="A34" t="s">
        <v>145</v>
      </c>
      <c r="B34" s="25">
        <v>45658</v>
      </c>
      <c r="C34" s="25">
        <v>45689</v>
      </c>
      <c r="D34" s="24">
        <v>28.0050001144409</v>
      </c>
      <c r="E34" s="2">
        <v>0.80444583044015205</v>
      </c>
      <c r="F34" s="2">
        <v>7.1756640409295303E-2</v>
      </c>
      <c r="G34" s="15">
        <v>-0.38510982885249401</v>
      </c>
      <c r="H34" s="16">
        <v>-9.4090314745214607E-2</v>
      </c>
      <c r="I34" s="17">
        <v>9.8196954501274993E-3</v>
      </c>
      <c r="J34" s="18">
        <v>3</v>
      </c>
      <c r="K34" s="19">
        <v>-0.44652740808212499</v>
      </c>
      <c r="L34" s="18">
        <v>44</v>
      </c>
      <c r="P34" s="28">
        <v>13</v>
      </c>
      <c r="Q34" s="28">
        <v>19</v>
      </c>
      <c r="R34" s="28">
        <v>24</v>
      </c>
      <c r="S34" s="98">
        <v>-0.23751428330010399</v>
      </c>
      <c r="T34" s="6">
        <v>22</v>
      </c>
      <c r="U34" s="41">
        <v>-0.37819291839180003</v>
      </c>
      <c r="V34" s="94">
        <v>42</v>
      </c>
      <c r="W34" s="64">
        <v>13</v>
      </c>
      <c r="X34" s="41">
        <v>6.4288643625959305E-2</v>
      </c>
      <c r="Y34" s="6">
        <v>148</v>
      </c>
      <c r="Z34" s="41">
        <v>6.4288643625959305E-2</v>
      </c>
      <c r="AA34" s="84">
        <v>148</v>
      </c>
      <c r="AB34" s="63">
        <v>19</v>
      </c>
      <c r="AC34" s="41">
        <v>0.169020453554455</v>
      </c>
      <c r="AD34" s="6">
        <v>148</v>
      </c>
      <c r="AE34" s="41">
        <v>0.169020453554455</v>
      </c>
      <c r="AF34" s="84">
        <v>148</v>
      </c>
      <c r="AG34" s="63">
        <v>24</v>
      </c>
      <c r="AH34" s="41">
        <v>0.369263615838403</v>
      </c>
      <c r="AI34" s="6">
        <v>148</v>
      </c>
      <c r="AJ34" s="41">
        <v>0.369263615838403</v>
      </c>
      <c r="AK34" s="84">
        <v>148</v>
      </c>
      <c r="AL34" s="95">
        <v>13</v>
      </c>
      <c r="AM34" s="41">
        <v>6.4288643625959305E-2</v>
      </c>
      <c r="AN34" s="6">
        <v>148</v>
      </c>
      <c r="AO34" s="41">
        <v>6.4288643625959305E-2</v>
      </c>
      <c r="AP34" s="84">
        <v>148</v>
      </c>
      <c r="AQ34" s="63">
        <v>19</v>
      </c>
      <c r="AR34" s="41">
        <v>0.169020453554455</v>
      </c>
      <c r="AS34" s="6">
        <v>148</v>
      </c>
      <c r="AT34" s="41">
        <v>0.169020453554455</v>
      </c>
      <c r="AU34" s="89">
        <v>148</v>
      </c>
      <c r="AV34" s="64">
        <v>24</v>
      </c>
      <c r="AW34" s="41">
        <v>0.369263615838403</v>
      </c>
      <c r="AX34" s="6">
        <v>148</v>
      </c>
      <c r="AY34" s="41">
        <v>0.369263615838403</v>
      </c>
      <c r="AZ34" s="94">
        <v>148</v>
      </c>
    </row>
    <row r="35" spans="1:52" x14ac:dyDescent="0.3">
      <c r="A35" t="s">
        <v>151</v>
      </c>
      <c r="B35" s="25">
        <v>45444</v>
      </c>
      <c r="C35" s="25">
        <v>45474</v>
      </c>
      <c r="D35" s="24">
        <v>60.189998626708899</v>
      </c>
      <c r="E35" s="2">
        <v>0.433436442503774</v>
      </c>
      <c r="F35" s="2">
        <v>-2.1141698101677899E-2</v>
      </c>
      <c r="G35" s="15">
        <v>0.336102342645001</v>
      </c>
      <c r="H35" s="16">
        <v>0.55125444221474995</v>
      </c>
      <c r="I35" s="17">
        <v>0.841668067839629</v>
      </c>
      <c r="J35" s="18">
        <v>111</v>
      </c>
      <c r="K35" s="19">
        <v>0</v>
      </c>
      <c r="L35" s="18">
        <v>0</v>
      </c>
      <c r="M35" s="26">
        <v>9</v>
      </c>
      <c r="N35" s="28">
        <v>34</v>
      </c>
      <c r="O35" s="87">
        <v>56</v>
      </c>
      <c r="S35" s="98">
        <v>0.69159164564401499</v>
      </c>
      <c r="T35" s="6">
        <v>111</v>
      </c>
      <c r="U35" s="41">
        <v>0.69159164564401499</v>
      </c>
      <c r="V35" s="94">
        <v>111</v>
      </c>
      <c r="AL35" s="95">
        <v>9</v>
      </c>
      <c r="AM35" s="41">
        <v>0.63230735527069604</v>
      </c>
      <c r="AN35" s="6">
        <v>111</v>
      </c>
      <c r="AO35" s="41">
        <v>0.63230735527069604</v>
      </c>
      <c r="AP35" s="84">
        <v>111</v>
      </c>
      <c r="AQ35" s="63">
        <v>34</v>
      </c>
      <c r="AR35" s="41">
        <v>0.523920837634963</v>
      </c>
      <c r="AS35" s="6">
        <v>111</v>
      </c>
      <c r="AT35" s="41">
        <v>0.523920837634963</v>
      </c>
      <c r="AU35" s="89">
        <v>111</v>
      </c>
      <c r="AV35" s="64">
        <v>56</v>
      </c>
      <c r="AW35" s="41">
        <v>0.39031724328255901</v>
      </c>
      <c r="AX35" s="6">
        <v>111</v>
      </c>
      <c r="AY35" s="41">
        <v>0.39031724328255901</v>
      </c>
      <c r="AZ35" s="94">
        <v>111</v>
      </c>
    </row>
    <row r="36" spans="1:52" x14ac:dyDescent="0.3">
      <c r="A36" t="s">
        <v>54</v>
      </c>
      <c r="B36" s="25">
        <v>45536</v>
      </c>
      <c r="C36" s="25">
        <v>45566</v>
      </c>
      <c r="D36" s="24">
        <v>12.7299995422363</v>
      </c>
      <c r="E36" s="2">
        <v>-0.42502258838416002</v>
      </c>
      <c r="F36" s="2">
        <v>4.9464090860238598E-2</v>
      </c>
      <c r="G36" s="15">
        <v>0.95758059484707103</v>
      </c>
      <c r="H36" s="16">
        <v>-0.118617386449823</v>
      </c>
      <c r="I36" s="17">
        <v>0.95758059484707103</v>
      </c>
      <c r="J36" s="18">
        <v>75</v>
      </c>
      <c r="K36" s="19">
        <v>-0.28122545580839298</v>
      </c>
      <c r="L36" s="18">
        <v>129</v>
      </c>
      <c r="M36" s="26">
        <v>8</v>
      </c>
      <c r="N36" s="28">
        <v>19</v>
      </c>
      <c r="O36" s="87">
        <v>44</v>
      </c>
      <c r="P36" s="28">
        <v>122</v>
      </c>
      <c r="Q36" s="28">
        <v>127</v>
      </c>
      <c r="S36" s="98">
        <v>0.85692995041888398</v>
      </c>
      <c r="T36" s="6">
        <v>75</v>
      </c>
      <c r="U36" s="41">
        <v>0.85692995041888398</v>
      </c>
      <c r="V36" s="94">
        <v>75</v>
      </c>
      <c r="W36" s="64">
        <v>122</v>
      </c>
      <c r="X36" s="41">
        <v>-5.5097094735909402E-2</v>
      </c>
      <c r="Y36" s="6">
        <v>999</v>
      </c>
      <c r="Z36" s="41">
        <v>-5.5097094735909402E-2</v>
      </c>
      <c r="AA36" s="84">
        <v>999</v>
      </c>
      <c r="AB36" s="63">
        <v>127</v>
      </c>
      <c r="AC36" s="41">
        <v>9.7610047199193806E-2</v>
      </c>
      <c r="AD36" s="6">
        <v>999</v>
      </c>
      <c r="AE36" s="41">
        <v>9.7610047199193806E-2</v>
      </c>
      <c r="AF36" s="84">
        <v>999</v>
      </c>
      <c r="AL36" s="95">
        <v>8</v>
      </c>
      <c r="AM36" s="41">
        <v>0.75000003348575595</v>
      </c>
      <c r="AN36" s="6">
        <v>75</v>
      </c>
      <c r="AO36" s="41">
        <v>0.75000003348575595</v>
      </c>
      <c r="AP36" s="84">
        <v>75</v>
      </c>
      <c r="AQ36" s="63">
        <v>19</v>
      </c>
      <c r="AR36" s="41">
        <v>0.59335035353328103</v>
      </c>
      <c r="AS36" s="6">
        <v>75</v>
      </c>
      <c r="AT36" s="41">
        <v>0.59335035353328103</v>
      </c>
      <c r="AU36" s="89">
        <v>75</v>
      </c>
      <c r="AV36" s="64">
        <v>44</v>
      </c>
      <c r="AW36" s="41">
        <v>0.43218394382923903</v>
      </c>
      <c r="AX36" s="6">
        <v>75</v>
      </c>
      <c r="AY36" s="41">
        <v>0.43218394382923903</v>
      </c>
      <c r="AZ36" s="94">
        <v>75</v>
      </c>
    </row>
    <row r="37" spans="1:52" x14ac:dyDescent="0.3">
      <c r="A37" t="s">
        <v>127</v>
      </c>
      <c r="B37" s="25">
        <v>45474</v>
      </c>
      <c r="C37" s="25">
        <v>45505</v>
      </c>
      <c r="D37" s="24">
        <v>5.4652423858642498</v>
      </c>
      <c r="E37" s="2">
        <v>6.4226718957627493E-2</v>
      </c>
      <c r="F37" s="2">
        <v>6.3339593814629697E-2</v>
      </c>
      <c r="G37" s="15">
        <v>0.51032243406677202</v>
      </c>
      <c r="H37" s="16">
        <v>0.25952532682618301</v>
      </c>
      <c r="I37" s="17">
        <v>0.90152584613247599</v>
      </c>
      <c r="J37" s="18">
        <v>117</v>
      </c>
      <c r="K37" s="19">
        <v>-0.102888082862857</v>
      </c>
      <c r="L37" s="18">
        <v>2</v>
      </c>
      <c r="M37" s="26">
        <v>43</v>
      </c>
      <c r="N37" s="28">
        <v>44</v>
      </c>
      <c r="O37" s="87">
        <v>68</v>
      </c>
      <c r="P37" s="28">
        <v>2</v>
      </c>
      <c r="S37" s="98">
        <v>0.75867328016753399</v>
      </c>
      <c r="T37" s="6">
        <v>117</v>
      </c>
      <c r="U37" s="41">
        <v>0.75867328016753399</v>
      </c>
      <c r="V37" s="94">
        <v>117</v>
      </c>
      <c r="W37" s="97">
        <v>7</v>
      </c>
      <c r="X37" s="41">
        <v>0.75867328016753399</v>
      </c>
      <c r="Y37" s="6">
        <v>117</v>
      </c>
      <c r="Z37" s="41">
        <v>0.75867328016753399</v>
      </c>
      <c r="AA37" s="84">
        <v>117</v>
      </c>
      <c r="AB37" s="91"/>
      <c r="AG37" s="91"/>
      <c r="AL37" s="93">
        <v>7</v>
      </c>
      <c r="AM37" s="41">
        <v>0.75867328016753399</v>
      </c>
      <c r="AN37" s="6">
        <v>117</v>
      </c>
      <c r="AO37" s="41">
        <v>0.75867328016753399</v>
      </c>
      <c r="AP37" s="84">
        <v>117</v>
      </c>
      <c r="AQ37" s="91">
        <v>44</v>
      </c>
      <c r="AR37" s="41">
        <v>0.57898129766769801</v>
      </c>
      <c r="AS37" s="6">
        <v>117</v>
      </c>
      <c r="AT37" s="41">
        <v>0.57898129766769801</v>
      </c>
      <c r="AU37" s="89">
        <v>117</v>
      </c>
      <c r="AV37" s="97">
        <v>68</v>
      </c>
      <c r="AW37" s="41">
        <v>0.44830687989613999</v>
      </c>
      <c r="AX37" s="6">
        <v>117</v>
      </c>
      <c r="AY37" s="41">
        <v>0.44830687989613999</v>
      </c>
      <c r="AZ37" s="94">
        <v>117</v>
      </c>
    </row>
    <row r="38" spans="1:52" x14ac:dyDescent="0.3">
      <c r="A38" t="s">
        <v>111</v>
      </c>
      <c r="B38" s="25">
        <v>45566</v>
      </c>
      <c r="C38" s="25">
        <v>45597</v>
      </c>
      <c r="D38" s="24">
        <v>17.647304534912099</v>
      </c>
      <c r="E38" s="2">
        <v>-0.37627743276218101</v>
      </c>
      <c r="F38" s="2">
        <v>-8.1865406110874603E-2</v>
      </c>
      <c r="G38" s="15">
        <v>0.461130727918662</v>
      </c>
      <c r="H38" s="16">
        <v>0.96776985539764804</v>
      </c>
      <c r="I38" s="17">
        <v>0.96776985539764804</v>
      </c>
      <c r="J38" s="18">
        <v>150</v>
      </c>
      <c r="K38" s="19">
        <v>0</v>
      </c>
      <c r="L38" s="18">
        <v>0</v>
      </c>
      <c r="M38" s="26">
        <v>3</v>
      </c>
      <c r="N38" s="28">
        <v>4</v>
      </c>
      <c r="O38" s="87">
        <v>6</v>
      </c>
      <c r="S38" s="98">
        <v>0.49780401294770998</v>
      </c>
      <c r="T38" s="6">
        <v>150</v>
      </c>
      <c r="U38" s="41">
        <v>0.49780401294770998</v>
      </c>
      <c r="V38" s="94">
        <v>150</v>
      </c>
      <c r="W38" s="97"/>
      <c r="AB38" s="91"/>
      <c r="AG38" s="91"/>
      <c r="AL38" s="93">
        <v>7</v>
      </c>
      <c r="AM38" s="41">
        <v>0.49780401294770998</v>
      </c>
      <c r="AN38" s="6">
        <v>150</v>
      </c>
      <c r="AO38" s="41">
        <v>0.49780401294770998</v>
      </c>
      <c r="AP38" s="84">
        <v>150</v>
      </c>
      <c r="AQ38" s="91">
        <v>7</v>
      </c>
      <c r="AR38" s="41">
        <v>0.49780401294770998</v>
      </c>
      <c r="AS38" s="6">
        <v>150</v>
      </c>
      <c r="AT38" s="41">
        <v>0.49780401294770998</v>
      </c>
      <c r="AU38" s="89">
        <v>150</v>
      </c>
      <c r="AV38" s="97">
        <v>7</v>
      </c>
      <c r="AW38" s="41">
        <v>0.49780401294770998</v>
      </c>
      <c r="AX38" s="6">
        <v>150</v>
      </c>
      <c r="AY38" s="41">
        <v>0.49780401294770998</v>
      </c>
      <c r="AZ38" s="94">
        <v>150</v>
      </c>
    </row>
    <row r="39" spans="1:52" x14ac:dyDescent="0.3">
      <c r="A39" t="s">
        <v>123</v>
      </c>
      <c r="B39" s="25">
        <v>45505</v>
      </c>
      <c r="C39" s="25">
        <v>45536</v>
      </c>
      <c r="D39" s="24">
        <v>10.4349999427795</v>
      </c>
      <c r="E39" s="2">
        <v>0.240784795732256</v>
      </c>
      <c r="F39" s="2">
        <v>3.3654159166418502E-3</v>
      </c>
      <c r="G39" s="15">
        <v>0.47196930914269303</v>
      </c>
      <c r="H39" s="16">
        <v>0.83804508005266498</v>
      </c>
      <c r="I39" s="17">
        <v>1.0622904241273401</v>
      </c>
      <c r="J39" s="18">
        <v>93</v>
      </c>
      <c r="K39" s="19">
        <v>-0.111643458687509</v>
      </c>
      <c r="L39" s="18">
        <v>4</v>
      </c>
      <c r="M39" s="26">
        <v>22</v>
      </c>
      <c r="N39" s="28">
        <v>46</v>
      </c>
      <c r="O39" s="87">
        <v>49</v>
      </c>
      <c r="P39" s="28">
        <v>4</v>
      </c>
      <c r="S39" s="98">
        <v>1.2071795341296001</v>
      </c>
      <c r="T39" s="6">
        <v>93</v>
      </c>
      <c r="U39" s="41">
        <v>1.2071795341296001</v>
      </c>
      <c r="V39" s="94">
        <v>93</v>
      </c>
      <c r="W39" s="97">
        <v>7</v>
      </c>
      <c r="X39" s="41">
        <v>1.2071795341296001</v>
      </c>
      <c r="Y39" s="6">
        <v>93</v>
      </c>
      <c r="Z39" s="41">
        <v>1.2071795341296001</v>
      </c>
      <c r="AA39" s="84">
        <v>93</v>
      </c>
      <c r="AB39" s="91"/>
      <c r="AG39" s="91"/>
      <c r="AL39" s="93">
        <v>7</v>
      </c>
      <c r="AM39" s="41">
        <v>1.2071795341296001</v>
      </c>
      <c r="AN39" s="6">
        <v>93</v>
      </c>
      <c r="AO39" s="41">
        <v>1.2071795341296001</v>
      </c>
      <c r="AP39" s="84">
        <v>93</v>
      </c>
      <c r="AQ39" s="91">
        <v>46</v>
      </c>
      <c r="AR39" s="41">
        <v>0.66951124007621998</v>
      </c>
      <c r="AS39" s="6">
        <v>93</v>
      </c>
      <c r="AT39" s="41">
        <v>0.66951124007621998</v>
      </c>
      <c r="AU39" s="89">
        <v>93</v>
      </c>
      <c r="AV39" s="97">
        <v>49</v>
      </c>
      <c r="AW39" s="41">
        <v>0.51123601149284703</v>
      </c>
      <c r="AX39" s="6">
        <v>93</v>
      </c>
      <c r="AY39" s="41">
        <v>0.51123601149284703</v>
      </c>
      <c r="AZ39" s="94">
        <v>93</v>
      </c>
    </row>
    <row r="40" spans="1:52" x14ac:dyDescent="0.3">
      <c r="A40" t="s">
        <v>134</v>
      </c>
      <c r="B40" s="25">
        <v>45627</v>
      </c>
      <c r="C40" s="25">
        <v>45658</v>
      </c>
      <c r="D40" s="24">
        <v>29.780000686645501</v>
      </c>
      <c r="E40" s="2">
        <v>-0.39667746518625002</v>
      </c>
      <c r="F40" s="2">
        <v>-8.1714449386155005E-2</v>
      </c>
      <c r="G40" s="15">
        <v>-0.31665547641859298</v>
      </c>
      <c r="H40" s="16">
        <v>-6.9509790276838707E-2</v>
      </c>
      <c r="I40" s="17">
        <v>2.11551090074058E-2</v>
      </c>
      <c r="J40" s="18">
        <v>138</v>
      </c>
      <c r="K40" s="19">
        <v>-0.38314303506812097</v>
      </c>
      <c r="L40" s="18">
        <v>65</v>
      </c>
      <c r="P40" s="28">
        <v>20</v>
      </c>
      <c r="Q40" s="28">
        <v>59</v>
      </c>
      <c r="R40" s="28">
        <v>64</v>
      </c>
      <c r="S40" s="98">
        <v>-0.24266572310134099</v>
      </c>
      <c r="T40" s="6">
        <v>62</v>
      </c>
      <c r="U40" s="41">
        <v>-0.33466133889377297</v>
      </c>
      <c r="V40" s="94">
        <v>65</v>
      </c>
      <c r="W40" s="64">
        <v>20</v>
      </c>
      <c r="X40" s="41">
        <v>0.17367811758012999</v>
      </c>
      <c r="Y40" s="6">
        <v>138</v>
      </c>
      <c r="Z40" s="41">
        <v>0.17367811758012999</v>
      </c>
      <c r="AA40" s="84">
        <v>138</v>
      </c>
      <c r="AB40" s="63">
        <v>59</v>
      </c>
      <c r="AC40" s="41">
        <v>0.30291343824349998</v>
      </c>
      <c r="AD40" s="6">
        <v>138</v>
      </c>
      <c r="AE40" s="41">
        <v>0.30291343824349998</v>
      </c>
      <c r="AF40" s="84">
        <v>138</v>
      </c>
      <c r="AG40" s="63">
        <v>64</v>
      </c>
      <c r="AH40" s="41">
        <v>0.51595217632193002</v>
      </c>
      <c r="AI40" s="6">
        <v>138</v>
      </c>
      <c r="AJ40" s="41">
        <v>0.51595217632193002</v>
      </c>
      <c r="AK40" s="84">
        <v>138</v>
      </c>
      <c r="AL40" s="95">
        <v>20</v>
      </c>
      <c r="AM40" s="41">
        <v>0.17367811758012999</v>
      </c>
      <c r="AN40" s="6">
        <v>138</v>
      </c>
      <c r="AO40" s="41">
        <v>0.17367811758012999</v>
      </c>
      <c r="AP40" s="84">
        <v>138</v>
      </c>
      <c r="AQ40" s="63">
        <v>59</v>
      </c>
      <c r="AR40" s="41">
        <v>0.30291343824349998</v>
      </c>
      <c r="AS40" s="6">
        <v>138</v>
      </c>
      <c r="AT40" s="41">
        <v>0.30291343824349998</v>
      </c>
      <c r="AU40" s="89">
        <v>138</v>
      </c>
      <c r="AV40" s="64">
        <v>64</v>
      </c>
      <c r="AW40" s="41">
        <v>0.51595217632193002</v>
      </c>
      <c r="AX40" s="6">
        <v>138</v>
      </c>
      <c r="AY40" s="41">
        <v>0.51595217632193002</v>
      </c>
      <c r="AZ40" s="94">
        <v>138</v>
      </c>
    </row>
    <row r="41" spans="1:52" x14ac:dyDescent="0.3">
      <c r="A41" t="s">
        <v>14</v>
      </c>
      <c r="B41" s="25">
        <v>45383</v>
      </c>
      <c r="C41" s="25">
        <v>45413</v>
      </c>
      <c r="D41" s="24">
        <v>1.9400000572204501</v>
      </c>
      <c r="E41" s="2">
        <v>-0.62183235595660602</v>
      </c>
      <c r="F41" s="2">
        <v>-0.21457488471689601</v>
      </c>
      <c r="G41" s="15">
        <v>1.15463902322123</v>
      </c>
      <c r="H41" s="16">
        <v>-0.237113414731564</v>
      </c>
      <c r="I41" s="17">
        <v>1.15463902322123</v>
      </c>
      <c r="J41" s="18">
        <v>75</v>
      </c>
      <c r="K41" s="19">
        <v>-0.37628865852684301</v>
      </c>
      <c r="L41" s="18">
        <v>140</v>
      </c>
      <c r="M41" s="26">
        <v>4</v>
      </c>
      <c r="N41" s="28">
        <v>8</v>
      </c>
      <c r="O41" s="87">
        <v>10</v>
      </c>
      <c r="P41" s="28">
        <v>23</v>
      </c>
      <c r="Q41" s="28">
        <v>27</v>
      </c>
      <c r="R41" s="28">
        <v>138</v>
      </c>
      <c r="S41" s="98">
        <v>-0.25116281726026202</v>
      </c>
      <c r="T41" s="6">
        <v>23</v>
      </c>
      <c r="U41" s="41">
        <v>-0.31627908678812899</v>
      </c>
      <c r="V41" s="94">
        <v>31</v>
      </c>
      <c r="W41" s="97">
        <v>23</v>
      </c>
      <c r="X41" s="41">
        <v>1.59627316223517</v>
      </c>
      <c r="Y41" s="6">
        <v>75</v>
      </c>
      <c r="Z41" s="41">
        <v>1.59627316223517</v>
      </c>
      <c r="AA41" s="84">
        <v>75</v>
      </c>
      <c r="AB41" s="91">
        <v>27</v>
      </c>
      <c r="AC41" s="41">
        <v>1.76821182433003</v>
      </c>
      <c r="AD41" s="6">
        <v>75</v>
      </c>
      <c r="AE41" s="41">
        <v>1.76821182433003</v>
      </c>
      <c r="AF41" s="84">
        <v>75</v>
      </c>
      <c r="AG41" s="91">
        <v>138</v>
      </c>
      <c r="AH41" s="41">
        <v>7.8097522975054096E-2</v>
      </c>
      <c r="AI41" s="6">
        <v>999</v>
      </c>
      <c r="AJ41" s="41">
        <v>7.8097522975054096E-2</v>
      </c>
      <c r="AK41" s="84">
        <v>999</v>
      </c>
      <c r="AL41" s="93">
        <v>7</v>
      </c>
      <c r="AM41" s="41">
        <v>0.94418588043097995</v>
      </c>
      <c r="AN41" s="6">
        <v>75</v>
      </c>
      <c r="AO41" s="41">
        <v>0.94418588043097995</v>
      </c>
      <c r="AP41" s="84">
        <v>75</v>
      </c>
      <c r="AQ41" s="91">
        <v>8</v>
      </c>
      <c r="AR41" s="41">
        <v>0.793991401377383</v>
      </c>
      <c r="AS41" s="6">
        <v>75</v>
      </c>
      <c r="AT41" s="41">
        <v>0.793991401377383</v>
      </c>
      <c r="AU41" s="89">
        <v>75</v>
      </c>
      <c r="AV41" s="97">
        <v>10</v>
      </c>
      <c r="AW41" s="41">
        <v>0.63281246944097702</v>
      </c>
      <c r="AX41" s="6">
        <v>75</v>
      </c>
      <c r="AY41" s="41">
        <v>0.63281246944097702</v>
      </c>
      <c r="AZ41" s="94">
        <v>75</v>
      </c>
    </row>
    <row r="42" spans="1:52" x14ac:dyDescent="0.3">
      <c r="A42" t="s">
        <v>119</v>
      </c>
      <c r="B42" s="25">
        <v>45748</v>
      </c>
      <c r="C42" s="25">
        <v>45778</v>
      </c>
      <c r="D42" s="24">
        <v>92.970001220703097</v>
      </c>
      <c r="E42" s="2">
        <v>5.0389774904852302E-2</v>
      </c>
      <c r="F42" s="2">
        <v>0.51047932368980298</v>
      </c>
      <c r="G42" s="15">
        <v>0.68462937572071803</v>
      </c>
      <c r="I42" s="17">
        <v>1.23244057574067</v>
      </c>
      <c r="J42" s="18">
        <v>57</v>
      </c>
      <c r="K42" s="19">
        <v>0</v>
      </c>
      <c r="L42" s="18">
        <v>0</v>
      </c>
      <c r="M42" s="26">
        <v>6</v>
      </c>
      <c r="N42" s="28">
        <v>12</v>
      </c>
      <c r="O42" s="87">
        <v>17</v>
      </c>
      <c r="S42" s="98">
        <v>1.0002891169880399</v>
      </c>
      <c r="T42" s="6">
        <v>57</v>
      </c>
      <c r="U42" s="41">
        <v>1.0002891169880399</v>
      </c>
      <c r="V42" s="94">
        <v>57</v>
      </c>
      <c r="W42" s="97"/>
      <c r="AB42" s="91"/>
      <c r="AG42" s="91"/>
      <c r="AL42" s="93">
        <v>7</v>
      </c>
      <c r="AM42" s="41">
        <v>1.0002891169880399</v>
      </c>
      <c r="AN42" s="6">
        <v>57</v>
      </c>
      <c r="AO42" s="41">
        <v>1.0002891169880399</v>
      </c>
      <c r="AP42" s="84">
        <v>57</v>
      </c>
      <c r="AQ42" s="91">
        <v>12</v>
      </c>
      <c r="AR42" s="41">
        <v>0.84128815475595797</v>
      </c>
      <c r="AS42" s="6">
        <v>57</v>
      </c>
      <c r="AT42" s="41">
        <v>0.84128815475595797</v>
      </c>
      <c r="AU42" s="89">
        <v>57</v>
      </c>
      <c r="AV42" s="97">
        <v>17</v>
      </c>
      <c r="AW42" s="41">
        <v>0.69331813305472401</v>
      </c>
      <c r="AX42" s="6">
        <v>57</v>
      </c>
      <c r="AY42" s="41">
        <v>0.69331813305472401</v>
      </c>
      <c r="AZ42" s="94">
        <v>57</v>
      </c>
    </row>
    <row r="43" spans="1:52" x14ac:dyDescent="0.3">
      <c r="A43" t="s">
        <v>16</v>
      </c>
      <c r="B43" s="25">
        <v>45689</v>
      </c>
      <c r="C43" s="25">
        <v>45717</v>
      </c>
      <c r="D43" s="24">
        <v>3.125</v>
      </c>
      <c r="E43" s="2">
        <v>-0.20483461910509301</v>
      </c>
      <c r="F43" s="2">
        <v>-0.107142857142857</v>
      </c>
      <c r="G43" s="15">
        <v>0.100800018310546</v>
      </c>
      <c r="I43" s="17">
        <v>0.100800018310546</v>
      </c>
      <c r="J43" s="18">
        <v>75</v>
      </c>
      <c r="K43" s="19">
        <v>-0.49439998626708898</v>
      </c>
      <c r="L43" s="18">
        <v>25</v>
      </c>
      <c r="M43" s="26">
        <v>75</v>
      </c>
      <c r="P43" s="28">
        <v>8</v>
      </c>
      <c r="Q43" s="28">
        <v>20</v>
      </c>
      <c r="R43" s="28">
        <v>23</v>
      </c>
      <c r="S43" s="98">
        <v>-0.330985903668985</v>
      </c>
      <c r="T43" s="6">
        <v>23</v>
      </c>
      <c r="U43" s="41">
        <v>-0.330985903668985</v>
      </c>
      <c r="V43" s="94">
        <v>23</v>
      </c>
      <c r="W43" s="97">
        <v>8</v>
      </c>
      <c r="X43" s="41">
        <v>0.26937269697333299</v>
      </c>
      <c r="Y43" s="6">
        <v>75</v>
      </c>
      <c r="Z43" s="41">
        <v>0.26937269697333299</v>
      </c>
      <c r="AA43" s="84">
        <v>75</v>
      </c>
      <c r="AB43" s="91">
        <v>20</v>
      </c>
      <c r="AC43" s="41">
        <v>0.45147688748050901</v>
      </c>
      <c r="AD43" s="6">
        <v>75</v>
      </c>
      <c r="AE43" s="41">
        <v>0.45147688748050901</v>
      </c>
      <c r="AF43" s="84">
        <v>75</v>
      </c>
      <c r="AG43" s="91">
        <v>23</v>
      </c>
      <c r="AH43" s="41">
        <v>0.81052636862461602</v>
      </c>
      <c r="AI43" s="6">
        <v>75</v>
      </c>
      <c r="AJ43" s="41">
        <v>0.81052636862461602</v>
      </c>
      <c r="AK43" s="84">
        <v>75</v>
      </c>
      <c r="AL43" s="93">
        <v>8</v>
      </c>
      <c r="AM43" s="41">
        <v>0.26937269697333299</v>
      </c>
      <c r="AN43" s="6">
        <v>75</v>
      </c>
      <c r="AO43" s="41">
        <v>0.26937269697333299</v>
      </c>
      <c r="AP43" s="84">
        <v>75</v>
      </c>
      <c r="AQ43" s="91">
        <v>20</v>
      </c>
      <c r="AR43" s="41">
        <v>0.45147688748050901</v>
      </c>
      <c r="AS43" s="6">
        <v>75</v>
      </c>
      <c r="AT43" s="41">
        <v>0.45147688748050901</v>
      </c>
      <c r="AU43" s="89">
        <v>75</v>
      </c>
      <c r="AV43" s="97">
        <v>23</v>
      </c>
      <c r="AW43" s="41">
        <v>0.81052636862461602</v>
      </c>
      <c r="AX43" s="6">
        <v>75</v>
      </c>
      <c r="AY43" s="41">
        <v>0.81052636862461602</v>
      </c>
      <c r="AZ43" s="94">
        <v>75</v>
      </c>
    </row>
    <row r="44" spans="1:52" x14ac:dyDescent="0.3">
      <c r="A44" t="s">
        <v>80</v>
      </c>
      <c r="B44" s="25">
        <v>45597</v>
      </c>
      <c r="C44" s="25">
        <v>45627</v>
      </c>
      <c r="D44" s="24">
        <v>55.169221878051701</v>
      </c>
      <c r="E44" s="2">
        <v>-5.04539473515749E-2</v>
      </c>
      <c r="F44" s="2">
        <v>0.10389026374237301</v>
      </c>
      <c r="G44" s="15">
        <v>-0.199260656021711</v>
      </c>
      <c r="H44" s="16">
        <v>0.19746287592748499</v>
      </c>
      <c r="I44" s="17">
        <v>0.19746287592748499</v>
      </c>
      <c r="J44" s="18">
        <v>150</v>
      </c>
      <c r="K44" s="19">
        <v>-0.44810242755283303</v>
      </c>
      <c r="L44" s="18">
        <v>84</v>
      </c>
      <c r="M44" s="26">
        <v>138</v>
      </c>
      <c r="P44" s="28">
        <v>9</v>
      </c>
      <c r="Q44" s="28">
        <v>62</v>
      </c>
      <c r="R44" s="28">
        <v>83</v>
      </c>
      <c r="S44" s="98">
        <v>-0.215474255319549</v>
      </c>
      <c r="T44" s="6">
        <v>63</v>
      </c>
      <c r="U44" s="41">
        <v>-0.35364161511473502</v>
      </c>
      <c r="V44" s="94">
        <v>83</v>
      </c>
      <c r="W44" s="64">
        <v>9</v>
      </c>
      <c r="X44" s="41">
        <v>0.34622633149203902</v>
      </c>
      <c r="Y44" s="6">
        <v>150</v>
      </c>
      <c r="Z44" s="41">
        <v>0.34622633149203902</v>
      </c>
      <c r="AA44" s="84">
        <v>150</v>
      </c>
      <c r="AB44" s="63">
        <v>62</v>
      </c>
      <c r="AC44" s="41">
        <v>0.499168265844673</v>
      </c>
      <c r="AD44" s="6">
        <v>150</v>
      </c>
      <c r="AE44" s="41">
        <v>0.499168265844673</v>
      </c>
      <c r="AF44" s="84">
        <v>150</v>
      </c>
      <c r="AG44" s="63">
        <v>83</v>
      </c>
      <c r="AH44" s="41">
        <v>0.94035817096777496</v>
      </c>
      <c r="AI44" s="6">
        <v>150</v>
      </c>
      <c r="AJ44" s="41">
        <v>0.94035817096777496</v>
      </c>
      <c r="AK44" s="84">
        <v>150</v>
      </c>
      <c r="AL44" s="95">
        <v>9</v>
      </c>
      <c r="AM44" s="41">
        <v>0.34622633149203902</v>
      </c>
      <c r="AN44" s="6">
        <v>150</v>
      </c>
      <c r="AO44" s="41">
        <v>0.34622633149203902</v>
      </c>
      <c r="AP44" s="84">
        <v>150</v>
      </c>
      <c r="AQ44" s="63">
        <v>62</v>
      </c>
      <c r="AR44" s="41">
        <v>0.499168265844673</v>
      </c>
      <c r="AS44" s="6">
        <v>150</v>
      </c>
      <c r="AT44" s="41">
        <v>0.499168265844673</v>
      </c>
      <c r="AU44" s="89">
        <v>150</v>
      </c>
      <c r="AV44" s="64">
        <v>83</v>
      </c>
      <c r="AW44" s="41">
        <v>0.94035817096777496</v>
      </c>
      <c r="AX44" s="6">
        <v>150</v>
      </c>
      <c r="AY44" s="41">
        <v>0.94035817096777496</v>
      </c>
      <c r="AZ44" s="94">
        <v>150</v>
      </c>
    </row>
    <row r="45" spans="1:52" x14ac:dyDescent="0.3">
      <c r="A45" t="s">
        <v>132</v>
      </c>
      <c r="B45" s="25">
        <v>45505</v>
      </c>
      <c r="C45" s="25">
        <v>45536</v>
      </c>
      <c r="D45" s="24">
        <v>15.224999904632501</v>
      </c>
      <c r="E45" s="2">
        <v>0.27833753985653997</v>
      </c>
      <c r="F45" s="2">
        <v>9.2964793329948794E-2</v>
      </c>
      <c r="G45" s="15">
        <v>0.14285712496036801</v>
      </c>
      <c r="H45" s="16">
        <v>-0.19343186798741999</v>
      </c>
      <c r="I45" s="17">
        <v>0.21642039893402601</v>
      </c>
      <c r="J45" s="18">
        <v>73</v>
      </c>
      <c r="K45" s="19">
        <v>-0.288013121807011</v>
      </c>
      <c r="L45" s="18">
        <v>149</v>
      </c>
      <c r="M45" s="26">
        <v>47</v>
      </c>
      <c r="N45" s="28">
        <v>73</v>
      </c>
      <c r="P45" s="28">
        <v>3</v>
      </c>
      <c r="Q45" s="28">
        <v>146</v>
      </c>
      <c r="S45" s="98">
        <v>0.25729810137875497</v>
      </c>
      <c r="T45" s="6">
        <v>73</v>
      </c>
      <c r="U45" s="41">
        <v>0.25729810137875497</v>
      </c>
      <c r="V45" s="94">
        <v>73</v>
      </c>
      <c r="W45" s="64">
        <v>7</v>
      </c>
      <c r="X45" s="41">
        <v>0.25729810137875497</v>
      </c>
      <c r="Y45" s="6">
        <v>73</v>
      </c>
      <c r="Z45" s="41">
        <v>0.25729810137875497</v>
      </c>
      <c r="AA45" s="84">
        <v>73</v>
      </c>
      <c r="AB45" s="63">
        <v>146</v>
      </c>
      <c r="AC45" s="41">
        <v>-2.1342509179525598E-2</v>
      </c>
      <c r="AD45" s="6">
        <v>999</v>
      </c>
      <c r="AE45" s="41">
        <v>-2.1342509179525598E-2</v>
      </c>
      <c r="AF45" s="84">
        <v>999</v>
      </c>
      <c r="AL45" s="95">
        <v>7</v>
      </c>
      <c r="AM45" s="41">
        <v>0.25729810137875497</v>
      </c>
      <c r="AN45" s="6">
        <v>73</v>
      </c>
      <c r="AO45" s="41">
        <v>0.25729810137875497</v>
      </c>
      <c r="AP45" s="84">
        <v>73</v>
      </c>
      <c r="AQ45" s="63">
        <v>73</v>
      </c>
      <c r="AR45" s="41">
        <v>-0.15812429436645001</v>
      </c>
      <c r="AS45" s="6">
        <v>999</v>
      </c>
      <c r="AT45" s="41">
        <v>-0.15812429436645001</v>
      </c>
      <c r="AU45" s="89">
        <v>999</v>
      </c>
    </row>
    <row r="46" spans="1:52" x14ac:dyDescent="0.3">
      <c r="A46" t="s">
        <v>121</v>
      </c>
      <c r="B46" s="25">
        <v>45748</v>
      </c>
      <c r="C46" s="25">
        <v>45778</v>
      </c>
      <c r="D46" s="24">
        <v>14.796852111816399</v>
      </c>
      <c r="E46" s="2">
        <v>-0.55400314585450805</v>
      </c>
      <c r="F46" s="2">
        <v>-0.17595147619580701</v>
      </c>
      <c r="G46" s="15">
        <v>-9.9245766718765102E-3</v>
      </c>
      <c r="I46" s="17">
        <v>0.22595829855118901</v>
      </c>
      <c r="J46" s="18">
        <v>8</v>
      </c>
      <c r="K46" s="19">
        <v>-8.22372339004869E-2</v>
      </c>
      <c r="L46" s="18">
        <v>69</v>
      </c>
      <c r="M46" s="26">
        <v>5</v>
      </c>
      <c r="N46" s="28">
        <v>7</v>
      </c>
      <c r="S46" s="98">
        <v>-0.22905026347660601</v>
      </c>
      <c r="T46" s="6">
        <v>21</v>
      </c>
      <c r="U46" s="41">
        <v>-0.13904983186093101</v>
      </c>
      <c r="V46" s="94">
        <v>999</v>
      </c>
      <c r="W46" s="97"/>
      <c r="AB46" s="91"/>
      <c r="AG46" s="91"/>
      <c r="AL46" s="93">
        <v>7</v>
      </c>
      <c r="AM46" s="41">
        <v>-0.13904983186093101</v>
      </c>
      <c r="AN46" s="6">
        <v>999</v>
      </c>
      <c r="AO46" s="41">
        <v>-0.13904983186093101</v>
      </c>
      <c r="AP46" s="84">
        <v>999</v>
      </c>
      <c r="AQ46" s="91">
        <v>7</v>
      </c>
      <c r="AR46" s="41">
        <v>-0.13904983186093101</v>
      </c>
      <c r="AS46" s="6">
        <v>999</v>
      </c>
      <c r="AT46" s="41">
        <v>-0.13904983186093101</v>
      </c>
      <c r="AU46" s="89">
        <v>999</v>
      </c>
      <c r="AV46" s="97"/>
    </row>
    <row r="47" spans="1:52" x14ac:dyDescent="0.3">
      <c r="A47" t="s">
        <v>48</v>
      </c>
      <c r="B47" s="25">
        <v>45839</v>
      </c>
      <c r="C47" s="25">
        <v>45870</v>
      </c>
      <c r="D47" s="24">
        <v>10.7299995422363</v>
      </c>
      <c r="E47" s="2">
        <v>0.148822202027834</v>
      </c>
      <c r="F47" s="2">
        <v>1.89933346948629E-2</v>
      </c>
      <c r="I47" s="17">
        <v>0.20782857325694401</v>
      </c>
      <c r="J47" s="18">
        <v>20</v>
      </c>
      <c r="K47" s="19">
        <v>0</v>
      </c>
      <c r="L47" s="18">
        <v>0</v>
      </c>
      <c r="M47" s="26">
        <v>15</v>
      </c>
      <c r="N47" s="28">
        <v>19</v>
      </c>
      <c r="S47" s="98">
        <v>4.75610193748746E-2</v>
      </c>
      <c r="T47" s="6">
        <v>999</v>
      </c>
      <c r="U47" s="41">
        <v>4.75610193748746E-2</v>
      </c>
      <c r="V47" s="94">
        <v>999</v>
      </c>
      <c r="AL47" s="95">
        <v>15</v>
      </c>
      <c r="AM47" s="41">
        <v>6.6056201977993997E-3</v>
      </c>
      <c r="AN47" s="6">
        <v>999</v>
      </c>
      <c r="AO47" s="41">
        <v>6.6056201977993997E-3</v>
      </c>
      <c r="AP47" s="84">
        <v>999</v>
      </c>
      <c r="AQ47" s="63">
        <v>19</v>
      </c>
      <c r="AR47" s="41">
        <v>-4.82186645333013E-2</v>
      </c>
      <c r="AS47" s="6">
        <v>999</v>
      </c>
      <c r="AT47" s="41">
        <v>-4.82186645333013E-2</v>
      </c>
      <c r="AU47" s="89">
        <v>999</v>
      </c>
    </row>
    <row r="48" spans="1:52" x14ac:dyDescent="0.3">
      <c r="A48" t="s">
        <v>130</v>
      </c>
      <c r="B48" s="25">
        <v>45383</v>
      </c>
      <c r="C48" s="25">
        <v>45413</v>
      </c>
      <c r="D48" s="24">
        <v>1.9338288307189899</v>
      </c>
      <c r="E48" s="2">
        <v>-0.415500433416846</v>
      </c>
      <c r="F48" s="2">
        <v>0.34567910451599299</v>
      </c>
      <c r="G48" s="15">
        <v>-7.8988631087454894E-2</v>
      </c>
      <c r="H48" s="16">
        <v>0.15186659805258601</v>
      </c>
      <c r="I48" s="17">
        <v>0.24825713414241701</v>
      </c>
      <c r="J48" s="18">
        <v>136</v>
      </c>
      <c r="K48" s="19">
        <v>-0.18236745946833599</v>
      </c>
      <c r="L48" s="18">
        <v>72</v>
      </c>
      <c r="M48" s="26">
        <v>117</v>
      </c>
      <c r="N48" s="28">
        <v>131</v>
      </c>
      <c r="P48" s="28">
        <v>46</v>
      </c>
      <c r="S48" s="98">
        <v>0.26567480618967898</v>
      </c>
      <c r="T48" s="6">
        <v>136</v>
      </c>
      <c r="U48" s="41">
        <v>0.26567480618967898</v>
      </c>
      <c r="V48" s="94">
        <v>136</v>
      </c>
      <c r="W48" s="97">
        <v>46</v>
      </c>
      <c r="X48" s="41">
        <v>0.405508147055687</v>
      </c>
      <c r="Y48" s="6">
        <v>136</v>
      </c>
      <c r="Z48" s="41">
        <v>0.405508147055687</v>
      </c>
      <c r="AA48" s="84">
        <v>136</v>
      </c>
      <c r="AB48" s="91"/>
      <c r="AG48" s="91"/>
      <c r="AL48" s="93">
        <v>46</v>
      </c>
      <c r="AM48" s="41">
        <v>0.405508147055687</v>
      </c>
      <c r="AN48" s="6">
        <v>136</v>
      </c>
      <c r="AO48" s="41">
        <v>0.405508147055687</v>
      </c>
      <c r="AP48" s="84">
        <v>136</v>
      </c>
      <c r="AQ48" s="91">
        <v>131</v>
      </c>
      <c r="AR48" s="41">
        <v>-3.9062491724891103E-2</v>
      </c>
      <c r="AS48" s="6">
        <v>999</v>
      </c>
      <c r="AT48" s="41">
        <v>-3.9062491724891103E-2</v>
      </c>
      <c r="AU48" s="89">
        <v>999</v>
      </c>
      <c r="AV48" s="97"/>
    </row>
    <row r="49" spans="1:48" x14ac:dyDescent="0.3">
      <c r="A49" t="s">
        <v>116</v>
      </c>
      <c r="B49" s="25">
        <v>45839</v>
      </c>
      <c r="C49" s="25">
        <v>45870</v>
      </c>
      <c r="D49" s="24">
        <v>37.795890808105398</v>
      </c>
      <c r="E49" s="7">
        <v>0.15342100278821899</v>
      </c>
      <c r="F49" s="7">
        <v>-9.3279178816337294E-2</v>
      </c>
      <c r="G49" s="13"/>
      <c r="H49" s="14"/>
      <c r="I49" s="20">
        <v>0.266010601974209</v>
      </c>
      <c r="J49" s="21">
        <v>30</v>
      </c>
      <c r="K49" s="22">
        <v>0</v>
      </c>
      <c r="L49" s="21">
        <v>0</v>
      </c>
      <c r="M49" s="27">
        <v>4</v>
      </c>
      <c r="N49" s="29">
        <v>8</v>
      </c>
      <c r="O49" s="88"/>
      <c r="P49" s="29"/>
      <c r="Q49" s="29"/>
      <c r="R49" s="29"/>
      <c r="S49" s="98">
        <v>8.0135424338578301E-2</v>
      </c>
      <c r="T49" s="6">
        <v>30</v>
      </c>
      <c r="U49" s="41">
        <v>8.0135424338578301E-2</v>
      </c>
      <c r="V49" s="94">
        <v>30</v>
      </c>
      <c r="W49" s="97"/>
      <c r="AB49" s="91"/>
      <c r="AG49" s="91"/>
      <c r="AL49" s="93">
        <v>7</v>
      </c>
      <c r="AM49" s="41">
        <v>4.0902955219328303E-2</v>
      </c>
      <c r="AN49" s="6">
        <v>999</v>
      </c>
      <c r="AO49" s="41">
        <v>4.0902955219328303E-2</v>
      </c>
      <c r="AP49" s="84">
        <v>999</v>
      </c>
      <c r="AQ49" s="91">
        <v>8</v>
      </c>
      <c r="AR49" s="41">
        <v>-6.5068081006585399E-3</v>
      </c>
      <c r="AS49" s="6">
        <v>999</v>
      </c>
      <c r="AT49" s="41">
        <v>-6.5068081006585399E-3</v>
      </c>
      <c r="AU49" s="89">
        <v>999</v>
      </c>
      <c r="AV49" s="97"/>
    </row>
    <row r="50" spans="1:48" x14ac:dyDescent="0.3">
      <c r="A50" t="s">
        <v>149</v>
      </c>
      <c r="B50" s="25">
        <v>45839</v>
      </c>
      <c r="C50" s="25">
        <v>45870</v>
      </c>
      <c r="D50" s="24">
        <v>49.032417297363203</v>
      </c>
      <c r="E50" s="2">
        <v>0.15472650251265499</v>
      </c>
      <c r="F50" s="2">
        <v>0.236789639165119</v>
      </c>
      <c r="I50" s="17">
        <v>0.22266051863943601</v>
      </c>
      <c r="J50" s="18">
        <v>28</v>
      </c>
      <c r="K50" s="19">
        <v>0</v>
      </c>
      <c r="L50" s="18">
        <v>0</v>
      </c>
      <c r="M50" s="26">
        <v>7</v>
      </c>
      <c r="N50" s="28">
        <v>24</v>
      </c>
      <c r="S50" s="98">
        <v>9.7276417002564605E-2</v>
      </c>
      <c r="T50" s="6">
        <v>28</v>
      </c>
      <c r="U50" s="41">
        <v>9.7276417002564605E-2</v>
      </c>
      <c r="V50" s="94">
        <v>28</v>
      </c>
      <c r="AL50" s="95">
        <v>7</v>
      </c>
      <c r="AM50" s="41">
        <v>4.4735311552396302E-2</v>
      </c>
      <c r="AN50" s="6">
        <v>999</v>
      </c>
      <c r="AO50" s="41">
        <v>4.4735311552396302E-2</v>
      </c>
      <c r="AP50" s="84">
        <v>999</v>
      </c>
      <c r="AQ50" s="63">
        <v>24</v>
      </c>
      <c r="AR50" s="41">
        <v>-4.69067196253604E-3</v>
      </c>
      <c r="AS50" s="6">
        <v>999</v>
      </c>
      <c r="AT50" s="41">
        <v>-4.69067196253604E-3</v>
      </c>
      <c r="AU50" s="89">
        <v>999</v>
      </c>
    </row>
    <row r="51" spans="1:48" x14ac:dyDescent="0.3">
      <c r="A51" t="s">
        <v>160</v>
      </c>
      <c r="B51" s="25">
        <v>45597</v>
      </c>
      <c r="C51" s="25">
        <v>45627</v>
      </c>
      <c r="D51" s="24">
        <v>7.3150000572204501</v>
      </c>
      <c r="E51" s="2">
        <v>0.42038833432265399</v>
      </c>
      <c r="F51" s="2">
        <v>-2.9840836309138599E-2</v>
      </c>
      <c r="G51" s="15">
        <v>8.1339683600458706E-2</v>
      </c>
      <c r="H51" s="16">
        <v>0.23855097043694301</v>
      </c>
      <c r="I51" s="17">
        <v>0.27136023485810601</v>
      </c>
      <c r="J51" s="18">
        <v>145</v>
      </c>
      <c r="K51" s="19">
        <v>-9.6377295719931796E-2</v>
      </c>
      <c r="L51" s="18">
        <v>86</v>
      </c>
      <c r="M51" s="26">
        <v>6</v>
      </c>
      <c r="N51" s="28">
        <v>131</v>
      </c>
      <c r="S51" s="98">
        <v>0.143911446472889</v>
      </c>
      <c r="T51" s="6">
        <v>145</v>
      </c>
      <c r="U51" s="41">
        <v>0.143911446472889</v>
      </c>
      <c r="V51" s="94">
        <v>145</v>
      </c>
      <c r="AL51" s="95">
        <v>7</v>
      </c>
      <c r="AM51" s="41">
        <v>0.143911446472889</v>
      </c>
      <c r="AN51" s="6">
        <v>145</v>
      </c>
      <c r="AO51" s="41">
        <v>0.143911446472889</v>
      </c>
      <c r="AP51" s="84">
        <v>145</v>
      </c>
      <c r="AQ51" s="63">
        <v>131</v>
      </c>
      <c r="AR51" s="41">
        <v>1.0079762150576901E-2</v>
      </c>
      <c r="AS51" s="6">
        <v>999</v>
      </c>
      <c r="AT51" s="41">
        <v>1.0079762150576901E-2</v>
      </c>
      <c r="AU51" s="89">
        <v>999</v>
      </c>
    </row>
    <row r="52" spans="1:48" x14ac:dyDescent="0.3">
      <c r="A52" t="s">
        <v>118</v>
      </c>
      <c r="B52" s="25">
        <v>45383</v>
      </c>
      <c r="C52" s="25">
        <v>45413</v>
      </c>
      <c r="D52" s="24">
        <v>18.75</v>
      </c>
      <c r="E52" s="2">
        <v>0.44787646920158403</v>
      </c>
      <c r="F52" s="2">
        <v>4.9244494652432802E-2</v>
      </c>
      <c r="G52" s="15">
        <v>-7.7333374023437304E-2</v>
      </c>
      <c r="H52" s="16">
        <v>0.10773335774739499</v>
      </c>
      <c r="I52" s="17">
        <v>0.21706665039062401</v>
      </c>
      <c r="J52" s="18">
        <v>62</v>
      </c>
      <c r="K52" s="19">
        <v>-0.203733317057291</v>
      </c>
      <c r="L52" s="18">
        <v>65</v>
      </c>
      <c r="M52" s="26">
        <v>4</v>
      </c>
      <c r="N52" s="28">
        <v>4</v>
      </c>
      <c r="P52" s="28">
        <v>31</v>
      </c>
      <c r="Q52" s="28">
        <v>65</v>
      </c>
      <c r="S52" s="98">
        <v>-0.27579827966160902</v>
      </c>
      <c r="T52" s="6">
        <v>31</v>
      </c>
      <c r="U52" s="41">
        <v>5.5992552072999302E-2</v>
      </c>
      <c r="V52" s="94">
        <v>62</v>
      </c>
      <c r="W52" s="97">
        <v>31</v>
      </c>
      <c r="X52" s="41">
        <v>0.45814698089860401</v>
      </c>
      <c r="Y52" s="6">
        <v>62</v>
      </c>
      <c r="Z52" s="41">
        <v>0.45814698089860401</v>
      </c>
      <c r="AA52" s="84">
        <v>62</v>
      </c>
      <c r="AB52" s="91">
        <v>65</v>
      </c>
      <c r="AC52" s="41">
        <v>0.46282650409703002</v>
      </c>
      <c r="AD52" s="6">
        <v>144</v>
      </c>
      <c r="AE52" s="41">
        <v>0.46282650409703002</v>
      </c>
      <c r="AF52" s="84">
        <v>144</v>
      </c>
      <c r="AG52" s="91"/>
      <c r="AL52" s="93">
        <v>7</v>
      </c>
      <c r="AM52" s="41">
        <v>5.5992552072999302E-2</v>
      </c>
      <c r="AN52" s="6">
        <v>62</v>
      </c>
      <c r="AO52" s="41">
        <v>5.5992552072999302E-2</v>
      </c>
      <c r="AP52" s="84">
        <v>62</v>
      </c>
      <c r="AQ52" s="91">
        <v>7</v>
      </c>
      <c r="AR52" s="41">
        <v>5.5992552072999302E-2</v>
      </c>
      <c r="AS52" s="6">
        <v>62</v>
      </c>
      <c r="AT52" s="41">
        <v>5.5992552072999302E-2</v>
      </c>
      <c r="AU52" s="89">
        <v>62</v>
      </c>
      <c r="AV52" s="97"/>
    </row>
    <row r="53" spans="1:48" x14ac:dyDescent="0.3">
      <c r="A53" t="s">
        <v>152</v>
      </c>
      <c r="B53" s="25">
        <v>45778</v>
      </c>
      <c r="C53" s="25">
        <v>45809</v>
      </c>
      <c r="D53" s="24">
        <v>21.454999923706001</v>
      </c>
      <c r="E53" s="2">
        <v>2.2640628781400399E-2</v>
      </c>
      <c r="F53" s="2">
        <v>7.3823844607787598E-2</v>
      </c>
      <c r="I53" s="17">
        <v>3.9618267128198603E-3</v>
      </c>
      <c r="J53" s="18">
        <v>4</v>
      </c>
      <c r="K53" s="19">
        <v>-0.26404101524109702</v>
      </c>
      <c r="L53" s="18">
        <v>42</v>
      </c>
      <c r="P53" s="28">
        <v>17</v>
      </c>
      <c r="Q53" s="28">
        <v>32</v>
      </c>
      <c r="S53" s="98">
        <v>-0.212861396698384</v>
      </c>
      <c r="T53" s="6">
        <v>42</v>
      </c>
      <c r="U53" s="41">
        <v>-7.9035255508735705E-2</v>
      </c>
      <c r="V53" s="94">
        <v>999</v>
      </c>
      <c r="W53" s="64">
        <v>17</v>
      </c>
      <c r="X53" s="41">
        <v>7.7700852226471703E-2</v>
      </c>
      <c r="Y53" s="6">
        <v>68</v>
      </c>
      <c r="Z53" s="41">
        <v>7.7700852226471703E-2</v>
      </c>
      <c r="AA53" s="84">
        <v>68</v>
      </c>
      <c r="AB53" s="63">
        <v>32</v>
      </c>
      <c r="AC53" s="41">
        <v>0.19012640178639401</v>
      </c>
      <c r="AD53" s="6">
        <v>68</v>
      </c>
      <c r="AE53" s="41">
        <v>0.19012640178639401</v>
      </c>
      <c r="AF53" s="84">
        <v>68</v>
      </c>
      <c r="AL53" s="95">
        <v>17</v>
      </c>
      <c r="AM53" s="41">
        <v>7.7700852226471703E-2</v>
      </c>
      <c r="AN53" s="6">
        <v>68</v>
      </c>
      <c r="AO53" s="41">
        <v>7.7700852226471703E-2</v>
      </c>
      <c r="AP53" s="84">
        <v>68</v>
      </c>
      <c r="AQ53" s="63">
        <v>32</v>
      </c>
      <c r="AR53" s="41">
        <v>0.19012640178639401</v>
      </c>
      <c r="AS53" s="6">
        <v>68</v>
      </c>
      <c r="AT53" s="41">
        <v>0.19012640178639401</v>
      </c>
      <c r="AU53" s="89">
        <v>68</v>
      </c>
    </row>
    <row r="54" spans="1:48" x14ac:dyDescent="0.3">
      <c r="A54" t="s">
        <v>131</v>
      </c>
      <c r="B54" s="25">
        <v>45627</v>
      </c>
      <c r="C54" s="25">
        <v>45658</v>
      </c>
      <c r="D54" s="24">
        <v>56.559999465942298</v>
      </c>
      <c r="E54" s="2">
        <v>0.26137375721391598</v>
      </c>
      <c r="F54" s="2">
        <v>6.8985061974230905E-2</v>
      </c>
      <c r="G54" s="15">
        <v>-0.220473823039254</v>
      </c>
      <c r="H54" s="16">
        <v>-0.27669730845655099</v>
      </c>
      <c r="I54" s="17">
        <v>3.44766420439062E-2</v>
      </c>
      <c r="J54" s="18">
        <v>6</v>
      </c>
      <c r="K54" s="19">
        <v>-0.287305485256171</v>
      </c>
      <c r="L54" s="18">
        <v>65</v>
      </c>
      <c r="P54" s="28">
        <v>9</v>
      </c>
      <c r="Q54" s="28">
        <v>44</v>
      </c>
      <c r="S54" s="98">
        <v>-0.20590405332693301</v>
      </c>
      <c r="T54" s="6">
        <v>47</v>
      </c>
      <c r="U54" s="41">
        <v>7.1586734566399995E-2</v>
      </c>
      <c r="V54" s="94">
        <v>99</v>
      </c>
      <c r="W54" s="64">
        <v>9</v>
      </c>
      <c r="X54" s="41">
        <v>0.15146715726316801</v>
      </c>
      <c r="Y54" s="6">
        <v>99</v>
      </c>
      <c r="Z54" s="41">
        <v>0.15146715726316801</v>
      </c>
      <c r="AA54" s="84">
        <v>99</v>
      </c>
      <c r="AB54" s="63">
        <v>44</v>
      </c>
      <c r="AC54" s="41">
        <v>0.29152769078236102</v>
      </c>
      <c r="AD54" s="6">
        <v>99</v>
      </c>
      <c r="AE54" s="41">
        <v>0.29152769078236102</v>
      </c>
      <c r="AF54" s="84">
        <v>99</v>
      </c>
      <c r="AL54" s="95">
        <v>9</v>
      </c>
      <c r="AM54" s="41">
        <v>0.15146715726316801</v>
      </c>
      <c r="AN54" s="6">
        <v>99</v>
      </c>
      <c r="AO54" s="41">
        <v>0.15146715726316801</v>
      </c>
      <c r="AP54" s="84">
        <v>99</v>
      </c>
      <c r="AQ54" s="63">
        <v>44</v>
      </c>
      <c r="AR54" s="41">
        <v>0.29152769078236102</v>
      </c>
      <c r="AS54" s="6">
        <v>99</v>
      </c>
      <c r="AT54" s="41">
        <v>0.29152769078236102</v>
      </c>
      <c r="AU54" s="89">
        <v>99</v>
      </c>
    </row>
    <row r="55" spans="1:48" x14ac:dyDescent="0.3">
      <c r="A55" t="s">
        <v>156</v>
      </c>
      <c r="B55" s="25">
        <v>45627</v>
      </c>
      <c r="C55" s="25">
        <v>45658</v>
      </c>
      <c r="D55" s="24">
        <v>63.927003860473597</v>
      </c>
      <c r="E55" s="2">
        <v>5.2996583401289502E-2</v>
      </c>
      <c r="F55" s="2">
        <v>-0.15200363101415101</v>
      </c>
      <c r="G55" s="15">
        <v>-0.180038310473565</v>
      </c>
      <c r="H55" s="16">
        <v>-7.5103798433239402E-2</v>
      </c>
      <c r="I55" s="17">
        <v>0.17682690448944899</v>
      </c>
      <c r="J55" s="18">
        <v>15</v>
      </c>
      <c r="K55" s="19">
        <v>-0.26208040354024997</v>
      </c>
      <c r="L55" s="18">
        <v>65</v>
      </c>
      <c r="M55" s="26">
        <v>14</v>
      </c>
      <c r="P55" s="28">
        <v>37</v>
      </c>
      <c r="Q55" s="28">
        <v>63</v>
      </c>
      <c r="S55" s="98">
        <v>-0.21376226264221601</v>
      </c>
      <c r="T55" s="6">
        <v>62</v>
      </c>
      <c r="U55" s="41">
        <v>-8.2709315142657405E-2</v>
      </c>
      <c r="V55" s="94">
        <v>999</v>
      </c>
      <c r="W55" s="64">
        <v>37</v>
      </c>
      <c r="X55" s="41">
        <v>0.209434984888935</v>
      </c>
      <c r="Y55" s="6">
        <v>137</v>
      </c>
      <c r="Z55" s="41">
        <v>0.209434984888935</v>
      </c>
      <c r="AA55" s="84">
        <v>137</v>
      </c>
      <c r="AB55" s="63">
        <v>63</v>
      </c>
      <c r="AC55" s="41">
        <v>0.378111347043319</v>
      </c>
      <c r="AD55" s="6">
        <v>137</v>
      </c>
      <c r="AE55" s="41">
        <v>0.378111347043319</v>
      </c>
      <c r="AF55" s="84">
        <v>137</v>
      </c>
      <c r="AL55" s="95">
        <v>14</v>
      </c>
      <c r="AM55" s="41">
        <v>-0.15546669876822899</v>
      </c>
      <c r="AN55" s="6">
        <v>999</v>
      </c>
      <c r="AO55" s="41">
        <v>-0.15546669876822899</v>
      </c>
      <c r="AP55" s="84">
        <v>999</v>
      </c>
      <c r="AQ55" s="63">
        <v>63</v>
      </c>
      <c r="AR55" s="41">
        <v>0.378111347043319</v>
      </c>
      <c r="AS55" s="6">
        <v>137</v>
      </c>
      <c r="AT55" s="41">
        <v>0.378111347043319</v>
      </c>
      <c r="AU55" s="89">
        <v>137</v>
      </c>
    </row>
    <row r="56" spans="1:48" x14ac:dyDescent="0.3">
      <c r="A56" t="s">
        <v>136</v>
      </c>
      <c r="B56" s="25">
        <v>45717</v>
      </c>
      <c r="C56" s="25">
        <v>45748</v>
      </c>
      <c r="D56" s="24">
        <v>5.7300000190734801</v>
      </c>
      <c r="E56" s="2">
        <v>-0.203059808974658</v>
      </c>
      <c r="F56" s="2">
        <v>-0.110248452148836</v>
      </c>
      <c r="G56" s="15">
        <v>-0.21989532717062199</v>
      </c>
      <c r="I56" s="17">
        <v>0.12914481128358099</v>
      </c>
      <c r="J56" s="18">
        <v>96</v>
      </c>
      <c r="K56" s="19">
        <v>-0.28970328828733899</v>
      </c>
      <c r="L56" s="18">
        <v>84</v>
      </c>
      <c r="M56" s="26">
        <v>92</v>
      </c>
      <c r="P56" s="28">
        <v>2</v>
      </c>
      <c r="Q56" s="28">
        <v>4</v>
      </c>
      <c r="S56" s="98">
        <v>0.45067258628988399</v>
      </c>
      <c r="T56" s="6">
        <v>96</v>
      </c>
      <c r="U56" s="41">
        <v>0.45067258628988399</v>
      </c>
      <c r="V56" s="94">
        <v>96</v>
      </c>
      <c r="W56" s="64">
        <v>7</v>
      </c>
      <c r="X56" s="41">
        <v>0.45067258628988399</v>
      </c>
      <c r="Y56" s="6">
        <v>96</v>
      </c>
      <c r="Z56" s="41">
        <v>0.45067258628988399</v>
      </c>
      <c r="AA56" s="84">
        <v>96</v>
      </c>
      <c r="AB56" s="63">
        <v>7</v>
      </c>
      <c r="AC56" s="41">
        <v>0.45067258628988399</v>
      </c>
      <c r="AD56" s="6">
        <v>96</v>
      </c>
      <c r="AE56" s="41">
        <v>0.45067258628988399</v>
      </c>
      <c r="AF56" s="84">
        <v>96</v>
      </c>
      <c r="AL56" s="95">
        <v>7</v>
      </c>
      <c r="AM56" s="41">
        <v>0.45067258628988399</v>
      </c>
      <c r="AN56" s="6">
        <v>96</v>
      </c>
      <c r="AO56" s="41">
        <v>0.45067258628988399</v>
      </c>
      <c r="AP56" s="84">
        <v>96</v>
      </c>
      <c r="AQ56" s="63">
        <v>7</v>
      </c>
      <c r="AR56" s="41">
        <v>0.45067258628988399</v>
      </c>
      <c r="AS56" s="6">
        <v>96</v>
      </c>
      <c r="AT56" s="41">
        <v>0.45067258628988399</v>
      </c>
      <c r="AU56" s="89">
        <v>96</v>
      </c>
    </row>
    <row r="57" spans="1:48" x14ac:dyDescent="0.3">
      <c r="A57" t="s">
        <v>126</v>
      </c>
      <c r="B57" s="25">
        <v>45778</v>
      </c>
      <c r="C57" s="25">
        <v>45809</v>
      </c>
      <c r="D57" s="24">
        <v>28.378311157226499</v>
      </c>
      <c r="E57" s="2">
        <v>-7.8788082923144695E-2</v>
      </c>
      <c r="F57" s="2">
        <v>7.5102111305930003E-2</v>
      </c>
      <c r="I57" s="17">
        <v>0.117822686405695</v>
      </c>
      <c r="J57" s="18">
        <v>5</v>
      </c>
      <c r="K57" s="19">
        <v>-0.18916949985509199</v>
      </c>
      <c r="L57" s="18">
        <v>67</v>
      </c>
      <c r="M57" s="26">
        <v>4</v>
      </c>
      <c r="P57" s="28">
        <v>33</v>
      </c>
      <c r="S57" s="98">
        <v>-0.21218886166579301</v>
      </c>
      <c r="T57" s="6">
        <v>34</v>
      </c>
      <c r="U57" s="41">
        <v>-0.17155544060493799</v>
      </c>
      <c r="V57" s="94">
        <v>999</v>
      </c>
      <c r="W57" s="97">
        <v>33</v>
      </c>
      <c r="X57" s="41">
        <v>-4.2760990751700603E-2</v>
      </c>
      <c r="Y57" s="6">
        <v>999</v>
      </c>
      <c r="Z57" s="41">
        <v>-4.2760990751700603E-2</v>
      </c>
      <c r="AA57" s="84">
        <v>999</v>
      </c>
      <c r="AB57" s="91"/>
      <c r="AG57" s="91"/>
      <c r="AL57" s="93">
        <v>7</v>
      </c>
      <c r="AM57" s="41">
        <v>-0.17155544060493799</v>
      </c>
      <c r="AN57" s="6">
        <v>999</v>
      </c>
      <c r="AO57" s="41">
        <v>-0.17155544060493799</v>
      </c>
      <c r="AP57" s="84">
        <v>999</v>
      </c>
      <c r="AQ57" s="91"/>
      <c r="AV57" s="97"/>
    </row>
    <row r="58" spans="1:48" x14ac:dyDescent="0.3">
      <c r="A58" t="s">
        <v>158</v>
      </c>
      <c r="B58" s="25">
        <v>45627</v>
      </c>
      <c r="C58" s="25">
        <v>45658</v>
      </c>
      <c r="D58" s="24">
        <v>34.1795749664306</v>
      </c>
      <c r="E58" s="2">
        <v>0.63151843608245894</v>
      </c>
      <c r="F58" s="2">
        <v>8.6366485955755492E-3</v>
      </c>
      <c r="G58" s="15">
        <v>3.54450385746247E-2</v>
      </c>
      <c r="H58" s="16">
        <v>0.130808075763195</v>
      </c>
      <c r="I58" s="17">
        <v>0.175390142188526</v>
      </c>
      <c r="J58" s="18">
        <v>30</v>
      </c>
      <c r="K58" s="19">
        <v>-7.3441703853824203E-2</v>
      </c>
      <c r="L58" s="18">
        <v>83</v>
      </c>
      <c r="M58" s="26">
        <v>27</v>
      </c>
      <c r="S58" s="98">
        <v>0.174191768084142</v>
      </c>
      <c r="T58" s="6">
        <v>30</v>
      </c>
      <c r="U58" s="41">
        <v>0.174191768084142</v>
      </c>
      <c r="V58" s="94">
        <v>30</v>
      </c>
      <c r="AL58" s="95">
        <v>27</v>
      </c>
      <c r="AM58" s="41">
        <v>-4.6225944754606701E-2</v>
      </c>
      <c r="AN58" s="6">
        <v>999</v>
      </c>
      <c r="AO58" s="41">
        <v>-4.6225944754606701E-2</v>
      </c>
      <c r="AP58" s="84">
        <v>999</v>
      </c>
    </row>
    <row r="59" spans="1:48" x14ac:dyDescent="0.3">
      <c r="A59" t="s">
        <v>163</v>
      </c>
      <c r="B59" s="25">
        <v>45839</v>
      </c>
      <c r="C59" s="25">
        <v>45870</v>
      </c>
      <c r="D59" s="24">
        <v>154.36000061035099</v>
      </c>
      <c r="E59" s="2">
        <v>8.1937356076526593E-2</v>
      </c>
      <c r="F59" s="2">
        <v>-8.7167385932208699E-2</v>
      </c>
      <c r="I59" s="17">
        <v>0.138636912489421</v>
      </c>
      <c r="J59" s="18">
        <v>23</v>
      </c>
      <c r="K59" s="19">
        <v>0</v>
      </c>
      <c r="L59" s="18">
        <v>0</v>
      </c>
      <c r="M59" s="26">
        <v>8</v>
      </c>
      <c r="S59" s="98">
        <v>9.1200033221347093E-3</v>
      </c>
      <c r="T59" s="6">
        <v>999</v>
      </c>
      <c r="U59" s="41">
        <v>9.1200033221347093E-3</v>
      </c>
      <c r="V59" s="94">
        <v>999</v>
      </c>
      <c r="AL59" s="95">
        <v>8</v>
      </c>
      <c r="AM59" s="41">
        <v>-1.3880020846947399E-2</v>
      </c>
      <c r="AN59" s="6">
        <v>999</v>
      </c>
      <c r="AO59" s="41">
        <v>-1.3880020846947399E-2</v>
      </c>
      <c r="AP59" s="84">
        <v>999</v>
      </c>
    </row>
    <row r="60" spans="1:48" x14ac:dyDescent="0.3">
      <c r="A60" t="s">
        <v>157</v>
      </c>
      <c r="B60" s="25">
        <v>45717</v>
      </c>
      <c r="C60" s="25">
        <v>45748</v>
      </c>
      <c r="D60" s="24">
        <v>70.709037780761705</v>
      </c>
      <c r="E60" s="2">
        <v>-9.5681446846591599E-3</v>
      </c>
      <c r="F60" s="2">
        <v>-6.9358204872687998E-2</v>
      </c>
      <c r="G60" s="15">
        <v>0.10559135086143399</v>
      </c>
      <c r="I60" s="17">
        <v>0.12969996142630899</v>
      </c>
      <c r="J60" s="18">
        <v>104</v>
      </c>
      <c r="K60" s="19">
        <v>-6.9660632446677903E-2</v>
      </c>
      <c r="L60" s="18">
        <v>4</v>
      </c>
      <c r="M60" s="26">
        <v>75</v>
      </c>
      <c r="S60" s="98">
        <v>0.168700072264965</v>
      </c>
      <c r="T60" s="6">
        <v>104</v>
      </c>
      <c r="U60" s="41">
        <v>0.168700072264965</v>
      </c>
      <c r="V60" s="94">
        <v>104</v>
      </c>
      <c r="AL60" s="95">
        <v>75</v>
      </c>
      <c r="AM60" s="41">
        <v>2.18060773956767E-2</v>
      </c>
      <c r="AN60" s="6">
        <v>104</v>
      </c>
      <c r="AO60" s="41">
        <v>2.18060773956767E-2</v>
      </c>
      <c r="AP60" s="84">
        <v>104</v>
      </c>
    </row>
    <row r="61" spans="1:48" x14ac:dyDescent="0.3">
      <c r="A61" t="s">
        <v>140</v>
      </c>
      <c r="B61" s="25">
        <v>45444</v>
      </c>
      <c r="C61" s="25">
        <v>45474</v>
      </c>
      <c r="D61" s="24">
        <v>91.393287658691406</v>
      </c>
      <c r="E61" s="2">
        <v>0.171198345103554</v>
      </c>
      <c r="F61" s="2">
        <v>-9.9605607448829403E-3</v>
      </c>
      <c r="G61" s="15">
        <v>0.139372562264897</v>
      </c>
      <c r="H61" s="16">
        <v>-6.6783809569683106E-2</v>
      </c>
      <c r="I61" s="17">
        <v>0.14325273657847901</v>
      </c>
      <c r="J61" s="18">
        <v>74</v>
      </c>
      <c r="K61" s="19">
        <v>-0.11897796003222599</v>
      </c>
      <c r="L61" s="18">
        <v>133</v>
      </c>
      <c r="M61" s="26">
        <v>42</v>
      </c>
      <c r="P61" s="28">
        <v>128</v>
      </c>
      <c r="S61" s="98">
        <v>9.1345349298661102E-2</v>
      </c>
      <c r="T61" s="6">
        <v>74</v>
      </c>
      <c r="U61" s="41">
        <v>9.1345349298661102E-2</v>
      </c>
      <c r="V61" s="94">
        <v>74</v>
      </c>
      <c r="W61" s="64">
        <v>128</v>
      </c>
      <c r="X61" s="41">
        <v>2.0742303282078E-2</v>
      </c>
      <c r="Y61" s="6">
        <v>999</v>
      </c>
      <c r="Z61" s="41">
        <v>2.0742303282078E-2</v>
      </c>
      <c r="AA61" s="84">
        <v>999</v>
      </c>
      <c r="AL61" s="95">
        <v>42</v>
      </c>
      <c r="AM61" s="41">
        <v>3.4514354674729499E-2</v>
      </c>
      <c r="AN61" s="6">
        <v>74</v>
      </c>
      <c r="AO61" s="41">
        <v>3.4514354674729499E-2</v>
      </c>
      <c r="AP61" s="84">
        <v>74</v>
      </c>
    </row>
    <row r="62" spans="1:48" x14ac:dyDescent="0.3">
      <c r="A62" t="s">
        <v>128</v>
      </c>
      <c r="B62" s="25">
        <v>45809</v>
      </c>
      <c r="C62" s="25">
        <v>45839</v>
      </c>
      <c r="D62" s="24">
        <v>7.88000011444091</v>
      </c>
      <c r="E62" s="2">
        <v>1.41570313750873E-2</v>
      </c>
      <c r="F62" s="2">
        <v>-0.22896282695188</v>
      </c>
      <c r="I62" s="17">
        <v>3.9340033177699602E-2</v>
      </c>
      <c r="J62" s="18">
        <v>37</v>
      </c>
      <c r="K62" s="19">
        <v>-0.17258884692426099</v>
      </c>
      <c r="L62" s="18">
        <v>22</v>
      </c>
      <c r="P62" s="28">
        <v>7</v>
      </c>
      <c r="S62" s="98">
        <v>0.161702036710102</v>
      </c>
      <c r="T62" s="6">
        <v>37</v>
      </c>
      <c r="U62" s="41">
        <v>0.161702036710102</v>
      </c>
      <c r="V62" s="94">
        <v>37</v>
      </c>
      <c r="W62" s="97">
        <v>7</v>
      </c>
      <c r="X62" s="41">
        <v>0.161702036710102</v>
      </c>
      <c r="Y62" s="6">
        <v>37</v>
      </c>
      <c r="Z62" s="41">
        <v>0.161702036710102</v>
      </c>
      <c r="AA62" s="84">
        <v>37</v>
      </c>
      <c r="AB62" s="91"/>
      <c r="AG62" s="91"/>
      <c r="AL62" s="93">
        <v>7</v>
      </c>
      <c r="AM62" s="41">
        <v>0.161702036710102</v>
      </c>
      <c r="AN62" s="6">
        <v>37</v>
      </c>
      <c r="AO62" s="41">
        <v>0.161702036710102</v>
      </c>
      <c r="AP62" s="84">
        <v>37</v>
      </c>
      <c r="AQ62" s="91"/>
      <c r="AV62" s="97"/>
    </row>
    <row r="63" spans="1:48" x14ac:dyDescent="0.3">
      <c r="A63" t="s">
        <v>115</v>
      </c>
      <c r="B63" s="25">
        <v>45748</v>
      </c>
      <c r="C63" s="25">
        <v>45778</v>
      </c>
      <c r="D63" s="24">
        <v>31.329999923706001</v>
      </c>
      <c r="E63" s="2">
        <v>-0.18981118678029199</v>
      </c>
      <c r="F63" s="2">
        <v>-4.1322048490068904E-3</v>
      </c>
      <c r="G63" s="15">
        <v>-5.1069274987743198E-2</v>
      </c>
      <c r="I63" s="17">
        <v>5.7452957190950699E-2</v>
      </c>
      <c r="J63" s="18">
        <v>10</v>
      </c>
      <c r="K63" s="19">
        <v>-0.139802080160633</v>
      </c>
      <c r="L63" s="18">
        <v>66</v>
      </c>
      <c r="P63" s="28">
        <v>35</v>
      </c>
      <c r="S63" s="98">
        <v>-6.5340038957475699E-2</v>
      </c>
      <c r="T63" s="6">
        <v>999</v>
      </c>
      <c r="U63" s="41">
        <v>-6.5340038957475699E-2</v>
      </c>
      <c r="V63" s="94">
        <v>999</v>
      </c>
      <c r="W63" s="97">
        <v>35</v>
      </c>
      <c r="X63" s="41">
        <v>0.16482737782002699</v>
      </c>
      <c r="Y63" s="6">
        <v>89</v>
      </c>
      <c r="Z63" s="41">
        <v>0.16482737782002699</v>
      </c>
      <c r="AA63" s="84">
        <v>89</v>
      </c>
      <c r="AB63" s="91"/>
      <c r="AG63" s="91"/>
      <c r="AL63" s="93">
        <v>35</v>
      </c>
      <c r="AM63" s="41">
        <v>0.16482737782002699</v>
      </c>
      <c r="AN63" s="6">
        <v>89</v>
      </c>
      <c r="AO63" s="41">
        <v>0.16482737782002699</v>
      </c>
      <c r="AP63" s="84">
        <v>89</v>
      </c>
      <c r="AQ63" s="91"/>
      <c r="AV63" s="97"/>
    </row>
    <row r="64" spans="1:48" x14ac:dyDescent="0.3">
      <c r="A64" t="s">
        <v>110</v>
      </c>
      <c r="B64" s="25">
        <v>45748</v>
      </c>
      <c r="C64" s="25">
        <v>45778</v>
      </c>
      <c r="D64" s="24">
        <v>295.66925048828102</v>
      </c>
      <c r="E64" s="2">
        <v>3.6601147329330098E-2</v>
      </c>
      <c r="F64" s="2">
        <v>-1.23011627710197E-2</v>
      </c>
      <c r="G64" s="15">
        <v>2.86502850289365E-2</v>
      </c>
      <c r="I64" s="17">
        <v>9.4144495169009995E-2</v>
      </c>
      <c r="J64" s="18">
        <v>25</v>
      </c>
      <c r="K64" s="19">
        <v>-2.3604916762054701E-2</v>
      </c>
      <c r="L64" s="18">
        <v>94</v>
      </c>
      <c r="S64" s="98">
        <v>-1.5739514371985099E-3</v>
      </c>
      <c r="T64" s="6">
        <v>999</v>
      </c>
      <c r="U64" s="41">
        <v>-1.5739514371985099E-3</v>
      </c>
      <c r="V64" s="94">
        <v>999</v>
      </c>
      <c r="W64" s="97"/>
      <c r="AB64" s="91"/>
      <c r="AG64" s="91"/>
      <c r="AL64" s="93"/>
      <c r="AQ64" s="91"/>
      <c r="AV64" s="97"/>
    </row>
    <row r="65" spans="1:48" x14ac:dyDescent="0.3">
      <c r="A65" t="s">
        <v>122</v>
      </c>
      <c r="B65" s="25">
        <v>45809</v>
      </c>
      <c r="C65" s="25">
        <v>45839</v>
      </c>
      <c r="D65" s="24">
        <v>294.77914428710898</v>
      </c>
      <c r="E65" s="2">
        <v>0.29572754868926798</v>
      </c>
      <c r="F65" s="2">
        <v>1.01932082857962E-2</v>
      </c>
      <c r="I65" s="17">
        <v>3.02289301227423E-2</v>
      </c>
      <c r="J65" s="18">
        <v>35</v>
      </c>
      <c r="K65" s="19">
        <v>-5.7325756680877103E-2</v>
      </c>
      <c r="L65" s="18">
        <v>26</v>
      </c>
      <c r="S65" s="98">
        <v>3.06477267948972E-2</v>
      </c>
      <c r="T65" s="6">
        <v>35</v>
      </c>
      <c r="U65" s="41">
        <v>3.06477267948972E-2</v>
      </c>
      <c r="V65" s="94">
        <v>35</v>
      </c>
      <c r="W65" s="97"/>
      <c r="AB65" s="91"/>
      <c r="AG65" s="91"/>
      <c r="AL65" s="93"/>
      <c r="AQ65" s="91"/>
      <c r="AV65" s="97"/>
    </row>
    <row r="66" spans="1:48" x14ac:dyDescent="0.3">
      <c r="A66" t="s">
        <v>113</v>
      </c>
      <c r="B66" s="25">
        <v>45627</v>
      </c>
      <c r="C66" s="25">
        <v>45658</v>
      </c>
      <c r="T66" s="6">
        <v>999</v>
      </c>
      <c r="V66" s="94">
        <v>999</v>
      </c>
      <c r="W66" s="97"/>
      <c r="AB66" s="91"/>
      <c r="AG66" s="91"/>
      <c r="AL66" s="93"/>
      <c r="AQ66" s="91"/>
      <c r="AV66" s="97"/>
    </row>
    <row r="67" spans="1:48" x14ac:dyDescent="0.3">
      <c r="A67" t="s">
        <v>73</v>
      </c>
      <c r="B67" s="25">
        <v>45383</v>
      </c>
      <c r="C67" s="25">
        <v>45413</v>
      </c>
      <c r="T67" s="6">
        <v>999</v>
      </c>
      <c r="V67" s="94">
        <v>999</v>
      </c>
      <c r="W67" s="97"/>
      <c r="AB67" s="91"/>
      <c r="AG67" s="91"/>
      <c r="AL67" s="93"/>
      <c r="AQ67" s="91"/>
      <c r="AV67" s="97"/>
    </row>
    <row r="68" spans="1:48" x14ac:dyDescent="0.3">
      <c r="A68" t="s">
        <v>120</v>
      </c>
      <c r="B68" s="25">
        <v>45627</v>
      </c>
      <c r="C68" s="25">
        <v>45658</v>
      </c>
      <c r="T68" s="6">
        <v>999</v>
      </c>
      <c r="V68" s="94">
        <v>999</v>
      </c>
      <c r="W68" s="97"/>
      <c r="AB68" s="91"/>
      <c r="AG68" s="91"/>
      <c r="AL68" s="93"/>
      <c r="AQ68" s="91"/>
      <c r="AV68" s="97"/>
    </row>
    <row r="69" spans="1:48" x14ac:dyDescent="0.3">
      <c r="A69" t="s">
        <v>138</v>
      </c>
      <c r="B69" s="25">
        <v>45566</v>
      </c>
      <c r="C69" s="25">
        <v>45597</v>
      </c>
      <c r="T69" s="6">
        <v>999</v>
      </c>
      <c r="V69" s="94">
        <v>999</v>
      </c>
    </row>
    <row r="70" spans="1:48" x14ac:dyDescent="0.3">
      <c r="A70" t="s">
        <v>139</v>
      </c>
      <c r="B70" s="25">
        <v>45505</v>
      </c>
      <c r="C70" s="25">
        <v>45536</v>
      </c>
      <c r="T70" s="6">
        <v>999</v>
      </c>
      <c r="V70" s="94">
        <v>999</v>
      </c>
    </row>
    <row r="71" spans="1:48" x14ac:dyDescent="0.3">
      <c r="A71" t="s">
        <v>143</v>
      </c>
      <c r="B71" s="25">
        <v>45778</v>
      </c>
      <c r="C71" s="25">
        <v>45809</v>
      </c>
      <c r="T71" s="6">
        <v>999</v>
      </c>
      <c r="V71" s="94">
        <v>999</v>
      </c>
    </row>
    <row r="72" spans="1:48" x14ac:dyDescent="0.3">
      <c r="A72" t="s">
        <v>79</v>
      </c>
      <c r="B72" s="25">
        <v>45413</v>
      </c>
      <c r="C72" s="25">
        <v>45444</v>
      </c>
      <c r="T72" s="6">
        <v>999</v>
      </c>
      <c r="V72" s="94">
        <v>999</v>
      </c>
    </row>
    <row r="73" spans="1:48" x14ac:dyDescent="0.3">
      <c r="A73" t="s">
        <v>153</v>
      </c>
      <c r="B73" s="25">
        <v>45627</v>
      </c>
      <c r="C73" s="25">
        <v>45658</v>
      </c>
      <c r="T73" s="6">
        <v>999</v>
      </c>
      <c r="V73" s="94">
        <v>999</v>
      </c>
    </row>
    <row r="74" spans="1:48" x14ac:dyDescent="0.3">
      <c r="A74" t="s">
        <v>154</v>
      </c>
      <c r="B74" s="25">
        <v>45383</v>
      </c>
      <c r="C74" s="25">
        <v>45413</v>
      </c>
      <c r="T74" s="6">
        <v>999</v>
      </c>
      <c r="V74" s="94">
        <v>999</v>
      </c>
    </row>
    <row r="75" spans="1:48" x14ac:dyDescent="0.3">
      <c r="A75" t="s">
        <v>155</v>
      </c>
      <c r="B75" s="25">
        <v>45383</v>
      </c>
      <c r="C75" s="25">
        <v>45413</v>
      </c>
      <c r="T75" s="6">
        <v>999</v>
      </c>
      <c r="V75" s="94">
        <v>999</v>
      </c>
    </row>
  </sheetData>
  <autoFilter ref="A4:AZ72" xr:uid="{A63CA558-3F40-463D-93F5-3E4C2572FE45}">
    <sortState xmlns:xlrd2="http://schemas.microsoft.com/office/spreadsheetml/2017/richdata2" ref="A5:AZ75">
      <sortCondition ref="AY4:AY72"/>
    </sortState>
  </autoFilter>
  <mergeCells count="29">
    <mergeCell ref="AT3:AU3"/>
    <mergeCell ref="AW3:AX3"/>
    <mergeCell ref="AY3:AZ3"/>
    <mergeCell ref="AE3:AF3"/>
    <mergeCell ref="AH3:AI3"/>
    <mergeCell ref="AJ3:AK3"/>
    <mergeCell ref="AM3:AN3"/>
    <mergeCell ref="AO3:AP3"/>
    <mergeCell ref="AR3:AS3"/>
    <mergeCell ref="S3:T3"/>
    <mergeCell ref="U3:V3"/>
    <mergeCell ref="X3:Y3"/>
    <mergeCell ref="Z3:AA3"/>
    <mergeCell ref="AC3:AD3"/>
    <mergeCell ref="A1:R1"/>
    <mergeCell ref="S1:AZ1"/>
    <mergeCell ref="B2:D2"/>
    <mergeCell ref="E2:F2"/>
    <mergeCell ref="G2:H2"/>
    <mergeCell ref="I2:L2"/>
    <mergeCell ref="M2:O2"/>
    <mergeCell ref="P2:R2"/>
    <mergeCell ref="S2:V2"/>
    <mergeCell ref="W2:AA2"/>
    <mergeCell ref="AB2:AF2"/>
    <mergeCell ref="AG2:AK2"/>
    <mergeCell ref="AL2:AP2"/>
    <mergeCell ref="AQ2:AU2"/>
    <mergeCell ref="AV2:A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BQR-7_9.27</vt:lpstr>
      <vt:lpstr>BQR-6_9.27</vt:lpstr>
      <vt:lpstr>NAC|CPE888_9.18</vt:lpstr>
      <vt:lpstr>Bull_Metrics</vt:lpstr>
      <vt:lpstr>CPE-887_9.18</vt:lpstr>
      <vt:lpstr>BQR-7_9.15</vt:lpstr>
      <vt:lpstr>BQR-6_9.15</vt:lpstr>
      <vt:lpstr>CPE_887_9.10.2025</vt:lpstr>
      <vt:lpstr>CPE_888_9.8.2025</vt:lpstr>
      <vt:lpstr>BQR-7_9.6.2025</vt:lpstr>
      <vt:lpstr>BQR-6_9.5.2025</vt:lpstr>
      <vt:lpstr>BQR-58_9.15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2025-10-05T02:58:47Z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{55999F6F-29D5-4406-BBC9-046C95D6E4D7}</vt:lpwstr>
  </property>
</Properties>
</file>