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4.12.AMTM\"/>
    </mc:Choice>
  </mc:AlternateContent>
  <xr:revisionPtr revIDLastSave="0" documentId="13_ncr:1_{70DDBC6F-6728-4B5D-8337-265F6DA05CD0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from.scoping" sheetId="1" r:id="rId1"/>
    <sheet name="risk_factors" sheetId="2" r:id="rId2"/>
    <sheet name="peers.hand.pick" sheetId="3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30" i="1"/>
  <c r="I31" i="1"/>
  <c r="I32" i="1"/>
  <c r="I33" i="1"/>
  <c r="I34" i="1"/>
  <c r="I2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5" i="1"/>
</calcChain>
</file>

<file path=xl/sharedStrings.xml><?xml version="1.0" encoding="utf-8"?>
<sst xmlns="http://schemas.openxmlformats.org/spreadsheetml/2006/main" count="169" uniqueCount="134">
  <si>
    <t>CACI</t>
  </si>
  <si>
    <t>SAIC</t>
  </si>
  <si>
    <t>J</t>
  </si>
  <si>
    <t>AMTM</t>
  </si>
  <si>
    <t>Research and Consulting Services</t>
  </si>
  <si>
    <t>Aerospace &amp; defense</t>
  </si>
  <si>
    <t>Industry</t>
  </si>
  <si>
    <t>Company</t>
  </si>
  <si>
    <t>EIN</t>
  </si>
  <si>
    <t>Ticker</t>
  </si>
  <si>
    <t>Exchange</t>
  </si>
  <si>
    <t>Source: S&amp;P</t>
  </si>
  <si>
    <t>Source: TradingView</t>
  </si>
  <si>
    <t>Leidos Holdings, Inc.</t>
  </si>
  <si>
    <t>20-3562868</t>
  </si>
  <si>
    <t>LDOS</t>
  </si>
  <si>
    <t>NYSE</t>
  </si>
  <si>
    <t>Science Applications International Corporation (SAIC)</t>
  </si>
  <si>
    <t>46-3509666</t>
  </si>
  <si>
    <t>Information technology services</t>
  </si>
  <si>
    <t>Booz Allen Hamilton Holding Corporation</t>
  </si>
  <si>
    <t>36-2513626</t>
  </si>
  <si>
    <t>BAH</t>
  </si>
  <si>
    <t>Miscellaneous commercial services</t>
  </si>
  <si>
    <t>Jacobs Solutions Inc.</t>
  </si>
  <si>
    <t>95-4081636</t>
  </si>
  <si>
    <t>Data processing services</t>
  </si>
  <si>
    <t>Parsons Corporation</t>
  </si>
  <si>
    <t>95-2580851</t>
  </si>
  <si>
    <t>PSN</t>
  </si>
  <si>
    <t>KBR, Inc.</t>
  </si>
  <si>
    <t>54-1899442</t>
  </si>
  <si>
    <t>KBR</t>
  </si>
  <si>
    <t>General Dynamics Information Technology (GDIT)</t>
  </si>
  <si>
    <t>54-1194322</t>
  </si>
  <si>
    <t>GD</t>
  </si>
  <si>
    <t>Aerospace and Defense</t>
  </si>
  <si>
    <t>Northrop Grumman Corporation</t>
  </si>
  <si>
    <t>95-4840775</t>
  </si>
  <si>
    <t>NOC</t>
  </si>
  <si>
    <t>Raytheon Technologies Corporation</t>
  </si>
  <si>
    <t>06-0570975</t>
  </si>
  <si>
    <t>RTX</t>
  </si>
  <si>
    <t>ManTech International Corporation</t>
  </si>
  <si>
    <t>22-1852179</t>
  </si>
  <si>
    <t>N/A</t>
  </si>
  <si>
    <t>Privately held</t>
  </si>
  <si>
    <t>-</t>
  </si>
  <si>
    <t>Huntington Ingalls Industries (HII)</t>
  </si>
  <si>
    <t>90-0607005</t>
  </si>
  <si>
    <t>HII</t>
  </si>
  <si>
    <t>Fluor Corporation</t>
  </si>
  <si>
    <t>33-0927079</t>
  </si>
  <si>
    <t>FLR</t>
  </si>
  <si>
    <t>Construction and Engineering</t>
  </si>
  <si>
    <t>Engineering &amp; construction</t>
  </si>
  <si>
    <t>CACI International Inc</t>
  </si>
  <si>
    <t>54-1345888</t>
  </si>
  <si>
    <t>Peraton Inc.</t>
  </si>
  <si>
    <t>81-5224276</t>
  </si>
  <si>
    <t>Source: 01.scoping</t>
  </si>
  <si>
    <t>03-3322268</t>
  </si>
  <si>
    <t>95-3630868</t>
  </si>
  <si>
    <t>20-4596774</t>
  </si>
  <si>
    <t>95-3232481</t>
  </si>
  <si>
    <t>46-1932921</t>
  </si>
  <si>
    <t>54-1521871</t>
  </si>
  <si>
    <t>13-1673581</t>
  </si>
  <si>
    <t>54-0582680</t>
  </si>
  <si>
    <t>GD Land System</t>
  </si>
  <si>
    <t>54-0318880</t>
  </si>
  <si>
    <t>95-1778500</t>
  </si>
  <si>
    <t>CUST_TIN</t>
  </si>
  <si>
    <t>84-3981963</t>
  </si>
  <si>
    <t>99-0622272</t>
  </si>
  <si>
    <t>27-1628265</t>
  </si>
  <si>
    <t>84-4015419</t>
  </si>
  <si>
    <t>Key Risks Related to Amentum's Business and Industry</t>
  </si>
  <si>
    <r>
      <t>Dependence on U.S. Federal Government Contracts</t>
    </r>
    <r>
      <rPr>
        <sz val="11"/>
        <color theme="1"/>
        <rFont val="Calibri"/>
        <family val="2"/>
        <scheme val="minor"/>
      </rPr>
      <t>:</t>
    </r>
  </si>
  <si>
    <t>A significant portion of revenues comes from U.S. federal contracts.</t>
  </si>
  <si>
    <t>A reduction or cessation of these contracts would materially harm business and financial results.</t>
  </si>
  <si>
    <r>
      <t>Government Reviews and Audits</t>
    </r>
    <r>
      <rPr>
        <sz val="11"/>
        <color theme="1"/>
        <rFont val="Calibri"/>
        <family val="2"/>
        <scheme val="minor"/>
      </rPr>
      <t>:</t>
    </r>
  </si>
  <si>
    <t>Contracts are subject to frequent audits, which could lead to delayed payments, legal actions, fines, or other penalties.</t>
  </si>
  <si>
    <r>
      <t>Federal Budget Uncertainty</t>
    </r>
    <r>
      <rPr>
        <sz val="11"/>
        <color theme="1"/>
        <rFont val="Calibri"/>
        <family val="2"/>
        <scheme val="minor"/>
      </rPr>
      <t>:</t>
    </r>
  </si>
  <si>
    <t>Delays in federal budget approval, spending cuts, or shifts in priorities could negatively impact operations and revenues.</t>
  </si>
  <si>
    <r>
      <t>Intense Market Competition</t>
    </r>
    <r>
      <rPr>
        <sz val="11"/>
        <color theme="1"/>
        <rFont val="Calibri"/>
        <family val="2"/>
        <scheme val="minor"/>
      </rPr>
      <t>:</t>
    </r>
  </si>
  <si>
    <t>High competition could result in loss of market share and adversely affect financial performance.</t>
  </si>
  <si>
    <r>
      <t>Reliance on New Contract Awards</t>
    </r>
    <r>
      <rPr>
        <sz val="11"/>
        <color theme="1"/>
        <rFont val="Calibri"/>
        <family val="2"/>
        <scheme val="minor"/>
      </rPr>
      <t>:</t>
    </r>
  </si>
  <si>
    <t>Success depends on securing new contracts and their timely award.</t>
  </si>
  <si>
    <r>
      <t>Economic Risks</t>
    </r>
    <r>
      <rPr>
        <sz val="11"/>
        <color theme="1"/>
        <rFont val="Calibri"/>
        <family val="2"/>
        <scheme val="minor"/>
      </rPr>
      <t>:</t>
    </r>
  </si>
  <si>
    <t>Inflation, high-interest rates, and cost increases could reduce demand for services and profitability, especially for fixed-price contracts.</t>
  </si>
  <si>
    <r>
      <t>Workplace Safety and Environmental Risks</t>
    </r>
    <r>
      <rPr>
        <sz val="11"/>
        <color theme="1"/>
        <rFont val="Calibri"/>
        <family val="2"/>
        <scheme val="minor"/>
      </rPr>
      <t>:</t>
    </r>
  </si>
  <si>
    <t>Operations involve safety hazards, and accidents could result in financial losses, reputational harm, and legal liabilities.</t>
  </si>
  <si>
    <r>
      <t>Fixed-Price Contract Risks</t>
    </r>
    <r>
      <rPr>
        <sz val="11"/>
        <color theme="1"/>
        <rFont val="Calibri"/>
        <family val="2"/>
        <scheme val="minor"/>
      </rPr>
      <t>:</t>
    </r>
  </si>
  <si>
    <t>Fixed-price contracts pose risks of cost overruns, potentially impacting profits.</t>
  </si>
  <si>
    <r>
      <t>Performance Issues</t>
    </r>
    <r>
      <rPr>
        <sz val="11"/>
        <color theme="1"/>
        <rFont val="Calibri"/>
        <family val="2"/>
        <scheme val="minor"/>
      </rPr>
      <t>:</t>
    </r>
  </si>
  <si>
    <t>Failure to meet contract requirements or schedules could harm financial outcomes and reputation.</t>
  </si>
  <si>
    <r>
      <t>Backlog Uncertainty</t>
    </r>
    <r>
      <rPr>
        <sz val="11"/>
        <color theme="1"/>
        <rFont val="Calibri"/>
        <family val="2"/>
        <scheme val="minor"/>
      </rPr>
      <t>:</t>
    </r>
  </si>
  <si>
    <t>Contract backlog is not a guaranteed indicator of future revenue, as contracts can be adjusted, canceled, or suspended.</t>
  </si>
  <si>
    <r>
      <t>Regulatory and Liability Risks</t>
    </r>
    <r>
      <rPr>
        <sz val="11"/>
        <color theme="1"/>
        <rFont val="Calibri"/>
        <family val="2"/>
        <scheme val="minor"/>
      </rPr>
      <t>:</t>
    </r>
  </si>
  <si>
    <t>Noncompliance with regulations or liabilities from operations could lead to monetary damages, inadequate insurance coverage, and reputational damage.</t>
  </si>
  <si>
    <r>
      <t>Reliance on Third Parties</t>
    </r>
    <r>
      <rPr>
        <sz val="11"/>
        <color theme="1"/>
        <rFont val="Calibri"/>
        <family val="2"/>
        <scheme val="minor"/>
      </rPr>
      <t>:</t>
    </r>
  </si>
  <si>
    <t>Dependence on third parties for contract execution, misconduct, or regulatory noncompliance could reduce revenue and profitability.</t>
  </si>
  <si>
    <r>
      <t>Cybersecurity Risks</t>
    </r>
    <r>
      <rPr>
        <sz val="11"/>
        <color theme="1"/>
        <rFont val="Calibri"/>
        <family val="2"/>
        <scheme val="minor"/>
      </rPr>
      <t>:</t>
    </r>
  </si>
  <si>
    <t>Cyber breaches or IT failures could disrupt operations and result in financial losses and reputational harm.</t>
  </si>
  <si>
    <r>
      <t>Nuclear Services Indemnification</t>
    </r>
    <r>
      <rPr>
        <sz val="11"/>
        <color theme="1"/>
        <rFont val="Calibri"/>
        <family val="2"/>
        <scheme val="minor"/>
      </rPr>
      <t>:</t>
    </r>
  </si>
  <si>
    <t>Inadequate indemnification for nuclear services could negatively affect business operations and financial health.</t>
  </si>
  <si>
    <t>Risks Related to International Operations</t>
  </si>
  <si>
    <r>
      <t>1. Political and Economic Instability</t>
    </r>
    <r>
      <rPr>
        <sz val="11"/>
        <color theme="1"/>
        <rFont val="Calibri"/>
        <family val="2"/>
        <scheme val="minor"/>
      </rPr>
      <t>: International operations face risks like unfavorable political developments and weak foreign economies.</t>
    </r>
  </si>
  <si>
    <r>
      <t>2. Regulatory and Tax Changes</t>
    </r>
    <r>
      <rPr>
        <sz val="11"/>
        <color theme="1"/>
        <rFont val="Calibri"/>
        <family val="2"/>
        <scheme val="minor"/>
      </rPr>
      <t>: Changes in domestic and international laws, tax policies, and outcomes of tax audits could harm profitability and reputation.</t>
    </r>
  </si>
  <si>
    <r>
      <t>3. Security Risks</t>
    </r>
    <r>
      <rPr>
        <sz val="11"/>
        <color theme="1"/>
        <rFont val="Calibri"/>
        <family val="2"/>
        <scheme val="minor"/>
      </rPr>
      <t>: Operating in high-risk international locations poses safety concerns for employees and could lead to unexpected costs.</t>
    </r>
  </si>
  <si>
    <t>Risks Related to Acquisitions, Investments, Joint Ventures, and Divestitures</t>
  </si>
  <si>
    <r>
      <t>1. Joint Ventures and Partnerships</t>
    </r>
    <r>
      <rPr>
        <sz val="11"/>
        <color theme="1"/>
        <rFont val="Calibri"/>
        <family val="2"/>
        <scheme val="minor"/>
      </rPr>
      <t>: These involve risks outside the company’s control, potentially affecting outcomes.</t>
    </r>
  </si>
  <si>
    <r>
      <t>2. Goodwill Impairment</t>
    </r>
    <r>
      <rPr>
        <sz val="11"/>
        <color theme="1"/>
        <rFont val="Calibri"/>
        <family val="2"/>
        <scheme val="minor"/>
      </rPr>
      <t>: Impairment of goodwill or intangible assets could significantly impact financial results.</t>
    </r>
  </si>
  <si>
    <r>
      <t>3. Acquisition Strategy</t>
    </r>
    <r>
      <rPr>
        <sz val="11"/>
        <color theme="1"/>
        <rFont val="Calibri"/>
        <family val="2"/>
        <scheme val="minor"/>
      </rPr>
      <t>: Dependence on acquisitions and investments to sustain growth introduces risks, including integration challenges and unforeseen costs.</t>
    </r>
  </si>
  <si>
    <t>Risks Related to Regulatory Compliance</t>
  </si>
  <si>
    <r>
      <t>1. Federal Contractor Regulations</t>
    </r>
    <r>
      <rPr>
        <sz val="11"/>
        <color theme="1"/>
        <rFont val="Calibri"/>
        <family val="2"/>
        <scheme val="minor"/>
      </rPr>
      <t>: Non-compliance or changes in procurement laws and regulations could negatively impact the business.</t>
    </r>
  </si>
  <si>
    <r>
      <t>2. Data Privacy and Security</t>
    </r>
    <r>
      <rPr>
        <sz val="11"/>
        <color theme="1"/>
        <rFont val="Calibri"/>
        <family val="2"/>
        <scheme val="minor"/>
      </rPr>
      <t>: Compliance with evolving data privacy laws may lead to investigations, penalties, or required operational changes.</t>
    </r>
  </si>
  <si>
    <t>Risks Related to Indebtedness and Credit Markets</t>
  </si>
  <si>
    <r>
      <t>1. Significant Debt Levels</t>
    </r>
    <r>
      <rPr>
        <sz val="11"/>
        <color theme="1"/>
        <rFont val="Calibri"/>
        <family val="2"/>
        <scheme val="minor"/>
      </rPr>
      <t>: High indebtedness limits financial flexibility and could affect operations.</t>
    </r>
  </si>
  <si>
    <r>
      <t>2. Variable Interest Rates</t>
    </r>
    <r>
      <rPr>
        <sz val="11"/>
        <color theme="1"/>
        <rFont val="Calibri"/>
        <family val="2"/>
        <scheme val="minor"/>
      </rPr>
      <t>: Exposure to interest rate fluctuations increases financial vulnerability.</t>
    </r>
  </si>
  <si>
    <r>
      <t>3. Restrictive Covenants</t>
    </r>
    <r>
      <rPr>
        <sz val="11"/>
        <color theme="1"/>
        <rFont val="Calibri"/>
        <family val="2"/>
        <scheme val="minor"/>
      </rPr>
      <t>: Debt agreements may restrict business activities and operational flexibility.</t>
    </r>
  </si>
  <si>
    <t>Risks Related to the Transaction (Separation and Distribution with Jacobs)</t>
  </si>
  <si>
    <r>
      <t>1. Integration Challenges</t>
    </r>
    <r>
      <rPr>
        <sz val="11"/>
        <color theme="1"/>
        <rFont val="Calibri"/>
        <family val="2"/>
        <scheme val="minor"/>
      </rPr>
      <t>: Anticipated financial benefits from the transaction may not materialize, and integration may be difficult.</t>
    </r>
  </si>
  <si>
    <r>
      <t>2. Tax Implications</t>
    </r>
    <r>
      <rPr>
        <sz val="11"/>
        <color theme="1"/>
        <rFont val="Calibri"/>
        <family val="2"/>
        <scheme val="minor"/>
      </rPr>
      <t>: If the transaction does not qualify as tax-free, Jacobs or its shareholders could face substantial tax liabilities.</t>
    </r>
  </si>
  <si>
    <r>
      <t>3. Operational Restrictions</t>
    </r>
    <r>
      <rPr>
        <sz val="11"/>
        <color theme="1"/>
        <rFont val="Calibri"/>
        <family val="2"/>
        <scheme val="minor"/>
      </rPr>
      <t>: Restrictions to preserve tax treatment could hinder strategic initiatives.</t>
    </r>
  </si>
  <si>
    <r>
      <t>4. Transition Services Agreement</t>
    </r>
    <r>
      <rPr>
        <sz val="11"/>
        <color theme="1"/>
        <rFont val="Calibri"/>
        <family val="2"/>
        <scheme val="minor"/>
      </rPr>
      <t>: Failure to have systems in place after the agreement's expiration could disrupt operations.</t>
    </r>
  </si>
  <si>
    <t>Risks Related to Common Stock</t>
  </si>
  <si>
    <r>
      <t>1. Equityholder Concentration</t>
    </r>
    <r>
      <rPr>
        <sz val="11"/>
        <color theme="1"/>
        <rFont val="Calibri"/>
        <family val="2"/>
        <scheme val="minor"/>
      </rPr>
      <t>: Significant stock ownership by Amentum Equityholder could influence decisions.</t>
    </r>
  </si>
  <si>
    <r>
      <t>2. Stock Price Volatility</t>
    </r>
    <r>
      <rPr>
        <sz val="11"/>
        <color theme="1"/>
        <rFont val="Calibri"/>
        <family val="2"/>
        <scheme val="minor"/>
      </rPr>
      <t>: Fluctuating quarterly results and large share sales could negatively affect the stock price.</t>
    </r>
  </si>
  <si>
    <t>Risks Related to Climate Change</t>
  </si>
  <si>
    <r>
      <t>1. Weather-Related Impacts</t>
    </r>
    <r>
      <rPr>
        <sz val="11"/>
        <color theme="1"/>
        <rFont val="Calibri"/>
        <family val="2"/>
        <scheme val="minor"/>
      </rPr>
      <t>: Climate-related events may damage equipment and infrastructure, harming operations.</t>
    </r>
  </si>
  <si>
    <r>
      <t>2. Market and Regulatory Responses</t>
    </r>
    <r>
      <rPr>
        <sz val="11"/>
        <color theme="1"/>
        <rFont val="Calibri"/>
        <family val="2"/>
        <scheme val="minor"/>
      </rPr>
      <t>: Failure to meet climate-related commitments or regulatory demands could affect operations and reputation.</t>
    </r>
  </si>
  <si>
    <t xml:space="preserve">still didn't know how to take advantage of 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</si>
</sst>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0" xfId="0" applyFont="1"/>
    <xf numFmtId="0" fontId="2" fillId="3" borderId="0" xfId="0" applyFont="1" applyFill="1"/>
    <xf numFmtId="0" fontId="2" fillId="3" borderId="2" xfId="0" applyFont="1" applyFill="1" applyBorder="1"/>
    <xf numFmtId="0" fontId="3" fillId="0" borderId="0" xfId="0" applyFont="1"/>
    <xf numFmtId="0" fontId="3" fillId="3" borderId="0" xfId="0" applyFont="1" applyFill="1"/>
    <xf numFmtId="0" fontId="0" fillId="0" borderId="0" xfId="0" applyAlignment="1">
      <alignment horizontal="right"/>
    </xf>
    <xf numFmtId="0" fontId="4" fillId="0" borderId="0" xfId="0" applyFont="1"/>
    <xf numFmtId="0" fontId="1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B12" sqref="B12"/>
    </sheetView>
  </sheetViews>
  <sheetFormatPr defaultRowHeight="14.4" x14ac:dyDescent="0.3"/>
  <cols>
    <col min="2" max="2" width="44.88671875" bestFit="1" customWidth="1"/>
    <col min="3" max="3" width="10.6640625" bestFit="1" customWidth="1"/>
    <col min="4" max="4" width="6" bestFit="1" customWidth="1"/>
    <col min="5" max="5" width="11.88671875" bestFit="1" customWidth="1"/>
    <col min="6" max="6" width="28.21875" bestFit="1" customWidth="1"/>
    <col min="7" max="7" width="30" bestFit="1" customWidth="1"/>
    <col min="9" max="9" width="10" bestFit="1" customWidth="1"/>
  </cols>
  <sheetData>
    <row r="1" spans="1:9" x14ac:dyDescent="0.3">
      <c r="A1" t="s">
        <v>60</v>
      </c>
    </row>
    <row r="2" spans="1:9" x14ac:dyDescent="0.3">
      <c r="B2" t="s">
        <v>3</v>
      </c>
      <c r="F2" s="1" t="s">
        <v>4</v>
      </c>
      <c r="G2" t="s">
        <v>5</v>
      </c>
    </row>
    <row r="3" spans="1:9" x14ac:dyDescent="0.3">
      <c r="F3" s="18" t="s">
        <v>6</v>
      </c>
      <c r="G3" s="18"/>
    </row>
    <row r="4" spans="1:9" x14ac:dyDescent="0.3">
      <c r="B4" s="2" t="s">
        <v>7</v>
      </c>
      <c r="C4" s="2" t="s">
        <v>8</v>
      </c>
      <c r="D4" s="2" t="s">
        <v>9</v>
      </c>
      <c r="E4" s="2" t="s">
        <v>10</v>
      </c>
      <c r="F4" s="3" t="s">
        <v>11</v>
      </c>
      <c r="G4" s="3" t="s">
        <v>12</v>
      </c>
      <c r="I4" t="s">
        <v>72</v>
      </c>
    </row>
    <row r="5" spans="1:9" x14ac:dyDescent="0.3">
      <c r="B5" t="s">
        <v>13</v>
      </c>
      <c r="C5" s="7" t="s">
        <v>14</v>
      </c>
      <c r="D5" t="s">
        <v>15</v>
      </c>
      <c r="E5" t="s">
        <v>16</v>
      </c>
      <c r="F5" s="1" t="s">
        <v>4</v>
      </c>
      <c r="G5" t="s">
        <v>5</v>
      </c>
      <c r="I5" t="str">
        <f>SUBSTITUTE(C5,"-","")</f>
        <v>203562868</v>
      </c>
    </row>
    <row r="6" spans="1:9" x14ac:dyDescent="0.3">
      <c r="C6" s="8" t="s">
        <v>61</v>
      </c>
      <c r="F6" s="1"/>
      <c r="I6" t="str">
        <f t="shared" ref="I6:I34" si="0">SUBSTITUTE(C6,"-","")</f>
        <v>033322268</v>
      </c>
    </row>
    <row r="7" spans="1:9" x14ac:dyDescent="0.3">
      <c r="C7" s="8" t="s">
        <v>62</v>
      </c>
      <c r="F7" s="1"/>
      <c r="I7" t="str">
        <f t="shared" si="0"/>
        <v>953630868</v>
      </c>
    </row>
    <row r="8" spans="1:9" x14ac:dyDescent="0.3">
      <c r="B8" t="s">
        <v>17</v>
      </c>
      <c r="C8" s="7" t="s">
        <v>18</v>
      </c>
      <c r="D8" t="s">
        <v>1</v>
      </c>
      <c r="E8" t="s">
        <v>16</v>
      </c>
      <c r="F8" s="1" t="s">
        <v>4</v>
      </c>
      <c r="G8" t="s">
        <v>19</v>
      </c>
      <c r="I8" t="str">
        <f t="shared" si="0"/>
        <v>463509666</v>
      </c>
    </row>
    <row r="9" spans="1:9" x14ac:dyDescent="0.3">
      <c r="C9" s="8" t="s">
        <v>65</v>
      </c>
      <c r="F9" s="1"/>
      <c r="I9" t="str">
        <f t="shared" si="0"/>
        <v>461932921</v>
      </c>
    </row>
    <row r="10" spans="1:9" x14ac:dyDescent="0.3">
      <c r="B10" t="s">
        <v>20</v>
      </c>
      <c r="C10" s="7" t="s">
        <v>21</v>
      </c>
      <c r="D10" t="s">
        <v>22</v>
      </c>
      <c r="E10" t="s">
        <v>16</v>
      </c>
      <c r="F10" s="1" t="s">
        <v>4</v>
      </c>
      <c r="G10" t="s">
        <v>23</v>
      </c>
      <c r="I10" t="str">
        <f t="shared" si="0"/>
        <v>362513626</v>
      </c>
    </row>
    <row r="11" spans="1:9" x14ac:dyDescent="0.3">
      <c r="B11" t="s">
        <v>24</v>
      </c>
      <c r="C11" s="7" t="s">
        <v>25</v>
      </c>
      <c r="D11" t="s">
        <v>2</v>
      </c>
      <c r="E11" t="s">
        <v>16</v>
      </c>
      <c r="F11" s="1" t="s">
        <v>4</v>
      </c>
      <c r="G11" t="s">
        <v>26</v>
      </c>
      <c r="I11" t="str">
        <f t="shared" si="0"/>
        <v>954081636</v>
      </c>
    </row>
    <row r="12" spans="1:9" x14ac:dyDescent="0.3">
      <c r="B12" t="s">
        <v>27</v>
      </c>
      <c r="C12" s="7" t="s">
        <v>28</v>
      </c>
      <c r="D12" t="s">
        <v>29</v>
      </c>
      <c r="E12" t="s">
        <v>16</v>
      </c>
      <c r="F12" s="1" t="s">
        <v>4</v>
      </c>
      <c r="G12" t="s">
        <v>19</v>
      </c>
      <c r="I12" t="str">
        <f t="shared" si="0"/>
        <v>952580851</v>
      </c>
    </row>
    <row r="13" spans="1:9" x14ac:dyDescent="0.3">
      <c r="C13" s="8" t="s">
        <v>64</v>
      </c>
      <c r="F13" s="1"/>
      <c r="I13" t="str">
        <f t="shared" si="0"/>
        <v>953232481</v>
      </c>
    </row>
    <row r="14" spans="1:9" x14ac:dyDescent="0.3">
      <c r="B14" t="s">
        <v>30</v>
      </c>
      <c r="C14" s="7" t="s">
        <v>31</v>
      </c>
      <c r="D14" t="s">
        <v>32</v>
      </c>
      <c r="E14" t="s">
        <v>16</v>
      </c>
      <c r="F14" s="1" t="s">
        <v>4</v>
      </c>
      <c r="G14" t="s">
        <v>19</v>
      </c>
      <c r="I14" t="str">
        <f t="shared" si="0"/>
        <v>541899442</v>
      </c>
    </row>
    <row r="15" spans="1:9" x14ac:dyDescent="0.3">
      <c r="B15" s="5"/>
      <c r="C15" s="9" t="s">
        <v>63</v>
      </c>
      <c r="D15" s="5"/>
      <c r="E15" s="5"/>
      <c r="F15" s="6"/>
      <c r="G15" s="5"/>
      <c r="I15" t="str">
        <f t="shared" si="0"/>
        <v>204596774</v>
      </c>
    </row>
    <row r="16" spans="1:9" x14ac:dyDescent="0.3">
      <c r="B16" t="s">
        <v>33</v>
      </c>
      <c r="C16" s="10" t="s">
        <v>34</v>
      </c>
      <c r="D16" t="s">
        <v>35</v>
      </c>
      <c r="E16" t="s">
        <v>16</v>
      </c>
      <c r="F16" s="1" t="s">
        <v>36</v>
      </c>
      <c r="G16" t="s">
        <v>5</v>
      </c>
      <c r="I16" t="str">
        <f t="shared" si="0"/>
        <v>541194322</v>
      </c>
    </row>
    <row r="17" spans="2:9" x14ac:dyDescent="0.3">
      <c r="C17" s="11" t="s">
        <v>66</v>
      </c>
      <c r="F17" s="1"/>
      <c r="I17" t="str">
        <f t="shared" si="0"/>
        <v>541521871</v>
      </c>
    </row>
    <row r="18" spans="2:9" x14ac:dyDescent="0.3">
      <c r="C18" s="11" t="s">
        <v>67</v>
      </c>
      <c r="F18" s="1"/>
      <c r="I18" t="str">
        <f t="shared" si="0"/>
        <v>131673581</v>
      </c>
    </row>
    <row r="19" spans="2:9" x14ac:dyDescent="0.3">
      <c r="B19" s="12" t="s">
        <v>69</v>
      </c>
      <c r="C19" s="11" t="s">
        <v>68</v>
      </c>
      <c r="F19" s="1"/>
      <c r="I19" t="str">
        <f t="shared" si="0"/>
        <v>540582680</v>
      </c>
    </row>
    <row r="20" spans="2:9" x14ac:dyDescent="0.3">
      <c r="B20" t="s">
        <v>37</v>
      </c>
      <c r="C20" s="10" t="s">
        <v>38</v>
      </c>
      <c r="D20" t="s">
        <v>39</v>
      </c>
      <c r="E20" t="s">
        <v>16</v>
      </c>
      <c r="F20" s="1" t="s">
        <v>36</v>
      </c>
      <c r="G20" t="s">
        <v>5</v>
      </c>
      <c r="I20" t="str">
        <f t="shared" si="0"/>
        <v>954840775</v>
      </c>
    </row>
    <row r="21" spans="2:9" x14ac:dyDescent="0.3">
      <c r="B21" t="s">
        <v>40</v>
      </c>
      <c r="C21" s="10" t="s">
        <v>41</v>
      </c>
      <c r="D21" t="s">
        <v>42</v>
      </c>
      <c r="E21" t="s">
        <v>16</v>
      </c>
      <c r="F21" s="1" t="s">
        <v>36</v>
      </c>
      <c r="G21" t="s">
        <v>5</v>
      </c>
      <c r="I21" t="str">
        <f t="shared" si="0"/>
        <v>060570975</v>
      </c>
    </row>
    <row r="22" spans="2:9" x14ac:dyDescent="0.3">
      <c r="C22" s="11" t="s">
        <v>71</v>
      </c>
      <c r="F22" s="1"/>
      <c r="I22" t="str">
        <f t="shared" si="0"/>
        <v>951778500</v>
      </c>
    </row>
    <row r="23" spans="2:9" x14ac:dyDescent="0.3">
      <c r="B23" t="s">
        <v>43</v>
      </c>
      <c r="C23" s="7" t="s">
        <v>44</v>
      </c>
      <c r="D23" t="s">
        <v>45</v>
      </c>
      <c r="E23" t="s">
        <v>46</v>
      </c>
      <c r="F23" s="4" t="s">
        <v>47</v>
      </c>
      <c r="G23" s="4" t="s">
        <v>47</v>
      </c>
      <c r="I23" t="str">
        <f t="shared" si="0"/>
        <v>221852179</v>
      </c>
    </row>
    <row r="24" spans="2:9" x14ac:dyDescent="0.3">
      <c r="B24" t="s">
        <v>48</v>
      </c>
      <c r="C24" s="10" t="s">
        <v>49</v>
      </c>
      <c r="D24" t="s">
        <v>50</v>
      </c>
      <c r="E24" t="s">
        <v>16</v>
      </c>
      <c r="F24" s="1" t="s">
        <v>36</v>
      </c>
      <c r="G24" t="s">
        <v>5</v>
      </c>
      <c r="I24" t="str">
        <f t="shared" si="0"/>
        <v>900607005</v>
      </c>
    </row>
    <row r="25" spans="2:9" x14ac:dyDescent="0.3">
      <c r="C25" s="11" t="s">
        <v>70</v>
      </c>
      <c r="F25" s="1"/>
      <c r="I25" t="str">
        <f t="shared" si="0"/>
        <v>540318880</v>
      </c>
    </row>
    <row r="26" spans="2:9" x14ac:dyDescent="0.3">
      <c r="B26" t="s">
        <v>51</v>
      </c>
      <c r="C26" s="10" t="s">
        <v>52</v>
      </c>
      <c r="D26" t="s">
        <v>53</v>
      </c>
      <c r="E26" t="s">
        <v>16</v>
      </c>
      <c r="F26" s="1" t="s">
        <v>54</v>
      </c>
      <c r="G26" t="s">
        <v>55</v>
      </c>
      <c r="I26" t="str">
        <f t="shared" si="0"/>
        <v>330927079</v>
      </c>
    </row>
    <row r="27" spans="2:9" x14ac:dyDescent="0.3">
      <c r="B27" t="s">
        <v>56</v>
      </c>
      <c r="C27" s="7" t="s">
        <v>57</v>
      </c>
      <c r="D27" t="s">
        <v>0</v>
      </c>
      <c r="E27" t="s">
        <v>16</v>
      </c>
      <c r="F27" s="1" t="s">
        <v>4</v>
      </c>
      <c r="G27" t="s">
        <v>19</v>
      </c>
      <c r="I27" t="str">
        <f t="shared" si="0"/>
        <v>541345888</v>
      </c>
    </row>
    <row r="28" spans="2:9" x14ac:dyDescent="0.3">
      <c r="B28" t="s">
        <v>58</v>
      </c>
      <c r="C28" s="7" t="s">
        <v>59</v>
      </c>
      <c r="D28" t="s">
        <v>45</v>
      </c>
      <c r="E28" t="s">
        <v>46</v>
      </c>
      <c r="F28" s="4" t="s">
        <v>47</v>
      </c>
      <c r="G28" s="4" t="s">
        <v>47</v>
      </c>
      <c r="I28" t="str">
        <f t="shared" si="0"/>
        <v>815224276</v>
      </c>
    </row>
    <row r="29" spans="2:9" x14ac:dyDescent="0.3">
      <c r="I29" t="str">
        <f t="shared" si="0"/>
        <v/>
      </c>
    </row>
    <row r="30" spans="2:9" x14ac:dyDescent="0.3">
      <c r="I30" t="str">
        <f t="shared" si="0"/>
        <v/>
      </c>
    </row>
    <row r="31" spans="2:9" x14ac:dyDescent="0.3">
      <c r="B31" t="s">
        <v>3</v>
      </c>
      <c r="C31" s="7" t="s">
        <v>74</v>
      </c>
      <c r="I31" t="str">
        <f t="shared" si="0"/>
        <v>990622272</v>
      </c>
    </row>
    <row r="32" spans="2:9" x14ac:dyDescent="0.3">
      <c r="C32" s="7" t="s">
        <v>75</v>
      </c>
      <c r="I32" t="str">
        <f t="shared" si="0"/>
        <v>271628265</v>
      </c>
    </row>
    <row r="33" spans="2:9" x14ac:dyDescent="0.3">
      <c r="C33" s="7" t="s">
        <v>76</v>
      </c>
      <c r="I33" t="str">
        <f t="shared" si="0"/>
        <v>844015419</v>
      </c>
    </row>
    <row r="34" spans="2:9" x14ac:dyDescent="0.3">
      <c r="C34" s="8" t="s">
        <v>73</v>
      </c>
      <c r="I34" t="str">
        <f t="shared" si="0"/>
        <v>843981963</v>
      </c>
    </row>
    <row r="37" spans="2:9" x14ac:dyDescent="0.3">
      <c r="B37" s="13"/>
    </row>
  </sheetData>
  <mergeCells count="1"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B072-1546-469C-81C2-2BA1C35A95AD}">
  <dimension ref="A1:B97"/>
  <sheetViews>
    <sheetView zoomScale="85" zoomScaleNormal="85" workbookViewId="0">
      <selection activeCell="D32" sqref="D32"/>
    </sheetView>
  </sheetViews>
  <sheetFormatPr defaultRowHeight="14.4" x14ac:dyDescent="0.3"/>
  <sheetData>
    <row r="1" spans="1:2" x14ac:dyDescent="0.3">
      <c r="A1" s="14" t="s">
        <v>77</v>
      </c>
    </row>
    <row r="2" spans="1:2" x14ac:dyDescent="0.3">
      <c r="B2" s="14" t="s">
        <v>78</v>
      </c>
    </row>
    <row r="3" spans="1:2" x14ac:dyDescent="0.3">
      <c r="B3" s="15"/>
    </row>
    <row r="4" spans="1:2" x14ac:dyDescent="0.3">
      <c r="B4" s="15" t="s">
        <v>79</v>
      </c>
    </row>
    <row r="5" spans="1:2" x14ac:dyDescent="0.3">
      <c r="B5" s="15" t="s">
        <v>80</v>
      </c>
    </row>
    <row r="7" spans="1:2" x14ac:dyDescent="0.3">
      <c r="B7" s="14" t="s">
        <v>81</v>
      </c>
    </row>
    <row r="8" spans="1:2" x14ac:dyDescent="0.3">
      <c r="B8" s="15"/>
    </row>
    <row r="9" spans="1:2" x14ac:dyDescent="0.3">
      <c r="B9" s="15" t="s">
        <v>82</v>
      </c>
    </row>
    <row r="11" spans="1:2" x14ac:dyDescent="0.3">
      <c r="B11" s="14" t="s">
        <v>83</v>
      </c>
    </row>
    <row r="12" spans="1:2" x14ac:dyDescent="0.3">
      <c r="B12" s="15"/>
    </row>
    <row r="13" spans="1:2" x14ac:dyDescent="0.3">
      <c r="B13" s="15" t="s">
        <v>84</v>
      </c>
    </row>
    <row r="15" spans="1:2" x14ac:dyDescent="0.3">
      <c r="B15" s="14" t="s">
        <v>85</v>
      </c>
    </row>
    <row r="16" spans="1:2" x14ac:dyDescent="0.3">
      <c r="B16" s="15"/>
    </row>
    <row r="17" spans="2:2" x14ac:dyDescent="0.3">
      <c r="B17" s="15" t="s">
        <v>86</v>
      </c>
    </row>
    <row r="19" spans="2:2" x14ac:dyDescent="0.3">
      <c r="B19" s="14" t="s">
        <v>87</v>
      </c>
    </row>
    <row r="20" spans="2:2" x14ac:dyDescent="0.3">
      <c r="B20" s="15"/>
    </row>
    <row r="21" spans="2:2" x14ac:dyDescent="0.3">
      <c r="B21" s="15" t="s">
        <v>88</v>
      </c>
    </row>
    <row r="23" spans="2:2" x14ac:dyDescent="0.3">
      <c r="B23" s="14" t="s">
        <v>89</v>
      </c>
    </row>
    <row r="24" spans="2:2" x14ac:dyDescent="0.3">
      <c r="B24" s="15"/>
    </row>
    <row r="25" spans="2:2" x14ac:dyDescent="0.3">
      <c r="B25" s="15" t="s">
        <v>90</v>
      </c>
    </row>
    <row r="27" spans="2:2" x14ac:dyDescent="0.3">
      <c r="B27" s="14" t="s">
        <v>91</v>
      </c>
    </row>
    <row r="28" spans="2:2" x14ac:dyDescent="0.3">
      <c r="B28" s="15"/>
    </row>
    <row r="29" spans="2:2" x14ac:dyDescent="0.3">
      <c r="B29" s="15" t="s">
        <v>92</v>
      </c>
    </row>
    <row r="31" spans="2:2" x14ac:dyDescent="0.3">
      <c r="B31" s="14" t="s">
        <v>93</v>
      </c>
    </row>
    <row r="32" spans="2:2" x14ac:dyDescent="0.3">
      <c r="B32" s="15"/>
    </row>
    <row r="33" spans="2:2" x14ac:dyDescent="0.3">
      <c r="B33" s="15" t="s">
        <v>94</v>
      </c>
    </row>
    <row r="35" spans="2:2" x14ac:dyDescent="0.3">
      <c r="B35" s="14" t="s">
        <v>95</v>
      </c>
    </row>
    <row r="36" spans="2:2" x14ac:dyDescent="0.3">
      <c r="B36" s="15"/>
    </row>
    <row r="37" spans="2:2" x14ac:dyDescent="0.3">
      <c r="B37" s="15" t="s">
        <v>96</v>
      </c>
    </row>
    <row r="39" spans="2:2" x14ac:dyDescent="0.3">
      <c r="B39" s="14" t="s">
        <v>97</v>
      </c>
    </row>
    <row r="40" spans="2:2" x14ac:dyDescent="0.3">
      <c r="B40" s="15"/>
    </row>
    <row r="41" spans="2:2" x14ac:dyDescent="0.3">
      <c r="B41" s="15" t="s">
        <v>98</v>
      </c>
    </row>
    <row r="43" spans="2:2" x14ac:dyDescent="0.3">
      <c r="B43" s="14" t="s">
        <v>99</v>
      </c>
    </row>
    <row r="44" spans="2:2" x14ac:dyDescent="0.3">
      <c r="B44" s="15"/>
    </row>
    <row r="45" spans="2:2" x14ac:dyDescent="0.3">
      <c r="B45" s="15" t="s">
        <v>100</v>
      </c>
    </row>
    <row r="47" spans="2:2" x14ac:dyDescent="0.3">
      <c r="B47" s="14" t="s">
        <v>101</v>
      </c>
    </row>
    <row r="48" spans="2:2" x14ac:dyDescent="0.3">
      <c r="B48" s="15"/>
    </row>
    <row r="49" spans="1:2" x14ac:dyDescent="0.3">
      <c r="B49" s="15" t="s">
        <v>102</v>
      </c>
    </row>
    <row r="51" spans="1:2" x14ac:dyDescent="0.3">
      <c r="B51" s="14" t="s">
        <v>103</v>
      </c>
    </row>
    <row r="52" spans="1:2" x14ac:dyDescent="0.3">
      <c r="B52" s="15"/>
    </row>
    <row r="53" spans="1:2" x14ac:dyDescent="0.3">
      <c r="B53" s="15" t="s">
        <v>104</v>
      </c>
    </row>
    <row r="55" spans="1:2" x14ac:dyDescent="0.3">
      <c r="B55" s="14" t="s">
        <v>105</v>
      </c>
    </row>
    <row r="56" spans="1:2" x14ac:dyDescent="0.3">
      <c r="B56" s="15"/>
    </row>
    <row r="57" spans="1:2" x14ac:dyDescent="0.3">
      <c r="B57" s="15" t="s">
        <v>106</v>
      </c>
    </row>
    <row r="59" spans="1:2" ht="15.6" x14ac:dyDescent="0.3">
      <c r="A59" s="16" t="s">
        <v>107</v>
      </c>
    </row>
    <row r="60" spans="1:2" x14ac:dyDescent="0.3">
      <c r="A60" s="15"/>
    </row>
    <row r="61" spans="1:2" x14ac:dyDescent="0.3">
      <c r="A61" s="17" t="s">
        <v>108</v>
      </c>
    </row>
    <row r="62" spans="1:2" x14ac:dyDescent="0.3">
      <c r="A62" s="17" t="s">
        <v>109</v>
      </c>
    </row>
    <row r="63" spans="1:2" x14ac:dyDescent="0.3">
      <c r="A63" s="17" t="s">
        <v>110</v>
      </c>
    </row>
    <row r="65" spans="1:1" ht="15.6" x14ac:dyDescent="0.3">
      <c r="A65" s="16" t="s">
        <v>111</v>
      </c>
    </row>
    <row r="66" spans="1:1" x14ac:dyDescent="0.3">
      <c r="A66" s="15"/>
    </row>
    <row r="67" spans="1:1" x14ac:dyDescent="0.3">
      <c r="A67" s="17" t="s">
        <v>112</v>
      </c>
    </row>
    <row r="68" spans="1:1" x14ac:dyDescent="0.3">
      <c r="A68" s="17" t="s">
        <v>113</v>
      </c>
    </row>
    <row r="69" spans="1:1" x14ac:dyDescent="0.3">
      <c r="A69" s="17" t="s">
        <v>114</v>
      </c>
    </row>
    <row r="71" spans="1:1" ht="15.6" x14ac:dyDescent="0.3">
      <c r="A71" s="16" t="s">
        <v>115</v>
      </c>
    </row>
    <row r="72" spans="1:1" x14ac:dyDescent="0.3">
      <c r="A72" s="15"/>
    </row>
    <row r="73" spans="1:1" x14ac:dyDescent="0.3">
      <c r="A73" s="17" t="s">
        <v>116</v>
      </c>
    </row>
    <row r="74" spans="1:1" x14ac:dyDescent="0.3">
      <c r="A74" s="17" t="s">
        <v>117</v>
      </c>
    </row>
    <row r="76" spans="1:1" ht="15.6" x14ac:dyDescent="0.3">
      <c r="A76" s="16" t="s">
        <v>118</v>
      </c>
    </row>
    <row r="77" spans="1:1" x14ac:dyDescent="0.3">
      <c r="A77" s="15"/>
    </row>
    <row r="78" spans="1:1" x14ac:dyDescent="0.3">
      <c r="A78" s="17" t="s">
        <v>119</v>
      </c>
    </row>
    <row r="79" spans="1:1" x14ac:dyDescent="0.3">
      <c r="A79" s="17" t="s">
        <v>120</v>
      </c>
    </row>
    <row r="80" spans="1:1" x14ac:dyDescent="0.3">
      <c r="A80" s="17" t="s">
        <v>121</v>
      </c>
    </row>
    <row r="82" spans="1:1" ht="15.6" x14ac:dyDescent="0.3">
      <c r="A82" s="16" t="s">
        <v>122</v>
      </c>
    </row>
    <row r="83" spans="1:1" x14ac:dyDescent="0.3">
      <c r="A83" s="15"/>
    </row>
    <row r="84" spans="1:1" x14ac:dyDescent="0.3">
      <c r="A84" s="17" t="s">
        <v>123</v>
      </c>
    </row>
    <row r="85" spans="1:1" x14ac:dyDescent="0.3">
      <c r="A85" s="17" t="s">
        <v>124</v>
      </c>
    </row>
    <row r="86" spans="1:1" x14ac:dyDescent="0.3">
      <c r="A86" s="17" t="s">
        <v>125</v>
      </c>
    </row>
    <row r="87" spans="1:1" x14ac:dyDescent="0.3">
      <c r="A87" s="17" t="s">
        <v>126</v>
      </c>
    </row>
    <row r="89" spans="1:1" ht="15.6" x14ac:dyDescent="0.3">
      <c r="A89" s="16" t="s">
        <v>127</v>
      </c>
    </row>
    <row r="90" spans="1:1" x14ac:dyDescent="0.3">
      <c r="A90" s="15"/>
    </row>
    <row r="91" spans="1:1" x14ac:dyDescent="0.3">
      <c r="A91" s="17" t="s">
        <v>128</v>
      </c>
    </row>
    <row r="92" spans="1:1" x14ac:dyDescent="0.3">
      <c r="A92" s="17" t="s">
        <v>129</v>
      </c>
    </row>
    <row r="94" spans="1:1" ht="15.6" x14ac:dyDescent="0.3">
      <c r="A94" s="16" t="s">
        <v>130</v>
      </c>
    </row>
    <row r="95" spans="1:1" x14ac:dyDescent="0.3">
      <c r="A95" s="15"/>
    </row>
    <row r="96" spans="1:1" x14ac:dyDescent="0.3">
      <c r="A96" s="17" t="s">
        <v>131</v>
      </c>
    </row>
    <row r="97" spans="1:1" x14ac:dyDescent="0.3">
      <c r="A97" s="17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CB33E-4510-4F0C-9DA0-AC4A31A9D7C3}">
  <dimension ref="B2"/>
  <sheetViews>
    <sheetView tabSelected="1" workbookViewId="0">
      <selection activeCell="B2" sqref="B2"/>
    </sheetView>
  </sheetViews>
  <sheetFormatPr defaultRowHeight="14.4" x14ac:dyDescent="0.3"/>
  <sheetData>
    <row r="2" spans="2:2" x14ac:dyDescent="0.3">
      <c r="B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from.scoping</vt:lpstr>
      <vt:lpstr>risk_factors</vt:lpstr>
      <vt:lpstr>peers.hand.pick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2024-12-25T02:55:16Z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{D03E6BA6-987C-4D69-B289-B966D386B078}</vt:lpwstr>
  </property>
</Properties>
</file>