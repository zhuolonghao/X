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4470D2CD-2249-CD33-4A35-6F278624656F}"/>
  <workbookPr codeName="ThisWorkbook"/>
  <mc:AlternateContent xmlns:mc="http://schemas.openxmlformats.org/markup-compatibility/2006">
    <mc:Choice Requires="x15">
      <x15ac:absPath xmlns:x15ac="http://schemas.microsoft.com/office/spreadsheetml/2010/11/ac" url="C:\Users\longh\Desktop\X\analyst\2024.8.25_FMC\"/>
    </mc:Choice>
  </mc:AlternateContent>
  <xr:revisionPtr revIDLastSave="0" documentId="13_ncr:1_{D7507DC1-5F49-41BF-8089-100A9A00013D}" xr6:coauthVersionLast="47" xr6:coauthVersionMax="47" xr10:uidLastSave="{00000000-0000-0000-0000-000000000000}"/>
  <bookViews>
    <workbookView xWindow="-108" yWindow="-108" windowWidth="23256" windowHeight="14016" tabRatio="798" firstSheet="1" activeTab="3" xr2:uid="{00000000-000D-0000-FFFF-FFFF00000000}"/>
  </bookViews>
  <sheets>
    <sheet name="__snloffice" sheetId="12" state="veryHidden" r:id="rId1"/>
    <sheet name="Key_Stats" sheetId="1" r:id="rId2"/>
    <sheet name="Capitalization" sheetId="7" r:id="rId3"/>
    <sheet name="Income_Statement" sheetId="4" r:id="rId4"/>
    <sheet name="Balance_Sheet" sheetId="5" r:id="rId5"/>
    <sheet name="Cash_Flow" sheetId="6" r:id="rId6"/>
    <sheet name="Capital_Structure_Summary" sheetId="8" r:id="rId7"/>
    <sheet name="Ratios" sheetId="9" r:id="rId8"/>
    <sheet name="Supplemental" sheetId="10" r:id="rId9"/>
    <sheet name="Pension-OPEB" sheetId="11" r:id="rId10"/>
  </sheets>
  <externalReferences>
    <externalReference r:id="rId11"/>
  </externalReferences>
  <definedNames>
    <definedName name="Check_ConMethod">Key_Stats!$I$18</definedName>
    <definedName name="Check_Currency">Key_Stats!$F$18</definedName>
    <definedName name="Check_Mag">Key_Stats!$H$18</definedName>
    <definedName name="CIQWBGuid" hidden="1">"2f36ef51-6a77-4ea9-ad7c-ca71f20b3aa0"</definedName>
    <definedName name="ClearData">Key_Stats!$J$28:$L$52</definedName>
    <definedName name="Conv_List">'Pension-OPEB'!$Z$113:$Z$114</definedName>
    <definedName name="Cu_Sym">'Pension-OPEB'!$AB$17</definedName>
    <definedName name="Curr_Sym">'Pension-OPEB'!$AC$17</definedName>
    <definedName name="CURR_SYMBOL">'Pension-OPEB'!$AB$18</definedName>
    <definedName name="Currency_Name">'Pension-OPEB'!$Z$22:$Z$100</definedName>
    <definedName name="Date">Key_Stats!$F$15</definedName>
    <definedName name="Divisor">'Pension-OPEB'!$AB$102</definedName>
    <definedName name="Focus_Co">Key_Stats!$F$9</definedName>
    <definedName name="FormatTable">Key_Stats!$T$15:$V$17</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44097.5922453704</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QRCapitalStructureDetailsU34" hidden="1">'[1]Capital Structure Details'!$U$35:$U$59</definedName>
    <definedName name="IQRCapitalStructureDetailsU5" hidden="1">'[1]Capital Structure Details'!$U$6:$U$30</definedName>
    <definedName name="IQRCapitalStructureDetailsU63" hidden="1">'[1]Capital Structure Details'!$U$64:$U$88</definedName>
    <definedName name="KI">IF(Key_Stats!$K$25="",Key_Stats!$E$25:$J$25,Key_Stats!$E$25:$L$25)</definedName>
    <definedName name="Magnitude">'Pension-OPEB'!$Z$105:$Z$110</definedName>
    <definedName name="Period">Key_Stats!$F$11</definedName>
    <definedName name="_xlnm.Print_Area" localSheetId="4">Balance_Sheet!$B$4:$P$142</definedName>
    <definedName name="_xlnm.Print_Area" localSheetId="6">Capital_Structure_Summary!$B$4:$P$152</definedName>
    <definedName name="_xlnm.Print_Area" localSheetId="2">Capitalization!$B$2:$J$31</definedName>
    <definedName name="_xlnm.Print_Area" localSheetId="5">Cash_Flow!$B$4:$P$93</definedName>
    <definedName name="_xlnm.Print_Area" localSheetId="3">Income_Statement!$B$4:$P$175</definedName>
    <definedName name="_xlnm.Print_Area" localSheetId="1">Key_Stats!$B$29:$O$116</definedName>
    <definedName name="_xlnm.Print_Area" localSheetId="9">'Pension-OPEB'!$B$4:$I$571</definedName>
    <definedName name="_xlnm.Print_Area" localSheetId="7">Ratios!$B$4:$I$153</definedName>
    <definedName name="_xlnm.Print_Area" localSheetId="8">Supplemental!$B$4:$I$167</definedName>
    <definedName name="_xlnm.Print_Titles" localSheetId="4">Balance_Sheet!$B:$B,Balance_Sheet!$4:$13</definedName>
    <definedName name="_xlnm.Print_Titles" localSheetId="6">Capital_Structure_Summary!$B:$B,Capital_Structure_Summary!$4:$17</definedName>
    <definedName name="_xlnm.Print_Titles" localSheetId="5">Cash_Flow!$B:$B,Cash_Flow!$4:$13</definedName>
    <definedName name="_xlnm.Print_Titles" localSheetId="3">Income_Statement!$B:$B,Income_Statement!$4:$13</definedName>
    <definedName name="_xlnm.Print_Titles" localSheetId="9">'Pension-OPEB'!$B:$B,'Pension-OPEB'!$4:$13</definedName>
    <definedName name="_xlnm.Print_Titles" localSheetId="7">Ratios!$B:$B,Ratios!$4:$13</definedName>
    <definedName name="_xlnm.Print_Titles" localSheetId="8">Supplemental!$B:$B,Supplemental!$4:$13</definedName>
    <definedName name="Sel_Conv">'Pension-OPEB'!$AA$112</definedName>
    <definedName name="Sel_Curr">'Pension-OPEB'!$AA$18</definedName>
    <definedName name="Sel_Mag">'Pension-OPEB'!$Z$102</definedName>
    <definedName name="SKF">IF(Key_Stats!$K$26="",Key_Stats!$E$26:$J$26,Key_Stats!$E$26:$L$26)</definedName>
    <definedName name="snl__0005FF71_C53F_46A8_A447_4D902016868E_" localSheetId="6" hidden="1">Capital_Structure_Summary!$C$7,Capital_Structure_Summary!$H$29:$P$80</definedName>
    <definedName name="snl__001777BE_EA59_487D_B4D0_60D55CA4262A_" localSheetId="1" hidden="1">Key_Stats!$B$106,Key_Stats!$E$111:$G$115</definedName>
    <definedName name="snl__001FC75E_14CE_40BE_9B74_0B2CF4EC63F6_" localSheetId="2" hidden="1">Capitalization!$C$48,Capitalization!$E$50:$P$50</definedName>
    <definedName name="snl__002CF0AC_1D72_46AB_9BA0_8A2426123DBA_" localSheetId="2" hidden="1">Capitalization!$C$47,Capitalization!$E$53:$J$54</definedName>
    <definedName name="snl__0058D033_5BAE_4859_83DD_CD125FA32DE8_" localSheetId="1" hidden="1">Key_Stats!$B$26,Key_Stats!$M$28:$O$52</definedName>
    <definedName name="snl__005C53BE_4F17_460C_BD30_114249B95F4E_" localSheetId="8" hidden="1">Supplemental!$C$6,Supplemental!$D$11:$I$166</definedName>
    <definedName name="snl__009F8F00_367F_4048_AF88_BCBEC2602E79_" localSheetId="2" hidden="1">Capitalization!$C$4,Capitalization!$E$9:$J$25</definedName>
    <definedName name="snl__00C66C23_9F37_42C3_AF3F_3D85E2F92AAD_" localSheetId="3" hidden="1">Income_Statement!$C$6,Income_Statement!$E$11:$P$175</definedName>
    <definedName name="snl__00D2769F_441B_44DE_9F2C_5C80EB878607_" localSheetId="5" hidden="1">Cash_Flow!$C$6,Cash_Flow!$E$11:$P$92</definedName>
    <definedName name="snl__0101E179_13AD_43C9_A1E5_6B9899359F7B_" localSheetId="7" hidden="1">Ratios!$C$6,Ratios!$D$11:$I$152</definedName>
    <definedName name="snl__01427DC3_CB7A_4896_8C62_188DD7E993CE_" localSheetId="1" hidden="1">Key_Stats!$B$26,Key_Stats!$M$28:$O$33</definedName>
    <definedName name="snl__0144A370_6313_4EB3_BAC4_19658D796155_" localSheetId="6" hidden="1">Capital_Structure_Summary!$C$6,Capital_Structure_Summary!$G$15:$O$152</definedName>
    <definedName name="snl__014FFCCD_48AB_4EE8_AC56_B8B92D167FBF_" localSheetId="7" hidden="1">Ratios!$C$6,Ratios!$D$11:$I$152</definedName>
    <definedName name="snl__016A5228_53E1_4A64_B60F_6A0C87D1CE35_" localSheetId="2" hidden="1">Capitalization!$C$47,Capitalization!$E$53:$J$54</definedName>
    <definedName name="snl__01E4E77C_B54F_4782_9DD3_2D4B375AFE22_" localSheetId="1" hidden="1">Key_Stats!$B$25,Key_Stats!$E$28:$J$52</definedName>
    <definedName name="snl__022EF5D4_23C5_4BDD_8F40_F650B8FBB0C6_" localSheetId="9" hidden="1">'Pension-OPEB'!$C$6,'Pension-OPEB'!$D$11:$I$570</definedName>
    <definedName name="snl__0239A1B1_C30D_435C_9F16_189416F933D7_" localSheetId="1" hidden="1">Key_Stats!$B$25,Key_Stats!$E$28:$L$52</definedName>
    <definedName name="snl__0256B1D4_5A54_4746_8936_CFA170AE4E54_" localSheetId="1" hidden="1">Key_Stats!$B$25,Key_Stats!$E$28:$I$71</definedName>
    <definedName name="snl__025EB7CE_A9D6_42CC_8802_026C1617FD79_" localSheetId="7" hidden="1">Ratios!$C$6,Ratios!$D$11:$I$152</definedName>
    <definedName name="snl__02728D7C_7E6C_4FC8_BD7E_705B8206A3A7_" localSheetId="4" hidden="1">Balance_Sheet!$C$6,Balance_Sheet!$E$11:$P$141</definedName>
    <definedName name="snl__027DAB41_28FC_4A13_8B4F_158D18944761_" localSheetId="4" hidden="1">Balance_Sheet!$C$6,Balance_Sheet!$E$11:$P$141</definedName>
    <definedName name="snl__02F30F1E_17E7_40D2_89C2_E4F7137072AF_" localSheetId="1" hidden="1">Key_Stats!$B$62,Key_Stats!$E$65:$E$71</definedName>
    <definedName name="snl__0306E13E_0115_437D_88C2_35F961CB0162_" localSheetId="7" hidden="1">Ratios!$C$6,Ratios!$D$11:$I$21</definedName>
    <definedName name="snl__0366C397_1526_4CF1_BEA2_783AA7732D04_" localSheetId="2" hidden="1">Capitalization!$C$48,Capitalization!$E$50:$J$50</definedName>
    <definedName name="snl__0373C4D5_4D6B_4E28_9F48_F1B4AF27A5D0_" localSheetId="9" hidden="1">'Pension-OPEB'!$C$6,'Pension-OPEB'!$D$11:$I$570</definedName>
    <definedName name="snl__03B2FF24_D7C1_43DF_B442_8FAD497E62FC_" localSheetId="1" hidden="1">Key_Stats!$B$25,Key_Stats!$E$28:$I$52</definedName>
    <definedName name="snl__03D6155C_B94C_4D9D_8BC2_65A3726DD666_" localSheetId="1" hidden="1">Key_Stats!$B$106,Key_Stats!$E$109:$G$115</definedName>
    <definedName name="snl__04042C50_9A53_41A0_9805_3FCB612A3D20_" localSheetId="7" hidden="1">Ratios!$C$6,Ratios!$D$11:$I$152</definedName>
    <definedName name="snl__0418E789_760B_4F3D_A067_5A0F560B2C45_" localSheetId="9" hidden="1">'Pension-OPEB'!$C$6,'Pension-OPEB'!$D$11:$I$570</definedName>
    <definedName name="snl__04444E5B_8E55_4411_B4E2_41E89261973A_" localSheetId="4" hidden="1">Balance_Sheet!$C$6,Balance_Sheet!$E$11:$P$141</definedName>
    <definedName name="snl__0460B0F9_54CB_4600_A0D3_FCB06143B001_" localSheetId="1" hidden="1">Key_Stats!$B$62,Key_Stats!$E$57:$E$58</definedName>
    <definedName name="snl__048F280E_19CF_43B2_BF06_41C1CCFEB7C6_" localSheetId="5" hidden="1">Cash_Flow!$C$6,Cash_Flow!$E$11:$P$92</definedName>
    <definedName name="snl__050C7496_358A_4D35_B89A_BA4AF55DC357_" localSheetId="1" hidden="1">Key_Stats!$B$26,Key_Stats!$N$28:$O$52</definedName>
    <definedName name="snl__05233566_1F17_4DA4_90C6_C1459FFA6C00_" localSheetId="1" hidden="1">Key_Stats!$S$55,Key_Stats!$V$58:$W$61</definedName>
    <definedName name="snl__055BC7BD_6C65_4797_9A9C_7C6005704A87_" localSheetId="6" hidden="1">Capital_Structure_Summary!$C$7,Capital_Structure_Summary!$F$29:$P$80</definedName>
    <definedName name="snl__06073951_E230_490A_8FBB_C740ADBF33E0_" localSheetId="6" hidden="1">Capital_Structure_Summary!$C$6,Capital_Structure_Summary!$E$15:$O$152</definedName>
    <definedName name="snl__06D7412A_1269_4933_A219_3F075AC78C53_" localSheetId="7" hidden="1">Ratios!$C$6,Ratios!$D$11:$I$152</definedName>
    <definedName name="snl__078FC00B_0B5F_4A76_8D2C_AD4747FCAD22_" localSheetId="6" hidden="1">Capital_Structure_Summary!$C$6,Capital_Structure_Summary!$E$15:$O$152</definedName>
    <definedName name="snl__07FE52AF_0029_4513_A01E_288DB63C48FA_" localSheetId="3" hidden="1">Income_Statement!$C$6,Income_Statement!$E$11:$P$175</definedName>
    <definedName name="snl__08303674_D340_4F96_BB86_093D9F703E66_" localSheetId="5" hidden="1">Cash_Flow!$C$6,Cash_Flow!$E$11:$P$92</definedName>
    <definedName name="snl__08455F58_43BF_45A1_920F_2C09C61F590F_" localSheetId="8" hidden="1">Supplemental!$C$6,Supplemental!$D$11:$I$166</definedName>
    <definedName name="snl__08C4A497_B926_4A02_BF0E_E64C0475E78C_" localSheetId="3" hidden="1">Income_Statement!$C$6,Income_Statement!$E$11:$P$172</definedName>
    <definedName name="snl__08D36AB1_DD65_4F34_801A_54670D86590D_" localSheetId="2" hidden="1">Capitalization!$C$48,Capitalization!$E$50:$J$50</definedName>
    <definedName name="snl__08DD926B_EBD4_4C23_9B58_EA2BBFDBC39F_" localSheetId="6" hidden="1">Capital_Structure_Summary!$C$6,Capital_Structure_Summary!$E$15:$O$152</definedName>
    <definedName name="snl__0901A697_4961_43A0_9B4D_AF7AF43D9DD9_" localSheetId="9" hidden="1">'Pension-OPEB'!$C$6,'Pension-OPEB'!$D$11:$I$570</definedName>
    <definedName name="snl__092CDCD6_7425_400E_919F_4C4E8478BD48_" localSheetId="2" hidden="1">Capitalization!$C$4,Capitalization!$E$9:$J$25</definedName>
    <definedName name="snl__0A12C7EF_D478_443D_A490_20DC78ACBC50_" localSheetId="2" hidden="1">Capitalization!$C$48,Capitalization!$E$50:$J$50</definedName>
    <definedName name="snl__0A638128_D251_4ABD_B150_556CB1E3CDF8_" localSheetId="4" hidden="1">Balance_Sheet!$C$6,Balance_Sheet!$E$11:$P$141</definedName>
    <definedName name="snl__0A7F7C37_278B_4BBC_9698_95B8FE72E65B_" localSheetId="6" hidden="1">Capital_Structure_Summary!$C$6,Capital_Structure_Summary!$E$15:$O$152</definedName>
    <definedName name="snl__0AB190F0_0DBE_402E_BF61_C79E31544375_" localSheetId="4" hidden="1">Balance_Sheet!$C$6,Balance_Sheet!$E$11:$P$141</definedName>
    <definedName name="snl__0AF8E625_2AED_43E2_9E83_7B85C0BF9F42_" localSheetId="6" hidden="1">Capital_Structure_Summary!$C$7,Capital_Structure_Summary!$F$29:$P$80</definedName>
    <definedName name="snl__0B856D44_0345_4593_A173_9B001AEAA4D0_" localSheetId="2" hidden="1">Capitalization!$C$47,Capitalization!$E$53:$J$54</definedName>
    <definedName name="snl__0BFCCF6C_80D0_4C64_84A0_C4732A103B0A_" localSheetId="6" hidden="1">Capital_Structure_Summary!$C$7,Capital_Structure_Summary!$F$29:$P$80</definedName>
    <definedName name="snl__0C5AB5EF_995C_42D5_A436_861A03E25A7B_" localSheetId="7" hidden="1">Ratios!$C$6,Ratios!$D$11:$I$152</definedName>
    <definedName name="snl__0C85D6E3_D282_40C3_AEB1_AB01E09FAA28_" localSheetId="7" hidden="1">Ratios!$C$6,Ratios!$D$11:$I$152</definedName>
    <definedName name="snl__0CCF8061_5671_44E9_91B6_39A818590E5A_" localSheetId="4" hidden="1">Balance_Sheet!$C$6,Balance_Sheet!$E$11:$P$141</definedName>
    <definedName name="snl__0D7ADF2A_E12C_40E6_B317_2198B3A6B4BD_" localSheetId="7" hidden="1">Ratios!$C$6,Ratios!$D$11:$I$152</definedName>
    <definedName name="snl__0DB25582_A1D9_4D8D_8B4C_D2A335D23F82_" localSheetId="4" hidden="1">Balance_Sheet!$C$6,Balance_Sheet!$E$11:$P$141</definedName>
    <definedName name="snl__0E66B8EB_6783_4314_87DE_F2F515AC46BB_" localSheetId="3" hidden="1">Income_Statement!$C$6,Income_Statement!$E$11:$P$175</definedName>
    <definedName name="snl__0E97B4B9_F06D_4780_85FB_373AA5F578EE_" localSheetId="4" hidden="1">Balance_Sheet!$C$6,Balance_Sheet!$E$11:$P$141</definedName>
    <definedName name="snl__0EC2B0D3_E547_498B_86B5_6985A99A2BCA_" localSheetId="8" hidden="1">Supplemental!$C$6,Supplemental!$D$11:$I$166</definedName>
    <definedName name="snl__0F011113_63D4_4664_8FFC_A0F1D7A8FAF6_" localSheetId="7" hidden="1">Ratios!$C$6,Ratios!$D$11:$I$152</definedName>
    <definedName name="snl__0F0DB8D9_BAE3_4BA0_9003_5855D7DE344D_" localSheetId="3" hidden="1">Income_Statement!$C$6,Income_Statement!$E$11:$P$175</definedName>
    <definedName name="snl__0F32F248_7D69_4FAD_84B7_5E651E219975_" localSheetId="6" hidden="1">Capital_Structure_Summary!$C$7,Capital_Structure_Summary!$F$29:$P$80</definedName>
    <definedName name="snl__0FF0F5CD_483C_4A42_9119_CE2152D53BAA_" localSheetId="2" hidden="1">Capitalization!$C$4,Capitalization!$E$9:$J$55</definedName>
    <definedName name="snl__118F2093_40AE_466D_A4A9_065615D430CC_" localSheetId="4" hidden="1">Balance_Sheet!$C$6,Balance_Sheet!$E$11:$P$141</definedName>
    <definedName name="snl__1236A2E6_42E9_4E36_963A_397EA7C99647_" localSheetId="8" hidden="1">Supplemental!$C$6,Supplemental!$D$11:$I$166</definedName>
    <definedName name="snl__1244A0D1_914B_4BB4_8D35_213C8DF78A62_" localSheetId="8" hidden="1">Supplemental!$C$6,Supplemental!$D$11:$I$166</definedName>
    <definedName name="snl__12A422B5_1D32_4C4A_B910_71182401861D_" localSheetId="5" hidden="1">Cash_Flow!$C$6,Cash_Flow!$E$11:$P$92</definedName>
    <definedName name="snl__13AB9371_6DC1_4E15_BFCF_F1F1790E1BBE_" localSheetId="8" hidden="1">Supplemental!$C$6,Supplemental!$D$11:$I$166</definedName>
    <definedName name="snl__13B14B93_9E37_4FAC_9157_AA5A2BFC0227_" localSheetId="1" hidden="1">Key_Stats!$B$26,Key_Stats!$M$28:$O$71</definedName>
    <definedName name="snl__13D482D7_7334_4710_BD99_58DAD86CD2FA_" localSheetId="7" hidden="1">Ratios!$C$6,Ratios!$D$11:$I$152</definedName>
    <definedName name="snl__1425AE73_5871_4015_B151_EDB86CCF1339_" localSheetId="4" hidden="1">Balance_Sheet!$C$6,Balance_Sheet!$E$11:$P$141</definedName>
    <definedName name="snl__1426C4BF_CB10_41E0_8311_B36F128F30DB_" localSheetId="8" hidden="1">Supplemental!$C$6,Supplemental!$D$11:$I$166</definedName>
    <definedName name="snl__1443745E_21F9_4DE3_A816_D4F6E74AF926_" localSheetId="7" hidden="1">Ratios!$C$6,Ratios!$D$11:$I$152</definedName>
    <definedName name="snl__144572F2_46CA_4FC1_A625_0DBF029D791A_" localSheetId="1" hidden="1">Key_Stats!$B$25,Key_Stats!$F$33:$I$48</definedName>
    <definedName name="snl__1465CCBC_E094_4D98_865C_A7C662331325_" localSheetId="6" hidden="1">Capital_Structure_Summary!$C$7,Capital_Structure_Summary!$H$29:$P$111</definedName>
    <definedName name="snl__14A00F55_21F4_408C_BC23_B88B7B4B5776_" localSheetId="9" hidden="1">'Pension-OPEB'!$C$6,'Pension-OPEB'!$D$11:$I$570</definedName>
    <definedName name="snl__14AF4E7F_59A0_4DD1_8382_1E401C72619A_" localSheetId="6" hidden="1">Capital_Structure_Summary!$C$6,Capital_Structure_Summary!$E$15:$O$152</definedName>
    <definedName name="snl__1676C16E_ADFB_4372_9AE5_2E8ECFE2FC6F_" localSheetId="4" hidden="1">Balance_Sheet!$C$6,Balance_Sheet!$E$11:$P$141</definedName>
    <definedName name="snl__16DC8ECB_6F7A_431C_B1A5_A0363A75B7F3_" localSheetId="9" hidden="1">'Pension-OPEB'!$C$6,'Pension-OPEB'!$D$11:$I$570</definedName>
    <definedName name="snl__174F29B2_33CE_42B7_B89F_67B9F7DE12DC_" localSheetId="9" hidden="1">'Pension-OPEB'!$C$6,'Pension-OPEB'!$D$11:$I$570</definedName>
    <definedName name="snl__17603DAF_5158_47E5_9F95_CA47DA0349F6_" localSheetId="6" hidden="1">Capital_Structure_Summary!$C$6,Capital_Structure_Summary!$E$15:$O$152</definedName>
    <definedName name="snl__1770A95D_AA37_433E_8C52_497CCB7BA427_" localSheetId="6" hidden="1">Capital_Structure_Summary!$C$7,Capital_Structure_Summary!$F$29:$P$80</definedName>
    <definedName name="snl__18002EBA_BE77_462C_B425_273E98BEE380_" localSheetId="8" hidden="1">Supplemental!$C$6,Supplemental!$D$11:$I$166</definedName>
    <definedName name="snl__180E4F3B_9B76_4696_A570_A5D5255F634A_" localSheetId="3" hidden="1">Income_Statement!$C$6,Income_Statement!$E$11:$P$175</definedName>
    <definedName name="snl__1887FE57_5D37_42D8_A18A_F1F41124FBB7_" localSheetId="7" hidden="1">Ratios!$C$6,Ratios!$D$11:$I$152</definedName>
    <definedName name="snl__19179F5B_1F70_4878_A9E2_EA1E9FB8CA8A_" localSheetId="4" hidden="1">Balance_Sheet!$C$6,Balance_Sheet!$E$11:$P$141</definedName>
    <definedName name="snl__195BE4BC_2CD8_44D9_AE7D_A83F736DABE1_" localSheetId="6" hidden="1">Capital_Structure_Summary!$C$7,Capital_Structure_Summary!$F$29:$P$80</definedName>
    <definedName name="snl__1995A930_5351_464D_A6C3_511E0B12028B_" localSheetId="2" hidden="1">Capitalization!$C$4,Capitalization!$E$9:$J$29</definedName>
    <definedName name="snl__1A9515E7_7E03_448C_9DD4_F3B08DA490D0_" localSheetId="6" hidden="1">Capital_Structure_Summary!$C$7,Capital_Structure_Summary!$F$29:$P$80</definedName>
    <definedName name="snl__1AE79268_FC9D_4C2A_8011_06A3E15CD41A_" localSheetId="9" hidden="1">'Pension-OPEB'!$C$6,'Pension-OPEB'!$D$11:$I$570</definedName>
    <definedName name="snl__1BE4CCC9_2B9C_4DF1_8517_F2BF075BA539_" localSheetId="9" hidden="1">'Pension-OPEB'!$C$6,'Pension-OPEB'!$D$11:$I$570</definedName>
    <definedName name="snl__1D324DE4_C30B_484C_B6AE_4F7A028452F0_" localSheetId="6" hidden="1">Capital_Structure_Summary!$C$7,Capital_Structure_Summary!$F$29:$P$80</definedName>
    <definedName name="snl__1F34C88F_5976_48C8_A79F_DE1874402CEB_" localSheetId="9" hidden="1">'Pension-OPEB'!$C$6,'Pension-OPEB'!$D$11:$I$570</definedName>
    <definedName name="snl__1F4EFAC6_2156_45D2_9E25_193E0F560E99_" localSheetId="6" hidden="1">Capital_Structure_Summary!$C$6,Capital_Structure_Summary!$E$15:$O$152</definedName>
    <definedName name="snl__1F84D45B_1D4E_4AF6_80CD_604ADC8D9254_" localSheetId="2" hidden="1">Capitalization!$C$47,Capitalization!$E$53:$J$54</definedName>
    <definedName name="snl__206C8DF1_EAE2_42BA_9206_CA433D685D39_" localSheetId="5" hidden="1">Cash_Flow!$C$6,Cash_Flow!$E$11:$P$92</definedName>
    <definedName name="snl__20C9CB23_4A3E_4829_8597_FED972E29560_" localSheetId="5" hidden="1">Cash_Flow!$C$6,Cash_Flow!$E$11:$P$92</definedName>
    <definedName name="snl__2135AB7A_1DAC_4217_AB9C_AD88134C6061_" localSheetId="4" hidden="1">Balance_Sheet!$C$6,Balance_Sheet!$E$11:$P$141</definedName>
    <definedName name="snl__21CE4D97_5F16_46CA_B3E7_EB43AE8A7E9E_" localSheetId="5" hidden="1">Cash_Flow!$C$6,Cash_Flow!$E$11:$P$92</definedName>
    <definedName name="snl__21D6AD00_FA14_4CB4_83BF_140B8A5934BF_" localSheetId="1" hidden="1">Key_Stats!$B$25,Key_Stats!$F$28:$I$48</definedName>
    <definedName name="snl__2210F6C7_A70F_4157_B509_A2D89143A54B_" localSheetId="4" hidden="1">Balance_Sheet!$C$6,Balance_Sheet!$E$11:$P$141</definedName>
    <definedName name="snl__234254EE_B3C7_4869_864B_F4A9D3DCB2DB_" localSheetId="1" hidden="1">Key_Stats!$B$106,Key_Stats!$E$109:$G$115</definedName>
    <definedName name="snl__23B55451_4B9C_47F7_B0D1_C791D3346AA9_" localSheetId="4" hidden="1">Balance_Sheet!$C$6,Balance_Sheet!$E$11:$P$141</definedName>
    <definedName name="snl__243BF35F_D7E5_4A6E_A2E7_5234ADCB5CB3_" localSheetId="2" hidden="1">Capitalization!$C$48,Capitalization!$E$50:$J$50</definedName>
    <definedName name="snl__253C95F6_4DD1_4BEC_905C_4A0CC75B97D0_" localSheetId="2" hidden="1">Capitalization!$C$4,Capitalization!$E$9:$J$25</definedName>
    <definedName name="snl__25AC5217_06A5_4D16_BF3B_104E36CC36CA_" localSheetId="9" hidden="1">'Pension-OPEB'!$C$6,'Pension-OPEB'!$D$11:$I$570</definedName>
    <definedName name="snl__2632E713_63D7_41DF_908D_E4B46DCDA8E8_" localSheetId="8" hidden="1">Supplemental!$C$6,Supplemental!$D$11:$I$166</definedName>
    <definedName name="snl__264E4734_57F7_4AEE_ADA9_FFA7DBEF9A5E_" localSheetId="4" hidden="1">Balance_Sheet!$C$6,Balance_Sheet!$E$11:$P$141</definedName>
    <definedName name="snl__278C25D7_0E67_4C57_B8C4_A3F7FEA73804_" localSheetId="1" hidden="1">Key_Stats!$S$55,Key_Stats!$V$58:$W$62</definedName>
    <definedName name="snl__27BC3509_D270_4B7D_8F02_26E259A0BBAC_" localSheetId="3" hidden="1">Income_Statement!$C$6,Income_Statement!$E$11:$P$175</definedName>
    <definedName name="snl__285FFE35_3AD9_45FD_91D5_7CF5BE40D284_" localSheetId="9" hidden="1">'Pension-OPEB'!$C$6,'Pension-OPEB'!$D$11:$I$570</definedName>
    <definedName name="snl__2940A205_2FCA_4A26_9957_C926BE5308E7_" localSheetId="1" hidden="1">Key_Stats!$B$62,Key_Stats!$E$57</definedName>
    <definedName name="snl__29644113_8763_4D46_B48E_0467CFA79B02_" localSheetId="7" hidden="1">Ratios!$C$6,Ratios!$D$11:$I$152</definedName>
    <definedName name="snl__2A2186FA_29C2_437E_BE2F_AB1C2366F400_" localSheetId="4" hidden="1">Balance_Sheet!$C$6,Balance_Sheet!$E$11:$P$141</definedName>
    <definedName name="snl__2AAA2C4F_3619_472B_9C73_8BE8559CACCF_" localSheetId="2" hidden="1">Capitalization!$C$47,Capitalization!$E$53:$J$54</definedName>
    <definedName name="snl__2B1340EF_11D7_46B2_B848_D50D62EFCE09_" localSheetId="6" hidden="1">Capital_Structure_Summary!$C$7,Capital_Structure_Summary!$F$29:$P$80</definedName>
    <definedName name="snl__2B6D8DA7_81CD_4B66_B81C_9D0D1FB13C49_" localSheetId="6" hidden="1">Capital_Structure_Summary!$C$7,Capital_Structure_Summary!$F$29:$P$80</definedName>
    <definedName name="snl__2B7400DD_E491_4278_9C6E_849968BED55C_" localSheetId="6" hidden="1">Capital_Structure_Summary!$C$6,Capital_Structure_Summary!$E$15:$O$152</definedName>
    <definedName name="snl__2C35FA57_2677_4384_A229_62AC5C395EAB_" localSheetId="8" hidden="1">Supplemental!$C$6,Supplemental!$D$11:$I$166</definedName>
    <definedName name="snl__2C4BF892_7A72_4D33_8EE1_AE0CDC8D4DBF_" localSheetId="4" hidden="1">Balance_Sheet!$C$6,Balance_Sheet!$E$11:$P$141</definedName>
    <definedName name="snl__2D81582E_D11F_4D3D_99BB_FA277AC3469D_" localSheetId="2" hidden="1">Capitalization!$C$47,Capitalization!$E$53:$J$54</definedName>
    <definedName name="snl__2E7CBE5A_1311_426A_A02C_4780E7649EEE_" localSheetId="5" hidden="1">Cash_Flow!$C$6,Cash_Flow!$E$11:$P$92</definedName>
    <definedName name="snl__2EDF748D_56BF_41FC_B4F6_321A91C19CD3_" localSheetId="3" hidden="1">Income_Statement!$C$6,Income_Statement!$E$11:$P$175</definedName>
    <definedName name="snl__2F11D009_FCE4_46FF_9769_FD5E8C606050_" localSheetId="2" hidden="1">Capitalization!$C$48,Capitalization!$E$50:$J$50</definedName>
    <definedName name="snl__2F3596BB_05A8_4960_94AD_6C4ECB208EC5_" localSheetId="4" hidden="1">Balance_Sheet!$C$6,Balance_Sheet!$E$11:$P$141</definedName>
    <definedName name="snl__30AB6419_5BC7_4CC2_BB07_45E2771171A5_" localSheetId="7" hidden="1">Ratios!$C$6,Ratios!$D$11:$I$152</definedName>
    <definedName name="snl__30B5E342_8E76_4D17_961E_4A958D96857C_" localSheetId="7" hidden="1">Ratios!$C$6,Ratios!$D$11:$I$152</definedName>
    <definedName name="snl__30B726F6_D70B_465A_93A0_EA64667F099C_" localSheetId="3" hidden="1">Income_Statement!$C$6,Income_Statement!$E$11:$P$175</definedName>
    <definedName name="snl__30BDCB60_F0AE_4332_AD9E_D85A0A85D96E_" localSheetId="2" hidden="1">Capitalization!$C$47,Capitalization!$E$53:$J$54</definedName>
    <definedName name="snl__30CF1609_A410_4F08_94DC_7B19160DA05A_" localSheetId="3" hidden="1">Income_Statement!$C$6,Income_Statement!$E$11:$P$175</definedName>
    <definedName name="snl__3200243C_39C2_4A27_9C3E_ADD023F3EC4C_" localSheetId="2" hidden="1">Capitalization!$C$48,Capitalization!$E$50:$J$50</definedName>
    <definedName name="snl__3207D025_C233_43DB_9F6E_27DB4A595C91_" localSheetId="8" hidden="1">Supplemental!$C$6,Supplemental!$D$11:$I$166</definedName>
    <definedName name="snl__33136B26_2F39_4EE3_BBA5_CFB15D502522_" localSheetId="1" hidden="1">Key_Stats!$B$25,Key_Stats!$F$33:$I$33</definedName>
    <definedName name="snl__34AF9F7E_DC9F_49B5_8C61_7834F0DA51AD_" localSheetId="3" hidden="1">Income_Statement!$C$6,Income_Statement!$E$11:$P$175</definedName>
    <definedName name="snl__34FDD12D_17EB_4098_ADA3_A57FBE791696_" localSheetId="1" hidden="1">Key_Stats!$B$25,Key_Stats!$F$33:$H$33</definedName>
    <definedName name="snl__3640E1D8_4BBC_4C99_BAA8_49E9514850E6_" localSheetId="8" hidden="1">Supplemental!$C$6,Supplemental!$D$11:$I$166</definedName>
    <definedName name="snl__3663A91A_C3D2_4F0D_ABFA_9A645DC384F4_" localSheetId="6" hidden="1">Capital_Structure_Summary!$C$6,Capital_Structure_Summary!$E$15:$O$152</definedName>
    <definedName name="snl__36A3AEF0_CB77_4CA7_AC66_D72F76B61875_" localSheetId="5" hidden="1">Cash_Flow!$C$6,Cash_Flow!$E$11:$P$92</definedName>
    <definedName name="snl__370CACF9_AB27_4849_BDD1_E904929857A2_" localSheetId="2" hidden="1">Capitalization!$C$47,Capitalization!$E$53:$J$54</definedName>
    <definedName name="snl__380714E7_4D4F_43FA_B441_D7A098EF304D_" localSheetId="2" hidden="1">Capitalization!$C$47,Capitalization!$E$53:$J$54</definedName>
    <definedName name="snl__38F0F893_776C_45F9_804A_8475D9D16990_" localSheetId="5" hidden="1">Cash_Flow!$C$6,Cash_Flow!$E$11:$P$92</definedName>
    <definedName name="snl__39A3CCC8_70F1_457F_9C71_50C6ABE6C0D4_" localSheetId="9" hidden="1">'Pension-OPEB'!$C$6,'Pension-OPEB'!$D$11:$I$570</definedName>
    <definedName name="snl__3A171560_219A_44BC_87EE_ECF5EBD4D5F1_" localSheetId="6" hidden="1">Capital_Structure_Summary!$C$7,Capital_Structure_Summary!$F$29:$P$80</definedName>
    <definedName name="snl__3A213EB0_01F6_4520_90C9_F156F378F724_" localSheetId="6" hidden="1">Capital_Structure_Summary!$C$7,Capital_Structure_Summary!$F$29:$P$80</definedName>
    <definedName name="snl__3A7330A1_29C3_4B6F_BC34_ACA8554AA03F_" localSheetId="5" hidden="1">Cash_Flow!$C$6,Cash_Flow!$E$11:$P$92</definedName>
    <definedName name="snl__3B04223D_9BBD_4B34_8B15_92D643713891_" localSheetId="9" hidden="1">'Pension-OPEB'!$C$6,'Pension-OPEB'!$D$11:$I$570</definedName>
    <definedName name="snl__3B9038EB_85AD_4C90_96A8_C1C7413B76E4_" localSheetId="5" hidden="1">Cash_Flow!$C$6,Cash_Flow!$E$11:$P$92</definedName>
    <definedName name="snl__3BD707D4_B12D_4195_AC58_9202933D9DA7_" localSheetId="8" hidden="1">Supplemental!$C$6,Supplemental!$D$11:$I$166</definedName>
    <definedName name="snl__3C0ECB85_714E_457C_AF6A_A0D368244399_" localSheetId="6" hidden="1">Capital_Structure_Summary!$C$7,Capital_Structure_Summary!$F$29:$P$80</definedName>
    <definedName name="snl__3C3062C9_26B4_421C_8638_667F92548A49_" localSheetId="2" hidden="1">Capitalization!$C$48,Capitalization!$E$50:$J$50</definedName>
    <definedName name="snl__3D083DEC_6152_4132_9F33_E86094BBE5B7_" localSheetId="8" hidden="1">Supplemental!$C$6,Supplemental!$D$11:$I$166</definedName>
    <definedName name="snl__3DAD02EE_C870_4C71_AC87_DD1D8766DF56_" localSheetId="2" hidden="1">Capitalization!$C$47,Capitalization!$E$53:$J$54</definedName>
    <definedName name="snl__3E0B37A4_24FE_4E98_B28A_79B4EA24113C_" localSheetId="8" hidden="1">Supplemental!$C$6,Supplemental!$D$11:$I$166</definedName>
    <definedName name="snl__3EF0563A_F1E0_42E5_811A_40909FD60F66_" localSheetId="7" hidden="1">Ratios!$C$6,Ratios!$D$11:$I$152</definedName>
    <definedName name="snl__3FA5EF17_D1EE_47CA_8A04_AE13A7A14498_" localSheetId="6" hidden="1">Capital_Structure_Summary!$C$7,Capital_Structure_Summary!$F$29:$P$80</definedName>
    <definedName name="snl__3FA9C09A_74B2_4ABC_9535_E5C99F41E4E4_" localSheetId="2" hidden="1">Capitalization!$C$47,Capitalization!$E$53:$J$54</definedName>
    <definedName name="snl__4033AF52_7110_4059_8F83_F7750A6FA2D3_" localSheetId="8" hidden="1">Supplemental!$C$6,Supplemental!$D$11:$I$166</definedName>
    <definedName name="snl__40C75420_BD43_496E_A1BD_17C66600EDA4_" localSheetId="4" hidden="1">Balance_Sheet!$C$6,Balance_Sheet!$E$11:$P$141</definedName>
    <definedName name="snl__40E1C3EA_3C07_4CC9_BEE7_39EE62EA4EAB_" localSheetId="9" hidden="1">'Pension-OPEB'!$C$6,'Pension-OPEB'!$D$11:$I$570</definedName>
    <definedName name="snl__41136871_C512_4625_9FE7_6224F3A00DAC_" localSheetId="6" hidden="1">Capital_Structure_Summary!$C$7,Capital_Structure_Summary!$F$29:$P$80</definedName>
    <definedName name="snl__411B7FA1_65BF_4A77_A5CF_3BBA7F6D4EA1_" localSheetId="9" hidden="1">'Pension-OPEB'!$C$6,'Pension-OPEB'!$D$11:$I$570</definedName>
    <definedName name="snl__447C19CA_8D45_4923_856F_A70F49817E4C_" localSheetId="6" hidden="1">Capital_Structure_Summary!$C$6,Capital_Structure_Summary!$E$15:$O$152</definedName>
    <definedName name="snl__448117C4_E97D_42AC_BEE0_EBD5D4345987_" localSheetId="1" hidden="1">Key_Stats!$B$62,Key_Stats!$E$57:$E$71</definedName>
    <definedName name="snl__464A3713_591A_4B02_94DE_053F23F78426_" localSheetId="9" hidden="1">'Pension-OPEB'!$C$6,'Pension-OPEB'!$D$11:$I$570</definedName>
    <definedName name="snl__47299A44_60C5_428E_975D_67B6EB5130A9_" localSheetId="3" hidden="1">Income_Statement!$C$6,Income_Statement!$E$11:$P$175</definedName>
    <definedName name="snl__4867056A_4ABD_4411_A814_472593CEC24C_" localSheetId="5" hidden="1">Cash_Flow!$C$6,Cash_Flow!$E$11:$P$92</definedName>
    <definedName name="snl__48F44B46_B312_44E5_B843_A17343D50858_" localSheetId="2" hidden="1">Capitalization!$C$4,Capitalization!$E$9:$J$30</definedName>
    <definedName name="snl__49CCAB43_096C_46B6_BC2D_42C173DCB6A6_" localSheetId="7" hidden="1">Ratios!$C$6,Ratios!$D$11:$I$152</definedName>
    <definedName name="snl__49F5A8EF_985F_4FC7_9D4B_2B6CF483D628_" localSheetId="3" hidden="1">Income_Statement!$C$6,Income_Statement!$E$11:$P$175</definedName>
    <definedName name="snl__4A93A0D8_F137_4530_8528_56B590FE2E0C_" localSheetId="3" hidden="1">Income_Statement!$C$6,Income_Statement!$E$11:$P$175</definedName>
    <definedName name="snl__4AA332E0_E54F_4DC7_8A3C_D2B66CD1C2FF_" localSheetId="4" hidden="1">Balance_Sheet!$C$6,Balance_Sheet!$E$11:$P$141</definedName>
    <definedName name="snl__4AE790F3_74D1_4434_84C9_65A61519E298_" localSheetId="2" hidden="1">Capitalization!$C$47,Capitalization!$E$53:$J$54</definedName>
    <definedName name="snl__4B133DF9_14DB_4863_93EA_55DE61C8E29C_" localSheetId="6" hidden="1">Capital_Structure_Summary!$C$7,Capital_Structure_Summary!$F$29:$P$80</definedName>
    <definedName name="snl__4BA27B2C_9C43_497D_B0D6_BEF7E28409F3_" localSheetId="5" hidden="1">Cash_Flow!$C$6,Cash_Flow!$E$11:$P$92</definedName>
    <definedName name="snl__4CD8540D_CD02_445E_A165_93430E192574_" localSheetId="8" hidden="1">Supplemental!$C$6,Supplemental!$D$11:$I$166</definedName>
    <definedName name="snl__4D1EB762_1406_449E_AC96_7ECEF926AC35_" localSheetId="5" hidden="1">Cash_Flow!$C$6,Cash_Flow!$E$11:$P$92</definedName>
    <definedName name="snl__4D3AEF78_77F3_44AA_803C_B706D073BB65_" localSheetId="3" hidden="1">Income_Statement!$C$6,Income_Statement!$E$11:$P$175</definedName>
    <definedName name="snl__4E29DAED_6F91_4CF3_BF26_38A49F3DE89D_" localSheetId="5" hidden="1">Cash_Flow!$C$6,Cash_Flow!$E$11:$P$92</definedName>
    <definedName name="snl__4E4EED35_0C3B_485D_97FC_148C5C689922_" localSheetId="4" hidden="1">Balance_Sheet!$C$6,Balance_Sheet!$E$11:$P$141</definedName>
    <definedName name="snl__4E573937_8484_4FCC_836D_37760A6258E2_" localSheetId="4" hidden="1">Balance_Sheet!$C$6,Balance_Sheet!$E$11:$P$141</definedName>
    <definedName name="snl__4E71B0D5_C2F8_427B_9E87_0A4228985DBF_" localSheetId="1" hidden="1">Key_Stats!$B$62,Key_Stats!$E$65:$E$71</definedName>
    <definedName name="snl__4EC8A8E2_981B_4153_82C2_191EED8B7759_" localSheetId="7" hidden="1">Ratios!$C$6,Ratios!$D$11:$I$152</definedName>
    <definedName name="snl__4ECD3569_F075_4713_904C_F4E0DED0A0B5_" localSheetId="3" hidden="1">Income_Statement!$C$6,Income_Statement!$E$11:$P$175</definedName>
    <definedName name="snl__4F84F79A_F96B_43F5_BE56_FA57AC8C38C0_" localSheetId="8" hidden="1">Supplemental!$C$6,Supplemental!$D$11:$I$166</definedName>
    <definedName name="snl__502CC878_3261_4D11_BC8E_B7FB2A1C8E9B_" localSheetId="4" hidden="1">Balance_Sheet!$C$6,Balance_Sheet!$E$11:$P$141</definedName>
    <definedName name="snl__50CAC8E0_E184_4D7E_A41F_28326A9F9BCB_" localSheetId="7" hidden="1">Ratios!$C$6,Ratios!$D$11:$I$152</definedName>
    <definedName name="snl__515F0283_CB11_4C0E_9B14_AFFB0BD8A17B_" localSheetId="6" hidden="1">Capital_Structure_Summary!$C$6,Capital_Structure_Summary!$E$15:$O$152</definedName>
    <definedName name="snl__51679B21_84E1_4F01_BF2D_5733D28F785F_" localSheetId="4" hidden="1">Balance_Sheet!$C$6,Balance_Sheet!$E$11:$P$141</definedName>
    <definedName name="snl__51F2BE1D_2A6D_4ED4_9C7C_915387024996_" localSheetId="1" hidden="1">Key_Stats!$B$106,Key_Stats!$E$110:$G$115</definedName>
    <definedName name="snl__52FF84F2_09C6_452A_8F77_0A60B6B900C9_" localSheetId="2" hidden="1">Capitalization!$C$48,Capitalization!$E$50:$J$50</definedName>
    <definedName name="snl__531B1940_1073_4CB7_9A4D_C290637E9443_" localSheetId="2" hidden="1">Capitalization!$C$47,Capitalization!$E$53:$J$54</definedName>
    <definedName name="snl__5328DA67_E953_4A72_955A_32A18B0F265C_" localSheetId="6" hidden="1">Capital_Structure_Summary!$C$6,Capital_Structure_Summary!$E$15:$O$152</definedName>
    <definedName name="snl__5342BC00_4EBC_41CE_971D_405596B912FD_" localSheetId="9" hidden="1">'Pension-OPEB'!$C$6,'Pension-OPEB'!$D$11:$I$570</definedName>
    <definedName name="snl__536D3469_749E_4788_B539_5F47869AC5E7_" localSheetId="2" hidden="1">Capitalization!$C$48,Capitalization!$E$50:$J$50</definedName>
    <definedName name="snl__541E6CF9_FD3B_4315_A093_A507E59532AA_" localSheetId="5" hidden="1">Cash_Flow!$C$6,Cash_Flow!$E$11:$P$92</definedName>
    <definedName name="snl__542E9516_9409_4FBC_B936_3A8F2BC94E03_" localSheetId="6" hidden="1">Capital_Structure_Summary!$C$6,Capital_Structure_Summary!$E$15:$O$152</definedName>
    <definedName name="snl__54533F78_31A5_4E61_A07A_15E40AECE4C1_" localSheetId="1" hidden="1">Key_Stats!$B$25,Key_Stats!$F$28:$I$52</definedName>
    <definedName name="snl__54B78212_726E_473E_9EE4_41DD8D141822_" localSheetId="1" hidden="1">Key_Stats!$B$25,Key_Stats!$F$28:$M$52</definedName>
    <definedName name="snl__54B87FF5_ADCC_4DC9_9A12_FBCA92506862_" localSheetId="2" hidden="1">Capitalization!$C$47,Capitalization!$E$53:$J$54</definedName>
    <definedName name="snl__55C2FD95_9BD3_4CA6_9F51_0055409C51EA_" localSheetId="5" hidden="1">Cash_Flow!$C$6,Cash_Flow!$E$11:$P$92</definedName>
    <definedName name="snl__5605197F_0A58_447C_AC02_4353152AFA34_" localSheetId="3" hidden="1">Income_Statement!$C$6,Income_Statement!$E$11:$P$175</definedName>
    <definedName name="snl__5618F591_EF6B_45FF_B115_A71CF077B020_" localSheetId="2" hidden="1">Capitalization!$C$47,Capitalization!$E$53:$J$54</definedName>
    <definedName name="snl__56C8364C_E777_43C0_A5B1_AA30231DAA18_" localSheetId="6" hidden="1">Capital_Structure_Summary!$C$6,Capital_Structure_Summary!$G$15:$K$25</definedName>
    <definedName name="snl__56E5D802_08EB_43D2_B9EA_A9FCD203ADB3_" localSheetId="2" hidden="1">Capitalization!$C$47,Capitalization!$E$53:$J$54</definedName>
    <definedName name="snl__5728D89D_0EE8_4F55_9E88_3598ED9C5AD5_" localSheetId="5" hidden="1">Cash_Flow!$C$6,Cash_Flow!$E$11:$P$92</definedName>
    <definedName name="snl__5772A380_F3C6_401F_A8C9_DA13523088D0_" localSheetId="9" hidden="1">'Pension-OPEB'!$C$6,'Pension-OPEB'!$D$11:$I$570</definedName>
    <definedName name="snl__5810942A_671A_4847_B2EA_4A23BA34CE40_" localSheetId="2" hidden="1">Capitalization!$C$4,Capitalization!$E$9:$J$25</definedName>
    <definedName name="snl__58C9B9B3_F5DE_46EC_98FA_3F81CFFD71BF_" localSheetId="6" hidden="1">Capital_Structure_Summary!$C$7,Capital_Structure_Summary!$F$29:$P$80</definedName>
    <definedName name="snl__592A440D_DD43_4B0F_8902_FF778AD3D4D5_" localSheetId="2" hidden="1">Capitalization!$C$47,Capitalization!$E$53:$J$54</definedName>
    <definedName name="snl__5947C782_C450_43C3_B6D3_4A0CBC250E67_" localSheetId="2" hidden="1">Capitalization!$C$48,Capitalization!$E$50:$N$50</definedName>
    <definedName name="snl__599B3E6E_30DC_4B0D_845A_0E1B01416BF1_" localSheetId="5" hidden="1">Cash_Flow!$C$6,Cash_Flow!$E$11:$P$92</definedName>
    <definedName name="snl__5AC45167_36E4_46F5_8B04_07535D505232_" localSheetId="8" hidden="1">Supplemental!$C$6,Supplemental!$D$11:$I$166</definedName>
    <definedName name="snl__5B54853E_F787_4722_8EE5_DCD62B4938AC_" localSheetId="8" hidden="1">Supplemental!$C$6,Supplemental!$D$11:$I$166</definedName>
    <definedName name="snl__5B98B07E_29E0_4671_8BBB_A05D80759BE6_" localSheetId="2" hidden="1">Capitalization!$C$47,Capitalization!$E$53:$J$54</definedName>
    <definedName name="snl__5C08A5F9_04A5_4D8E_9CDA_10015BAF1BE2_" localSheetId="7" hidden="1">Ratios!$C$6,Ratios!$D$11:$I$152</definedName>
    <definedName name="snl__5C10ED24_1161_4106_B9CD_16B424BE93BC_" localSheetId="7" hidden="1">Ratios!$C$6,Ratios!$D$11:$I$152</definedName>
    <definedName name="snl__5C2A3E95_7B0E_4303_B3D5_EE9B25EC7CBF_" localSheetId="2" hidden="1">Capitalization!$C$48,Capitalization!$E$50:$J$50</definedName>
    <definedName name="snl__5C33CEAD_A6A2_42C8_B0E9_E7D5294C0F89_" localSheetId="4" hidden="1">Balance_Sheet!$C$6,Balance_Sheet!$E$11:$P$141</definedName>
    <definedName name="snl__5C42C7B4_CFD2_4357_9505_19B2CD1E61C1_" localSheetId="7" hidden="1">Ratios!$C$6,Ratios!$D$11:$I$152</definedName>
    <definedName name="snl__5C62DCD8_91C7_4BF7_A698_96B16E878D14_" localSheetId="6" hidden="1">Capital_Structure_Summary!$C$6,Capital_Structure_Summary!$E$15:$O$152</definedName>
    <definedName name="snl__5D3C5517_25E7_4C53_B5E1_5C240332955D_" localSheetId="7" hidden="1">Ratios!$C$6,Ratios!$D$11:$I$152</definedName>
    <definedName name="snl__5D4A4205_2C40_48F1_BA78_9867B07F94E9_" localSheetId="2" hidden="1">Capitalization!$C$47,Capitalization!$E$53:$J$54</definedName>
    <definedName name="snl__5D500998_7094_489C_A084_FF3E7F5FDEC6_" localSheetId="4" hidden="1">Balance_Sheet!$C$6,Balance_Sheet!$E$11:$P$141</definedName>
    <definedName name="snl__5D7E286D_31FA_4E10_AEF5_095E6073716B_" localSheetId="2" hidden="1">Capitalization!$C$47,Capitalization!$E$53:$J$54</definedName>
    <definedName name="snl__5ED730DA_A123_4358_BC6D_6CB70E56CBE2_" localSheetId="2" hidden="1">Capitalization!$C$47,Capitalization!$E$53:$J$54</definedName>
    <definedName name="snl__5F3140D8_9A09_4FEE_B469_A9D9C456E3D4_" localSheetId="2" hidden="1">Capitalization!$C$47,Capitalization!$E$53:$J$54</definedName>
    <definedName name="snl__5F641AAA_7711_4575_8997_254AC63E442F_" localSheetId="2" hidden="1">Capitalization!$C$4,Capitalization!$E$9:$J$25</definedName>
    <definedName name="snl__5F8CE4F1_7275_4691_89D1_A8F625D21E0D_" localSheetId="5" hidden="1">Cash_Flow!$C$6,Cash_Flow!$E$11:$P$92</definedName>
    <definedName name="snl__5FAA35A5_4631_4469_8E6C_0014F10F2A8E_" localSheetId="6" hidden="1">Capital_Structure_Summary!$C$6,Capital_Structure_Summary!$E$15:$O$152</definedName>
    <definedName name="snl__5FF250CF_6F9E_44E2_8BFD_B9DC9B10E464_" localSheetId="9" hidden="1">'Pension-OPEB'!$C$6,'Pension-OPEB'!$D$11:$I$570</definedName>
    <definedName name="snl__603A001C_E567_47C3_AF13_8DC089C12D2E_" localSheetId="2" hidden="1">Capitalization!$C$4,Capitalization!$E$9:$J$25</definedName>
    <definedName name="snl__61048822_D297_4034_807F_70483322E9DF_" localSheetId="2" hidden="1">Capitalization!$C$47,Capitalization!$E$53:$J$54</definedName>
    <definedName name="snl__6160FC34_EF82_441F_BF54_6E0433A94A0D_" localSheetId="6" hidden="1">Capital_Structure_Summary!$C$6,Capital_Structure_Summary!$E$15:$O$152</definedName>
    <definedName name="snl__623B9C32_2B75_4E0C_B9FC_1CC1C941AFC7_" localSheetId="8" hidden="1">Supplemental!$C$6,Supplemental!$D$11:$I$166</definedName>
    <definedName name="snl__62D2955A_2450_47F8_B94E_283477E64000_" localSheetId="7" hidden="1">Ratios!$C$6,Ratios!$D$11:$I$152</definedName>
    <definedName name="snl__6356B8DA_CA06_4D03_A21E_4C04A4F452D6_" localSheetId="9" hidden="1">'Pension-OPEB'!$C$6,'Pension-OPEB'!$D$11:$I$570</definedName>
    <definedName name="snl__63BBCF2A_B3E6_456A_A6F9_181A72583C99_" localSheetId="7" hidden="1">Ratios!$C$6,Ratios!$D$11:$I$152</definedName>
    <definedName name="snl__64989D66_D72B_4D7D_AC47_430B81965531_" localSheetId="7" hidden="1">Ratios!$C$6,Ratios!$D$11:$I$152</definedName>
    <definedName name="snl__64BCFA2E_3044_4EC2_A860_0A28ABE6D287_" localSheetId="7" hidden="1">Ratios!$C$6,Ratios!$D$11:$I$152</definedName>
    <definedName name="snl__65F9BD23_B28F_4A9B_B879_D104FF26996D_" localSheetId="7" hidden="1">Ratios!$C$6,Ratios!$D$11:$I$152</definedName>
    <definedName name="snl__666DCD66_1D95_4F3D_9E88_66FF9B9D5C50_" localSheetId="6" hidden="1">Capital_Structure_Summary!$C$6,Capital_Structure_Summary!$E$15:$O$152</definedName>
    <definedName name="snl__66E34704_2793_497D_B81F_61306419D78B_" localSheetId="2" hidden="1">Capitalization!$C$47,Capitalization!$E$53:$J$54</definedName>
    <definedName name="snl__679CFF39_8BF4_48E2_B338_6D601815B2DD_" localSheetId="6" hidden="1">Capital_Structure_Summary!$C$7,Capital_Structure_Summary!$F$29:$P$80</definedName>
    <definedName name="snl__687BD20F_4475_4B1E_AA25_F5C30167DA50_" localSheetId="8" hidden="1">Supplemental!$C$6,Supplemental!$D$11:$I$166</definedName>
    <definedName name="snl__68903219_F5C6_484E_9F12_C7BDC998BE6D_" localSheetId="4" hidden="1">Balance_Sheet!$C$6,Balance_Sheet!$E$11:$P$141</definedName>
    <definedName name="snl__699301BA_5D6C_43D0_AB86_1C437CA824EA_" localSheetId="2" hidden="1">Capitalization!$C$48,Capitalization!$E$50:$J$50</definedName>
    <definedName name="snl__69A48740_B9FC_455C_915C_617B2BF8CB27_" localSheetId="5" hidden="1">Cash_Flow!$C$6,Cash_Flow!$E$11:$P$92</definedName>
    <definedName name="snl__69D4B924_7296_442B_B05F_906EE99C2B3C_" localSheetId="4" hidden="1">Balance_Sheet!$C$6,Balance_Sheet!$E$11:$P$141</definedName>
    <definedName name="snl__6A0D3262_A482_471E_B07F_E90FD09194D1_" localSheetId="5" hidden="1">Cash_Flow!$C$6,Cash_Flow!$E$11:$P$92</definedName>
    <definedName name="snl__6A1D141B_C00F_46D6_A6D9_10957A55E1A9_" localSheetId="2" hidden="1">Capitalization!$C$47,Capitalization!$E$53:$J$54</definedName>
    <definedName name="snl__6A8DCB6F_BC6E_4E9B_B529_4719446B253B_" localSheetId="2" hidden="1">Capitalization!$C$4,Capitalization!$E$9:$J$25</definedName>
    <definedName name="snl__6B076152_E65B_4E67_9348_497593287995_" localSheetId="2" hidden="1">Capitalization!$C$4,Capitalization!$E$9:$J$25</definedName>
    <definedName name="snl__6B5340CC_98D1_4442_AE7F_BE9B5F063682_" localSheetId="6" hidden="1">Capital_Structure_Summary!$C$6,Capital_Structure_Summary!$E$15:$O$152</definedName>
    <definedName name="snl__6B78A759_55ED_423D_AE8D_59309809FC2A_" localSheetId="9" hidden="1">'Pension-OPEB'!$C$6,'Pension-OPEB'!$D$11:$I$570</definedName>
    <definedName name="snl__6B86E11B_6CE8_4257_9282_AF08582D1BDC_" localSheetId="6" hidden="1">Capital_Structure_Summary!$C$7,Capital_Structure_Summary!$F$29:$P$80</definedName>
    <definedName name="snl__6BD9B1D4_C0F9_4882_B369_C5B57C39909B_" localSheetId="3" hidden="1">Income_Statement!$C$6,Income_Statement!$E$11:$P$175</definedName>
    <definedName name="snl__6C795520_7D8F_483D_A630_2A48DAF3649A_" localSheetId="6" hidden="1">Capital_Structure_Summary!$C$6,Capital_Structure_Summary!$E$15:$O$152</definedName>
    <definedName name="snl__6C86E855_175F_4736_9C33_536DDBCA1D91_" localSheetId="5" hidden="1">Cash_Flow!$C$6,Cash_Flow!$E$11:$P$92</definedName>
    <definedName name="snl__6CB10DFF_9650_474B_871C_30DC57584DD3_" localSheetId="6" hidden="1">Capital_Structure_Summary!$C$6,Capital_Structure_Summary!$E$15:$O$152</definedName>
    <definedName name="snl__6CF70EE1_6DC5_4F09_93C2_6A72E2BD8C15_" localSheetId="3" hidden="1">Income_Statement!$C$6,Income_Statement!$E$11:$P$175</definedName>
    <definedName name="snl__6F81A7A6_9287_471F_AB82_D0C9EF032F7D_" localSheetId="3" hidden="1">Income_Statement!$C$6,Income_Statement!$E$11:$P$175</definedName>
    <definedName name="snl__70C336D8_7BC4_419F_A366_B1DC9747B393_" localSheetId="5" hidden="1">Cash_Flow!$C$6,Cash_Flow!$E$11:$P$92</definedName>
    <definedName name="snl__719FF465_7171_4A0E_B414_51152D146C60_" localSheetId="8" hidden="1">Supplemental!$C$6,Supplemental!$D$11:$I$166</definedName>
    <definedName name="snl__72224A55_B5A3_4DAB_B568_FF60BD737DBF_" localSheetId="5" hidden="1">Cash_Flow!$C$6,Cash_Flow!$E$11:$P$92</definedName>
    <definedName name="snl__724870AF_9718_45F8_BF5B_6BF19D100A5E_" localSheetId="5" hidden="1">Cash_Flow!$C$6,Cash_Flow!$E$11:$P$92</definedName>
    <definedName name="snl__73A55C70_F693_439A_BE36_4E2796D7DBFB_" localSheetId="2" hidden="1">Capitalization!$C$4,Capitalization!$E$9:$J$25</definedName>
    <definedName name="snl__73E38D04_0A71_4DEA_B052_788424DA374E_" localSheetId="6" hidden="1">Capital_Structure_Summary!$C$7,Capital_Structure_Summary!$F$29:$P$80</definedName>
    <definedName name="snl__73F81CDA_20DB_4B61_BB71_937AB2C79E11_" localSheetId="1" hidden="1">Key_Stats!$B$26,Key_Stats!$M$28:$O$52</definedName>
    <definedName name="snl__74575C48_4616_4681_9DFD_012BFE20BE26_" localSheetId="4" hidden="1">Balance_Sheet!$C$6,Balance_Sheet!$E$11:$P$141</definedName>
    <definedName name="snl__767127A1_3E67_4C66_9D7E_75C5C2DB24C7_" localSheetId="2" hidden="1">Capitalization!$C$4,Capitalization!$E$9:$J$25</definedName>
    <definedName name="snl__77B2E414_0752_409B_93CA_538056794248_" localSheetId="8" hidden="1">Supplemental!$C$6,Supplemental!$D$11:$I$166</definedName>
    <definedName name="snl__78228BF7_5F5A_4ED4_A883_A20DEE280004_" localSheetId="5" hidden="1">Cash_Flow!$C$6,Cash_Flow!$E$11:$P$92</definedName>
    <definedName name="snl__78631FBC_C506_407D_A1B3_165927C164E4_" localSheetId="6" hidden="1">Capital_Structure_Summary!$C$6,Capital_Structure_Summary!$E$15:$O$152</definedName>
    <definedName name="snl__79B2FBDE_E80F_4DB8_879E_93D884FA736E_" localSheetId="7" hidden="1">Ratios!$C$6,Ratios!$D$11:$I$152</definedName>
    <definedName name="snl__7A0E5C7D_B76D_4941_BB20_78F577852042_" localSheetId="1" hidden="1">Key_Stats!$S$55,Key_Stats!$V$58:$W$61</definedName>
    <definedName name="snl__7C15F7E5_1F3F_4541_A44D_FE06A16E896A_" localSheetId="5" hidden="1">Cash_Flow!$C$6,Cash_Flow!$E$11:$P$92</definedName>
    <definedName name="snl__7CC356D2_4D2F_4658_9914_C4C2967F34BC_" localSheetId="5" hidden="1">Cash_Flow!$C$6,Cash_Flow!$E$11:$P$92</definedName>
    <definedName name="snl__7F82A838_0379_4862_BBBA_38A123B28D95_" localSheetId="3" hidden="1">Income_Statement!$C$6,Income_Statement!$E$11:$P$175</definedName>
    <definedName name="snl__7FCC5721_5A85_4BC4_A642_216C0838E976_" localSheetId="8" hidden="1">Supplemental!$C$6,Supplemental!$D$11:$I$166</definedName>
    <definedName name="snl__80AE2870_F6DC_4499_B572_7C1CF88FD738_" localSheetId="9" hidden="1">'Pension-OPEB'!$C$6,'Pension-OPEB'!$D$11:$I$570</definedName>
    <definedName name="snl__80E6C775_7B95_46C8_941F_FC2A43CF4F5E_" localSheetId="5" hidden="1">Cash_Flow!$C$6,Cash_Flow!$E$11:$P$92</definedName>
    <definedName name="snl__81280F3F_F79B_4BD0_9267_724FD229A2F5_" localSheetId="6" hidden="1">Capital_Structure_Summary!$C$7,Capital_Structure_Summary!$F$29:$P$80</definedName>
    <definedName name="snl__817A5D66_6CEB_40EA_9D2A_A8A02A5C4FB8_" localSheetId="6" hidden="1">Capital_Structure_Summary!$C$7,Capital_Structure_Summary!$F$29:$P$80</definedName>
    <definedName name="snl__81867F71_36A2_4F09_9FB4_50FDCDE434CF_" localSheetId="2" hidden="1">Capitalization!$C$4,Capitalization!$E$9:$J$25</definedName>
    <definedName name="snl__81EE403E_5CED_4764_AED5_73ED62014260_" localSheetId="1" hidden="1">Key_Stats!$B$106,Key_Stats!$E$109:$G$115</definedName>
    <definedName name="snl__8201EB0B_4B93_4E41_A4CA_73288C7241AF_" localSheetId="5" hidden="1">Cash_Flow!$C$6,Cash_Flow!$E$11:$P$92</definedName>
    <definedName name="snl__82999E0A_5CB3_48CE_8567_7851EF1AFDF7_" localSheetId="3" hidden="1">Income_Statement!$C$6,Income_Statement!$E$11:$P$35</definedName>
    <definedName name="snl__82A2036E_1346_4813_960B_E0AA1D68EF78_" localSheetId="2" hidden="1">Capitalization!$C$48,Capitalization!$E$50:$J$50</definedName>
    <definedName name="snl__82C73737_DC6C_4266_8DF5_03DC86953A14_" localSheetId="4" hidden="1">Balance_Sheet!$C$6,Balance_Sheet!$E$11:$P$141</definedName>
    <definedName name="snl__838411AE_985C_4C10_BAA7_DDF0C2C913B0_" localSheetId="8" hidden="1">Supplemental!$C$6,Supplemental!$D$11:$I$166</definedName>
    <definedName name="snl__83C75184_D86C_4B7C_ADC6_4BABBDDF283F_" localSheetId="6" hidden="1">Capital_Structure_Summary!$C$6,Capital_Structure_Summary!$E$15:$O$152</definedName>
    <definedName name="snl__83F45E89_E236_4873_A192_19E6AAAC507E_" localSheetId="1" hidden="1">Key_Stats!$B$25,Key_Stats!$F$33</definedName>
    <definedName name="snl__8460553C_F87F_4E6A_8B0D_8F257654A052_" localSheetId="6" hidden="1">Capital_Structure_Summary!$C$6,Capital_Structure_Summary!$E$15:$O$152</definedName>
    <definedName name="snl__84815B72_C0A4_413B_B1EF_C67D3D6326AF_" localSheetId="5" hidden="1">Cash_Flow!$C$6,Cash_Flow!$E$11:$P$92</definedName>
    <definedName name="snl__848BC971_3BCF_410B_8C22_DFED4EDEC930_" localSheetId="2" hidden="1">Capitalization!$C$48,Capitalization!$E$50:$J$50</definedName>
    <definedName name="snl__853189BC_6CAF_421C_92DA_C631708AEB9C_" localSheetId="7" hidden="1">Ratios!$C$6,Ratios!$D$11:$I$152</definedName>
    <definedName name="snl__858D9890_BBCA_4DCB_B0E1_4F13BA940ABE_" localSheetId="1" hidden="1">Key_Stats!$B$25,Key_Stats!$G$33:$I$33</definedName>
    <definedName name="snl__85C3098E_C134_430F_8F57_4F5CD3F7F2ED_" localSheetId="3" hidden="1">Income_Statement!$C$6,Income_Statement!$E$11:$P$175</definedName>
    <definedName name="snl__8610199E_D0DE_4C25_B017_55B123399DCE_" localSheetId="7" hidden="1">Ratios!$C$6,Ratios!$D$11:$I$152</definedName>
    <definedName name="snl__865EFCC5_A289_4434_BE6B_7AD90DC1FBEA_" localSheetId="3" hidden="1">Income_Statement!$C$6,Income_Statement!$E$11:$P$175</definedName>
    <definedName name="snl__868A17DC_8317_41AB_9695_14EB4F307261_" localSheetId="4" hidden="1">Balance_Sheet!$C$6,Balance_Sheet!$E$11:$P$141</definedName>
    <definedName name="snl__86ACB4EF_8FFC_4461_8DE8_02261063AA71_" localSheetId="6" hidden="1">Capital_Structure_Summary!$C$6,Capital_Structure_Summary!$G$15:$O$97</definedName>
    <definedName name="snl__870FD724_534F_4351_9606_04DD07538179_" localSheetId="7" hidden="1">Ratios!$C$6,Ratios!$D$11:$I$152</definedName>
    <definedName name="snl__8749645A_6CAA_4A62_B25A_DDDD0D8667E4_" localSheetId="1" hidden="1">Key_Stats!$B$26,Key_Stats!$M$33:$O$33</definedName>
    <definedName name="snl__88007E08_CA75_40EB_8DBB_CD9E11327D6D_" localSheetId="6" hidden="1">Capital_Structure_Summary!$C$7,Capital_Structure_Summary!$F$29:$P$80</definedName>
    <definedName name="snl__88F4F4A4_2915_4F2E_AA23_B9066AED2E4E_" localSheetId="6" hidden="1">Capital_Structure_Summary!$C$6,Capital_Structure_Summary!$E$15:$O$152</definedName>
    <definedName name="snl__8906A4C3_DE33_4595_ABCD_756561234768_" localSheetId="5" hidden="1">Cash_Flow!$C$6,Cash_Flow!$E$11:$P$92</definedName>
    <definedName name="snl__8932B768_CB9E_48DD_8886_713A8392C199_" localSheetId="8" hidden="1">Supplemental!$C$6,Supplemental!$D$11:$I$166</definedName>
    <definedName name="snl__8963EDD6_31F6_4DCE_A711_4A2EEBD15B04_" localSheetId="2" hidden="1">Capitalization!$C$4,Capitalization!$E$9:$J$25</definedName>
    <definedName name="snl__899C7200_9357_4F79_9E7F_41FCE0B2A21B_" localSheetId="4" hidden="1">Balance_Sheet!$C$6,Balance_Sheet!$E$11:$P$141</definedName>
    <definedName name="snl__8A09220D_D6E5_48B3_A139_DDDC42A32187_" localSheetId="9" hidden="1">'Pension-OPEB'!$C$6,'Pension-OPEB'!$D$11:$I$570</definedName>
    <definedName name="snl__8A4D225A_7290_4ED6_9E4D_13CB247B615C_" localSheetId="5" hidden="1">Cash_Flow!$C$6,Cash_Flow!$E$11:$P$92</definedName>
    <definedName name="snl__8ABC4A2E_CC4B_4D41_93A8_C747FF2F1ED8_" localSheetId="5" hidden="1">Cash_Flow!$C$6,Cash_Flow!$E$11:$P$92</definedName>
    <definedName name="snl__8B07AC16_7076_4BF9_93DD_705689D08F33_" localSheetId="6" hidden="1">Capital_Structure_Summary!$C$7,Capital_Structure_Summary!$F$29:$P$80</definedName>
    <definedName name="snl__8B5842D7_A433_4BFA_9463_F39C73D59C3C_" localSheetId="3" hidden="1">Income_Statement!$C$6,Income_Statement!$E$11:$P$175</definedName>
    <definedName name="snl__8C1C7BC8_5F1E_40BC_B110_2E6B613FD97A_" localSheetId="6" hidden="1">Capital_Structure_Summary!$C$7,Capital_Structure_Summary!$F$29:$P$80</definedName>
    <definedName name="snl__8CE9D624_E47F_4E74_9880_C0EAFFBCDDB1_" localSheetId="4" hidden="1">Balance_Sheet!$C$6,Balance_Sheet!$E$11:$P$141</definedName>
    <definedName name="snl__8D245059_C12E_4653_800C_76531F265B56_" localSheetId="4" hidden="1">Balance_Sheet!$C$6,Balance_Sheet!$E$11:$P$141</definedName>
    <definedName name="snl__8D31D9D5_921D_4C7D_9724_F72D11A190B6_" localSheetId="9" hidden="1">'Pension-OPEB'!$C$6,'Pension-OPEB'!$D$11:$I$570</definedName>
    <definedName name="snl__8D57A1B3_1E12_49EA_BCD3_A91B1CA7CCBE_" localSheetId="8" hidden="1">Supplemental!$C$6,Supplemental!$D$11:$I$166</definedName>
    <definedName name="snl__8E1125A1_0FA9_4718_81C1_607F55B635E5_" localSheetId="3" hidden="1">Income_Statement!$C$6,Income_Statement!$E$11:$P$175</definedName>
    <definedName name="snl__8EC1C4B6_8EA7_4591_BB76_3F7FDA851CD4_" localSheetId="6" hidden="1">Capital_Structure_Summary!$C$7,Capital_Structure_Summary!$F$29:$P$80</definedName>
    <definedName name="snl__8EEE5D6C_783B_4145_8419_64315BA039EC_" localSheetId="6" hidden="1">Capital_Structure_Summary!$C$6,Capital_Structure_Summary!$E$15:$O$152</definedName>
    <definedName name="snl__8F17B6B0_6D3D_4718_A12A_0FB142C6A181_" localSheetId="2" hidden="1">Capitalization!$C$47,Capitalization!$E$53:$J$54</definedName>
    <definedName name="snl__8F3BC3FE_2E01_4570_AAD3_8523507636CB_" localSheetId="2" hidden="1">Capitalization!$C$47,Capitalization!$E$9:$J$47</definedName>
    <definedName name="snl__8F713B36_2EDA_4626_B842_AC4F6C34ED75_" localSheetId="6" hidden="1">Capital_Structure_Summary!$C$6,Capital_Structure_Summary!$E$15:$O$152</definedName>
    <definedName name="snl__909AAF1C_52A8_4912_8600_0E59C058D878_" localSheetId="4" hidden="1">Balance_Sheet!$C$6,Balance_Sheet!$E$11:$P$141</definedName>
    <definedName name="snl__9295F76D_639E_439E_AD95_9BFCDFEA98AD_" localSheetId="5" hidden="1">Cash_Flow!$C$6,Cash_Flow!$E$11:$P$92</definedName>
    <definedName name="snl__93611576_F29A_4B1D_889E_5B64880B4CBB_" localSheetId="9" hidden="1">'Pension-OPEB'!$C$6,'Pension-OPEB'!$D$11:$I$570</definedName>
    <definedName name="snl__9366970D_8B6A_4ADE_A143_AA3006762CA7_" localSheetId="5" hidden="1">Cash_Flow!$C$6,Cash_Flow!$E$11:$P$92</definedName>
    <definedName name="snl__93BD4CD3_60DF_4EC3_80DE_0E35F56D55CB_" localSheetId="9" hidden="1">'Pension-OPEB'!$C$6,'Pension-OPEB'!$D$11:$I$570</definedName>
    <definedName name="snl__94126083_B4BD_4D8C_ADF7_28B86B5549F5_" localSheetId="7" hidden="1">Ratios!$C$6,Ratios!$D$11:$I$152</definedName>
    <definedName name="snl__94316B3F_FDFB_4A7F_AA4B_DC6F21FB8B4C_" localSheetId="8" hidden="1">Supplemental!$C$6,Supplemental!$D$11:$I$166</definedName>
    <definedName name="snl__945929C4_1EE3_44B3_8A71_09DDA659DBED_" localSheetId="5" hidden="1">Cash_Flow!$C$6,Cash_Flow!$E$11:$P$92</definedName>
    <definedName name="snl__96A52E43_2CEE_47D8_952C_ABD8A3A5841C_" localSheetId="6" hidden="1">Capital_Structure_Summary!$C$6,Capital_Structure_Summary!$E$15:$O$152</definedName>
    <definedName name="snl__9708C132_2091_4169_B4EE_E88ACF30F87D_" localSheetId="3" hidden="1">Income_Statement!$C$6,Income_Statement!$E$11:$P$175</definedName>
    <definedName name="snl__9736F8BC_E012_4AAA_B85D_27CB3D93777F_" localSheetId="4" hidden="1">Balance_Sheet!$C$6,Balance_Sheet!$E$11:$P$141</definedName>
    <definedName name="snl__97B4E715_E617_4B76_9BFA_92C864B7C20C_" localSheetId="9" hidden="1">'Pension-OPEB'!$C$6,'Pension-OPEB'!$D$11:$I$570</definedName>
    <definedName name="snl__983450FD_5F38_4FBD_BA9A_C5ED558910C6_" localSheetId="5" hidden="1">Cash_Flow!$C$6,Cash_Flow!$E$11:$P$92</definedName>
    <definedName name="snl__98AEBE03_B36A_4B3A_AA9F_291B83DBD535_" localSheetId="6" hidden="1">Capital_Structure_Summary!$C$7,Capital_Structure_Summary!$F$29:$P$80</definedName>
    <definedName name="snl__993A030B_F343_4031_897C_E920257C9F3B_" localSheetId="1" hidden="1">Key_Stats!$B$25,Key_Stats!$E$28:$L$52</definedName>
    <definedName name="snl__995F049F_1325_4F55_A906_8C9212D36358_" localSheetId="6" hidden="1">Capital_Structure_Summary!$C$7,Capital_Structure_Summary!$F$29:$P$80</definedName>
    <definedName name="snl__99AAF763_34F4_4A40_A634_912905640075_" localSheetId="4" hidden="1">Balance_Sheet!$C$6,Balance_Sheet!$E$11:$P$141</definedName>
    <definedName name="snl__9A29A4B0_482E_4B24_A66E_440ED86B3CDC_" localSheetId="4" hidden="1">Balance_Sheet!$C$6,Balance_Sheet!$E$11:$P$141</definedName>
    <definedName name="snl__9C910CF7_6B84_4488_A924_B94B78FB47F2_" localSheetId="4" hidden="1">Balance_Sheet!$C$6,Balance_Sheet!$E$11:$P$141</definedName>
    <definedName name="snl__9D6F88A9_B08E_492D_904E_63C51B9B08CD_" localSheetId="8" hidden="1">Supplemental!$C$6,Supplemental!$D$11:$I$166</definedName>
    <definedName name="snl__9E0960D2_3F20_4719_8FF5_F2E674E45D18_" localSheetId="4" hidden="1">Balance_Sheet!$C$6,Balance_Sheet!$E$11:$P$141</definedName>
    <definedName name="snl__9E3ED9C0_9867_455C_AD6B_2BA131A63609_" localSheetId="2" hidden="1">Capitalization!$C$47,Capitalization!$E$53:$J$54</definedName>
    <definedName name="snl__9F4DA8E7_CF93_439F_95A3_212DEE713FDF_" localSheetId="2" hidden="1">Capitalization!$C$48,Capitalization!$E$50:$J$50</definedName>
    <definedName name="snl__9F5DE1EC_1721_4C24_BD53_85DF7875CC40_" localSheetId="2" hidden="1">Capitalization!$C$47,Capitalization!$E$53:$J$54</definedName>
    <definedName name="snl__A016BE6D_4BB1_44A4_A73E_F736DAF1EF26_" localSheetId="9" hidden="1">'Pension-OPEB'!$C$6,'Pension-OPEB'!$D$11:$I$570</definedName>
    <definedName name="snl__A177B25D_61A5_4032_9D34_BB84B9B1696E_" localSheetId="5" hidden="1">Cash_Flow!$C$6,Cash_Flow!$E$11:$P$92</definedName>
    <definedName name="snl__A1A58EED_1CE5_4F0C_AAFD_E38A6A809F7F_" localSheetId="9" hidden="1">'Pension-OPEB'!$C$6,'Pension-OPEB'!$D$11:$I$570</definedName>
    <definedName name="snl__A2A7952F_AE63_40F7_A254_0CE9419FDAEB_" localSheetId="3" hidden="1">Income_Statement!$C$6,Income_Statement!$E$11:$P$175</definedName>
    <definedName name="snl__A2AE71CD_3999_4409_AB95_A8689267F1CB_" localSheetId="6" hidden="1">Capital_Structure_Summary!$C$7,Capital_Structure_Summary!$F$29:$P$80</definedName>
    <definedName name="snl__A42D36A3_C2E1_4C28_A3BD_23D6AF2ABA10_" localSheetId="2" hidden="1">Capitalization!$C$47,Capitalization!$E$53:$J$54</definedName>
    <definedName name="snl__A4F66809_3EC9_4248_A009_DD84DF730789_" localSheetId="7" hidden="1">Ratios!$C$6,Ratios!$D$11:$I$152</definedName>
    <definedName name="snl__A566A1C2_7F07_4E2D_B2BC_15545222641F_" localSheetId="3" hidden="1">Income_Statement!$C$6,Income_Statement!$E$11:$P$175</definedName>
    <definedName name="snl__A58476BA_15C3_40CE_BCBE_D997376943F2_" localSheetId="4" hidden="1">Balance_Sheet!$C$6,Balance_Sheet!$E$11:$P$141</definedName>
    <definedName name="snl__A5FBDEF7_C84F_4AE7_9E4C_505736C91EAA_" localSheetId="4" hidden="1">Balance_Sheet!$C$6,Balance_Sheet!$E$11:$P$141</definedName>
    <definedName name="snl__A64CAFFD_5BAD_444C_9C20_81728869ED0C_" localSheetId="2" hidden="1">Capitalization!$C$48,Capitalization!$E$50:$J$50</definedName>
    <definedName name="snl__A64D9E95_DD7F_49B1_85D5_9EE72498C547_" localSheetId="3" hidden="1">Income_Statement!$C$6,Income_Statement!$E$11:$P$175</definedName>
    <definedName name="snl__A69F6B4B_C288_42FF_962E_B201F56557E1_" localSheetId="3" hidden="1">Income_Statement!$C$6,Income_Statement!$E$11:$P$175</definedName>
    <definedName name="snl__A6D7F29A_DC56_432D_B8DE_A7A7B0780B94_" localSheetId="7" hidden="1">Ratios!$C$6,Ratios!$D$11:$I$152</definedName>
    <definedName name="snl__A73CFBCA_BBE7_4621_AA91_8B2636A6C615_" localSheetId="3" hidden="1">Income_Statement!$C$6,Income_Statement!$E$11:$P$175</definedName>
    <definedName name="snl__A774F67C_45C9_4746_B6BE_A05533A81C27_" localSheetId="6" hidden="1">Capital_Structure_Summary!$C$7,Capital_Structure_Summary!$F$29:$P$80</definedName>
    <definedName name="snl__A7DC4E3E_9011_4F95_9947_8557AB729F39_" localSheetId="7" hidden="1">Ratios!$C$6,Ratios!$D$11:$I$152</definedName>
    <definedName name="snl__A8008589_0BAE_4A76_9F1E_660735D6DA5A_" localSheetId="3" hidden="1">Income_Statement!$C$6,Income_Statement!$E$11:$P$175</definedName>
    <definedName name="snl__A81AF752_E946_4E01_BDB7_C9EB32B72773_" localSheetId="7" hidden="1">Ratios!$C$6,Ratios!$D$11:$I$152</definedName>
    <definedName name="snl__A859D226_B9D2_4B87_ACEE_145C43A829AF_" localSheetId="3" hidden="1">Income_Statement!$C$6,Income_Statement!$E$11:$P$175</definedName>
    <definedName name="snl__A8F80CAB_677E_41D7_92A0_41DCB5859781_" localSheetId="6" hidden="1">Capital_Structure_Summary!$C$6,Capital_Structure_Summary!$E$15:$O$152</definedName>
    <definedName name="snl__A9CD324F_32FE_4D60_BBBA_5785A3800856_" localSheetId="7" hidden="1">Ratios!$C$6,Ratios!$D$11:$I$152</definedName>
    <definedName name="snl__A9D3BA29_F956_4838_948C_BAC150B80B00_" localSheetId="1" hidden="1">Key_Stats!$B$26,Key_Stats!$M$28:$O$52</definedName>
    <definedName name="snl__A9E58C02_2CFF_4D94_A206_97DDB2AA95B7_" localSheetId="9" hidden="1">'Pension-OPEB'!$C$6,'Pension-OPEB'!$D$11:$I$570</definedName>
    <definedName name="snl__AB926BA1_1594_4290_94EB_4839906F924D_" localSheetId="9" hidden="1">'Pension-OPEB'!$C$6,'Pension-OPEB'!$D$11:$I$570</definedName>
    <definedName name="snl__AC4CE7CF_99CA_4207_9EE7_2F7CD48DADF4_" localSheetId="6" hidden="1">Capital_Structure_Summary!$C$6,Capital_Structure_Summary!$E$15:$O$152</definedName>
    <definedName name="snl__AC5573B4_9956_48FA_915E_C7615F3F9132_" localSheetId="6" hidden="1">Capital_Structure_Summary!$C$6,Capital_Structure_Summary!$E$15:$O$152</definedName>
    <definedName name="snl__ACA5DAD3_C520_4042_88C6_F4DA1F7265EA_" localSheetId="6" hidden="1">Capital_Structure_Summary!$C$7,Capital_Structure_Summary!$F$29:$P$80</definedName>
    <definedName name="snl__AD5999E9_2442_4ADE_8A89_642CFE175EC3_" localSheetId="5" hidden="1">Cash_Flow!$C$6,Cash_Flow!$E$11:$P$92</definedName>
    <definedName name="snl__AF29B06A_76A4_4E73_B36E_FEDBB8B4FF91_" localSheetId="2" hidden="1">Capitalization!$C$47,Capitalization!$E$53:$J$54</definedName>
    <definedName name="snl__B07923A6_5E5F_436D_8EF5_17860550D93C_" localSheetId="5" hidden="1">Cash_Flow!$C$6,Cash_Flow!$E$11:$P$92</definedName>
    <definedName name="snl__B1732FA9_0BDE_4BD1_AB32_59818CEF8D02_" localSheetId="5" hidden="1">Cash_Flow!$C$6,Cash_Flow!$E$11:$P$92</definedName>
    <definedName name="snl__B1B8A7A4_5DE9_4E72_B1FF_EEC30B842655_" localSheetId="1" hidden="1">Key_Stats!$B$25,Key_Stats!$E$28:$L$52</definedName>
    <definedName name="snl__B1DEF336_0CED_451D_8255_5970DDA76CE9_" localSheetId="5" hidden="1">Cash_Flow!$C$6,Cash_Flow!$E$11:$P$92</definedName>
    <definedName name="snl__B22C6A77_C36D_4F68_9BF7_1A8B7021BEC8_" localSheetId="9" hidden="1">'Pension-OPEB'!$C$6,'Pension-OPEB'!$D$11:$I$570</definedName>
    <definedName name="snl__B235BEDC_E3C7_4082_9431_6EAEF53D9966_" localSheetId="6" hidden="1">Capital_Structure_Summary!$C$6,Capital_Structure_Summary!$G$15:$O$51</definedName>
    <definedName name="snl__B23891DD_8901_40D4_B905_7E249D9C0B9C_" localSheetId="4" hidden="1">Balance_Sheet!$C$6,Balance_Sheet!$E$11:$P$141</definedName>
    <definedName name="snl__B29FBFC2_4548_4C20_9585_E1DE85E33F81_" localSheetId="2" hidden="1">Capitalization!$C$4,Capitalization!$E$9:$J$25</definedName>
    <definedName name="snl__B2F2FBDD_EC0F_40AA_9684_3C23CE225234_" localSheetId="4" hidden="1">Balance_Sheet!$C$6,Balance_Sheet!$E$11:$P$141</definedName>
    <definedName name="snl__B34DE7CE_A695_41AE_8D41_7018ED6F6656_" localSheetId="2" hidden="1">Capitalization!$C$48,Capitalization!$E$50:$J$50</definedName>
    <definedName name="snl__B42B0DFE_6C7D_4449_A0DF_E1D46CA16196_" localSheetId="6" hidden="1">Capital_Structure_Summary!$C$7,Capital_Structure_Summary!$F$29:$P$80</definedName>
    <definedName name="snl__B4534F5F_197C_4263_A244_92B89371DF0D_" localSheetId="6" hidden="1">Capital_Structure_Summary!$C$6,Capital_Structure_Summary!$E$15:$O$152</definedName>
    <definedName name="snl__B4858B5B_FCFC_4FC4_B409_8B80567C7FE6_" localSheetId="6" hidden="1">Capital_Structure_Summary!$C$7,Capital_Structure_Summary!$F$29:$P$80</definedName>
    <definedName name="snl__B4E4C1D0_6910_4E5D_9B50_4ADD719438AA_" localSheetId="4" hidden="1">Balance_Sheet!$C$6,Balance_Sheet!$E$11:$P$141</definedName>
    <definedName name="snl__B51B6541_A957_45BA_846A_72220592AD8F_" localSheetId="3" hidden="1">Income_Statement!$C$6,Income_Statement!$E$11:$P$175</definedName>
    <definedName name="snl__B5236FEB_30A8_47DD_B857_BBD07D17C7AD_" localSheetId="4" hidden="1">Balance_Sheet!$C$6,Balance_Sheet!$E$11:$P$141</definedName>
    <definedName name="snl__B533D6DE_842D_4E7F_BFE7_7DB5803CB384_" localSheetId="6" hidden="1">Capital_Structure_Summary!$C$6,Capital_Structure_Summary!$E$15:$O$152</definedName>
    <definedName name="snl__B54AFD0A_BCB5_4099_92FF_60578A7B1BE7_" localSheetId="4" hidden="1">Balance_Sheet!$C$6,Balance_Sheet!$E$11:$P$141</definedName>
    <definedName name="snl__B697A306_F5DC_4CA3_AFDB_5A705EB5FE68_" localSheetId="6" hidden="1">Capital_Structure_Summary!$C$6,Capital_Structure_Summary!$E$15:$O$152</definedName>
    <definedName name="snl__B7C73DF5_9B45_4DF8_A93A_ED854CD34C64_" localSheetId="4" hidden="1">Balance_Sheet!$C$6,Balance_Sheet!$E$11:$P$141</definedName>
    <definedName name="snl__B81A6B7D_A853_4936_A27F_3270945129E5_" localSheetId="7" hidden="1">Ratios!$C$6,Ratios!$D$11:$I$152</definedName>
    <definedName name="snl__B8E404E1_FD27_4402_A358_E41967E415E4_" localSheetId="7" hidden="1">Ratios!$C$6,Ratios!$D$11:$I$72</definedName>
    <definedName name="snl__B9C6C3C2_CBAB_43A2_8B51_89FE3CA79E57_" localSheetId="3" hidden="1">Income_Statement!$C$6,Income_Statement!$E$11:$P$175</definedName>
    <definedName name="snl__BA423F19_C947_4863_96FA_288941854474_" localSheetId="9" hidden="1">'Pension-OPEB'!$C$6,'Pension-OPEB'!$D$11:$I$570</definedName>
    <definedName name="snl__BA4891DD_7A96_4818_9323_8AB3C4CAB61A_" localSheetId="6" hidden="1">Capital_Structure_Summary!$C$6,Capital_Structure_Summary!$E$15:$O$152</definedName>
    <definedName name="snl__BAD7D515_05F3_46A1_8011_F545BCD4FC7C_" localSheetId="2" hidden="1">Capitalization!$C$47,Capitalization!$E$53:$J$54</definedName>
    <definedName name="snl__BB8F3ACD_8D35_48EA_BDC3_214B28332567_" localSheetId="6" hidden="1">Capital_Structure_Summary!$C$7,Capital_Structure_Summary!$F$29:$P$80</definedName>
    <definedName name="snl__BD6782B6_6DCF_4D17_A51E_E8D073E1B2F8_" localSheetId="7" hidden="1">Ratios!$C$6,Ratios!$D$11:$I$152</definedName>
    <definedName name="snl__BD6BF6A4_1FEF_467D_B34C_DA81492AE828_" localSheetId="7" hidden="1">Ratios!$C$6,Ratios!$D$11:$I$152</definedName>
    <definedName name="snl__BDF2F08A_14F0_47DE_A2E4_0E1BD081BA50_" localSheetId="6" hidden="1">Capital_Structure_Summary!$C$7,Capital_Structure_Summary!$F$29:$P$80</definedName>
    <definedName name="snl__BE873A13_A0ED_4D93_9427_8A491D56FE8E_" localSheetId="2" hidden="1">Capitalization!$C$48,Capitalization!$E$50:$J$50</definedName>
    <definedName name="snl__BF02F91D_74DF_4838_87C4_14DF85EBCCF9_" localSheetId="6" hidden="1">Capital_Structure_Summary!$C$7,Capital_Structure_Summary!$F$29:$P$80</definedName>
    <definedName name="snl__BF1F231A_09B6_45E8_9B03_6B1857C3B1B5_" localSheetId="5" hidden="1">Cash_Flow!$C$6,Cash_Flow!$E$11:$P$92</definedName>
    <definedName name="snl__BF31922C_31F3_46B0_93AF_457A974AD707_" localSheetId="2" hidden="1">Capitalization!$C$47,Capitalization!$E$53:$J$54</definedName>
    <definedName name="snl__BFC4F9F6_C6D6_4D71_A4E5_85A6F7513F82_" localSheetId="9" hidden="1">'Pension-OPEB'!$C$6,'Pension-OPEB'!$D$11:$I$570</definedName>
    <definedName name="snl__BFC5E723_0C4F_4494_94A6_D31B0D1A0358_" localSheetId="1" hidden="1">Key_Stats!$B$26,Key_Stats!$N$28:$O$51</definedName>
    <definedName name="snl__C0E1FDFF_5989_44AC_B0AA_30AB9D5B3DA3_" localSheetId="6" hidden="1">Capital_Structure_Summary!$C$6,Capital_Structure_Summary!$E$15:$O$152</definedName>
    <definedName name="snl__C17F3753_5ACB_4D53_AEA6_7A936BC3743B_" localSheetId="8" hidden="1">Supplemental!$C$6,Supplemental!$D$11:$I$166</definedName>
    <definedName name="snl__C19B5289_60BA_4E3F_8995_85D90A274A42_" localSheetId="4" hidden="1">Balance_Sheet!$C$6,Balance_Sheet!$E$11:$P$141</definedName>
    <definedName name="snl__C1A5FCBE_D3D5_4F58_BD90_BFDBEBE092FD_" localSheetId="5" hidden="1">Cash_Flow!$C$6,Cash_Flow!$E$11:$P$92</definedName>
    <definedName name="snl__C317CDE5_1FF2_4296_930B_E1828090470A_" localSheetId="6" hidden="1">Capital_Structure_Summary!$C$6,Capital_Structure_Summary!$E$15:$O$152</definedName>
    <definedName name="snl__C3B85211_B153_4F0F_A957_AB19F5C5F5D7_" localSheetId="5" hidden="1">Cash_Flow!$C$6,Cash_Flow!$E$11:$P$92</definedName>
    <definedName name="snl__C45BDD2F_BFF9_4222_8CDC_B7ABCBBC4CF0_" localSheetId="8" hidden="1">Supplemental!$C$6,Supplemental!$D$11:$I$166</definedName>
    <definedName name="snl__C4AC2F80_6610_4F4C_8ABA_400B810E83E5_" localSheetId="4" hidden="1">Balance_Sheet!$C$6,Balance_Sheet!$E$11:$P$141</definedName>
    <definedName name="snl__C4CB442E_FD9A_4EED_ACA9_4993887C3085_" localSheetId="6" hidden="1">Capital_Structure_Summary!$C$6,Capital_Structure_Summary!$E$15:$O$152</definedName>
    <definedName name="snl__C58763CF_4E00_460E_A618_13AA1841DD2D_" localSheetId="2" hidden="1">Capitalization!$C$48,Capitalization!$E$50:$J$50</definedName>
    <definedName name="snl__C593CE34_AD3B_4212_8EDE_A729C1F647FF_" localSheetId="9" hidden="1">'Pension-OPEB'!$C$6,'Pension-OPEB'!$D$11:$I$570</definedName>
    <definedName name="snl__C5A00A94_6549_4CAA_BEED_FF762AFBA334_" localSheetId="7" hidden="1">Ratios!$C$6,Ratios!$D$11:$I$152</definedName>
    <definedName name="snl__C5F4DC2F_3012_474C_82B0_22155EF7D811_" localSheetId="7" hidden="1">Ratios!$C$6,Ratios!$D$11:$I$152</definedName>
    <definedName name="snl__C61AC6AB_8453_4340_9B40_3EC64614C932_" localSheetId="9" hidden="1">'Pension-OPEB'!$C$6,'Pension-OPEB'!$D$11:$I$570</definedName>
    <definedName name="snl__C64489F7_6493_4E73_9C2A_2497642A901C_" localSheetId="8" hidden="1">Supplemental!$C$6,Supplemental!$D$11:$I$166</definedName>
    <definedName name="snl__C68AD7EA_2BA3_4754_85E8_B58E479F90E0_" localSheetId="2" hidden="1">Capitalization!$C$4,Capitalization!$E$9:$J$25</definedName>
    <definedName name="snl__C74DBADB_2996_464B_99E7_D9D80DC32462_" localSheetId="2" hidden="1">Capitalization!$C$4,Capitalization!$E$9:$J$25</definedName>
    <definedName name="snl__C75EC86F_FE0D_477C_82FA_CCCCAFF79298_" localSheetId="4" hidden="1">Balance_Sheet!$C$6,Balance_Sheet!$E$11:$P$141</definedName>
    <definedName name="snl__C8789E3E_576F_421E_8218_098C24C997A2_" localSheetId="4" hidden="1">Balance_Sheet!$C$6,Balance_Sheet!$E$11:$P$141</definedName>
    <definedName name="snl__C898FE63_AFBD_4E47_AA0F_26F06F567AC3_" localSheetId="9" hidden="1">'Pension-OPEB'!$C$6,'Pension-OPEB'!$D$11:$I$21</definedName>
    <definedName name="snl__CA953D1D_A633_4CFD_82DA_A6D1C1474DBC_" localSheetId="8" hidden="1">Supplemental!$C$6,Supplemental!$D$11:$I$166</definedName>
    <definedName name="snl__CAC61C4C_F77D_4A9F_B680_35774B060905_" localSheetId="8" hidden="1">Supplemental!$C$6,Supplemental!$D$11:$I$166</definedName>
    <definedName name="snl__CBF7E717_96E3_46AE_9428_5F9E8F3BD776_" localSheetId="8" hidden="1">Supplemental!$C$6,Supplemental!$D$11:$I$166</definedName>
    <definedName name="snl__CC02E01A_DEB7_4ED2_A2DA_33508B046448_" localSheetId="6" hidden="1">Capital_Structure_Summary!$C$6,Capital_Structure_Summary!$E$15:$O$152</definedName>
    <definedName name="snl__CC0C96A5_A55E_4A2C_BDEF_A0311E54775C_" localSheetId="2" hidden="1">Capitalization!$C$47,Capitalization!$E$53:$J$54</definedName>
    <definedName name="snl__CC12B41B_708D_4C96_932C_8DED5108216E_" localSheetId="7" hidden="1">Ratios!$C$6,Ratios!$D$11:$I$152</definedName>
    <definedName name="snl__CC5C7D7B_B6FF_466E_97E5_4E567579AFB3_" localSheetId="5" hidden="1">Cash_Flow!$C$6,Cash_Flow!$E$11:$P$92</definedName>
    <definedName name="snl__CC7F9E38_0DFE_4766_A9A3_7FF93BC1E31E_" localSheetId="6" hidden="1">Capital_Structure_Summary!$C$7,Capital_Structure_Summary!$F$29:$P$80</definedName>
    <definedName name="snl__CCA8812E_373A_4A81_AD7F_70487B10A68C_" localSheetId="7" hidden="1">Ratios!$C$6,Ratios!$D$11:$I$152</definedName>
    <definedName name="snl__CCEDE65B_492F_4B36_A07C_E3DFD9018981_" localSheetId="7" hidden="1">Ratios!$C$6,Ratios!$D$11:$I$152</definedName>
    <definedName name="snl__CD68FD92_23F0_474D_8E5C_38C220254564_" localSheetId="5" hidden="1">Cash_Flow!$C$6,Cash_Flow!$E$11:$P$92</definedName>
    <definedName name="snl__CDADCF82_4BC9_4FE8_BF94_D0960D41CAF9_" localSheetId="9" hidden="1">'Pension-OPEB'!$C$6,'Pension-OPEB'!$D$11:$I$570</definedName>
    <definedName name="snl__CE0955DC_0EFB_469F_A8A6_97B3C65E30D6_" localSheetId="6" hidden="1">Capital_Structure_Summary!$C$6,Capital_Structure_Summary!$E$15:$O$152</definedName>
    <definedName name="snl__CEF33E84_3BED_47D9_99C2_1FE255349D83_" localSheetId="4" hidden="1">Balance_Sheet!$C$6,Balance_Sheet!$E$11:$P$141</definedName>
    <definedName name="snl__CEFB4655_5ABA_4D9F_B601_AB407B96186C_" localSheetId="6" hidden="1">Capital_Structure_Summary!$C$6,Capital_Structure_Summary!$E$15:$O$152</definedName>
    <definedName name="snl__CF4FC46B_2B01_4D56_8C1D_032043277CE2_" localSheetId="5" hidden="1">Cash_Flow!$C$6,Cash_Flow!$E$11:$P$92</definedName>
    <definedName name="snl__CF814886_B270_41DD_8FDE_DCFA4373098E_" localSheetId="2" hidden="1">Capitalization!$C$4,Capitalization!$E$9:$J$25</definedName>
    <definedName name="snl__CFB6DFD8_0AE3_4C44_90DA_448436ABE190_" localSheetId="2" hidden="1">Capitalization!$C$4,Capitalization!$E$9:$J$39</definedName>
    <definedName name="snl__CFD1E7FD_9677_4CB4_A23A_F71FB6750A15_" localSheetId="7" hidden="1">Ratios!$C$6,Ratios!$D$11:$I$152</definedName>
    <definedName name="snl__D00145FD_6F47_48AF_83A6_EDBC500EF32B_" localSheetId="6" hidden="1">Capital_Structure_Summary!$C$7,Capital_Structure_Summary!$F$29:$P$80</definedName>
    <definedName name="snl__D2093D87_F60E_48F7_821E_C5BFD58CD42B_" localSheetId="7" hidden="1">Ratios!$C$6,Ratios!$D$11:$I$152</definedName>
    <definedName name="snl__D31C952B_9B53_4FE4_8428_838D0B43E42B_" localSheetId="6" hidden="1">Capital_Structure_Summary!$C$7,Capital_Structure_Summary!$F$29:$P$80</definedName>
    <definedName name="snl__D357D52A_74E6_44FF_8E09_A43397A120DC_" localSheetId="7" hidden="1">Ratios!$C$6,Ratios!$D$11:$I$152</definedName>
    <definedName name="snl__D35B474F_08E3_460F_AFB3_FDA813E5C216_" localSheetId="6" hidden="1">Capital_Structure_Summary!$C$7,Capital_Structure_Summary!$F$29:$P$80</definedName>
    <definedName name="snl__D44C9F4B_7564_4AEC_8375_ADEF33DF0BAA_" localSheetId="6" hidden="1">Capital_Structure_Summary!$C$6,Capital_Structure_Summary!$E$15:$O$152</definedName>
    <definedName name="snl__D47B5788_30A3_40EA_A4F2_C3D660DD73A1_" localSheetId="6" hidden="1">Capital_Structure_Summary!$C$7,Capital_Structure_Summary!$F$29:$P$80</definedName>
    <definedName name="snl__D5F7CEA7_F150_4940_B270_1A36AFCFB970_" localSheetId="2" hidden="1">Capitalization!$C$47,Capitalization!$E$53:$J$54</definedName>
    <definedName name="snl__D75A4A26_5139_42F6_A40E_E7F761368706_" localSheetId="2" hidden="1">Capitalization!$C$48,Capitalization!$E$50:$J$50</definedName>
    <definedName name="snl__D8082B81_D95C_41D9_875B_1D5BEE839F29_" localSheetId="9" hidden="1">'Pension-OPEB'!$C$6,'Pension-OPEB'!$D$11:$I$570</definedName>
    <definedName name="snl__D90EFE26_1936_4BBD_8165_6D0EE82EE565_" localSheetId="2" hidden="1">Capitalization!$C$48,Capitalization!$E$50:$J$50</definedName>
    <definedName name="snl__D92FB37F_81E7_4131_B450_21030B589469_" localSheetId="9" hidden="1">'Pension-OPEB'!$C$6,'Pension-OPEB'!$D$11:$I$570</definedName>
    <definedName name="snl__D948DE1D_B918_4C2B_B4ED_6BABB38C6BE6_" localSheetId="6" hidden="1">Capital_Structure_Summary!$C$6,Capital_Structure_Summary!$E$15:$O$152</definedName>
    <definedName name="snl__D9D2AD9E_2A9B_4686_974A_CF1A40C92747_" localSheetId="3" hidden="1">Income_Statement!$C$6,Income_Statement!$E$11:$P$175</definedName>
    <definedName name="snl__DA54EEC1_FDF6_4A08_B548_739EA56D0326_" localSheetId="2" hidden="1">Capitalization!$C$47,Capitalization!$E$53:$J$54</definedName>
    <definedName name="snl__DB211F42_68EE_4E5F_B63F_F901184D7E88_" localSheetId="2" hidden="1">Capitalization!$C$47,Capitalization!$E$53:$J$54</definedName>
    <definedName name="snl__DB337FAC_B8DD_4E10_9C56_75237B94B8DE_" localSheetId="9" hidden="1">'Pension-OPEB'!$C$6,'Pension-OPEB'!$D$11:$I$570</definedName>
    <definedName name="snl__DBABBE19_A38F_4C9C_BEA0_3C6849D7199D_" localSheetId="8" hidden="1">Supplemental!$C$6,Supplemental!$D$11:$I$166</definedName>
    <definedName name="snl__DC92D119_FB3D_44BE_B00A_7830E03F6411_" localSheetId="7" hidden="1">Ratios!$C$6,Ratios!$D$11:$I$152</definedName>
    <definedName name="snl__DCDC7D43_8BEC_4747_8DF3_D7244F3891D3_" localSheetId="8" hidden="1">Supplemental!$C$6,Supplemental!$D$11:$I$166</definedName>
    <definedName name="snl__DDCD77F8_772A_480E_B919_2743C98D3B0C_" localSheetId="7" hidden="1">Ratios!$C$6,Ratios!$D$11:$I$152</definedName>
    <definedName name="snl__DDF2223F_B8E5_49F6_B827_104B3E47BD76_" localSheetId="4" hidden="1">Balance_Sheet!$C$6,Balance_Sheet!$E$11:$P$141</definedName>
    <definedName name="snl__DEA877DC_2DBE_4D53_8187_90F8968C49CF_" localSheetId="7" hidden="1">Ratios!$C$6,Ratios!$D$11:$I$152</definedName>
    <definedName name="snl__DF13B97E_9F30_41ED_AC5B_5B37F19524AA_" localSheetId="2" hidden="1">Capitalization!$C$47,Capitalization!$E$53:$J$54</definedName>
    <definedName name="snl__DF40F77E_7004_4C76_9923_4441453206BC_" localSheetId="6" hidden="1">Capital_Structure_Summary!$C$6,Capital_Structure_Summary!$E$15:$O$152</definedName>
    <definedName name="snl__E0E0046E_501E_4541_96AB_94715977C2A8_" localSheetId="7" hidden="1">Ratios!$C$6,Ratios!$D$11:$I$152</definedName>
    <definedName name="snl__E11101E4_B777_4562_803E_9A0EAB38FCAC_" localSheetId="6" hidden="1">Capital_Structure_Summary!$C$6,Capital_Structure_Summary!$E$15:$O$152</definedName>
    <definedName name="snl__E1867326_011F_4016_BF5F_B5E029E3A9B8_" localSheetId="8" hidden="1">Supplemental!$C$6,Supplemental!$D$11:$I$166</definedName>
    <definedName name="snl__E1AC6A0C_1DE8_4E3D_8F34_F1E1D41C6ECF_" localSheetId="6" hidden="1">Capital_Structure_Summary!$C$6,Capital_Structure_Summary!$E$15:$O$152</definedName>
    <definedName name="snl__E25E41C4_61B3_44B5_B3F8_65FE61AEB5AE_" localSheetId="8" hidden="1">Supplemental!$C$6,Supplemental!$D$11:$I$166</definedName>
    <definedName name="snl__E26AB894_4B1A_4BC6_92C4_1EDB0DA17F99_" localSheetId="8" hidden="1">Supplemental!$C$6,Supplemental!$D$11:$I$166</definedName>
    <definedName name="snl__E2BB883F_8BF1_42C8_916A_9A138E228E1B_" localSheetId="8" hidden="1">Supplemental!$C$6,Supplemental!$D$11:$I$166</definedName>
    <definedName name="snl__E34ED55B_017A_4A4F_8661_25BE4576ADCE_" localSheetId="4" hidden="1">Balance_Sheet!$C$6,Balance_Sheet!$E$11:$P$141</definedName>
    <definedName name="snl__E3A0BD9B_42BD_4D0A_B86B_C50F6F485012_" localSheetId="7" hidden="1">Ratios!$C$6,Ratios!$D$11:$I$152</definedName>
    <definedName name="snl__E403C578_C909_4D7B_9282_49C20AFC94E2_" localSheetId="3" hidden="1">Income_Statement!$C$6,Income_Statement!$E$11:$P$175</definedName>
    <definedName name="snl__E44E1B52_403C_4659_B252_7295D6A89D2A_" localSheetId="8" hidden="1">Supplemental!$C$6,Supplemental!$D$11:$I$166</definedName>
    <definedName name="snl__E4815FF5_E6A2_46A3_BC15_5D4563273C74_" localSheetId="8" hidden="1">Supplemental!$C$6,Supplemental!$D$11:$I$166</definedName>
    <definedName name="snl__E53FEBD7_6F82_4C50_B5D6_3D27B3130D53_" localSheetId="2" hidden="1">Capitalization!$C$47,Capitalization!$E$53:$J$54</definedName>
    <definedName name="snl__E59AE970_B12F_4E70_A51F_D1C87B61CDD3_" localSheetId="2" hidden="1">Capitalization!$C$4,Capitalization!$E$9:$J$25</definedName>
    <definedName name="snl__E5CEF70A_AF3D_4D2C_BC02_5F58BFD8FF56_" localSheetId="5" hidden="1">Cash_Flow!$C$6,Cash_Flow!$E$11:$P$92</definedName>
    <definedName name="snl__E5D8D1D4_DEAE_4BA9_95D0_35EEBFA96981_" localSheetId="7" hidden="1">Ratios!$C$6,Ratios!$D$11:$I$152</definedName>
    <definedName name="snl__E617C701_B5DA_4058_B59C_E15B42728FB0_" localSheetId="3" hidden="1">Income_Statement!$C$6,Income_Statement!$E$11:$P$175</definedName>
    <definedName name="snl__E64A9205_1CF0_4491_BD59_0FBCCB2ADC99_" localSheetId="6" hidden="1">Capital_Structure_Summary!$C$7,Capital_Structure_Summary!$F$29:$P$80</definedName>
    <definedName name="snl__E6830DE4_800B_46DB_A88A_B362CF3AF85F_" localSheetId="6" hidden="1">Capital_Structure_Summary!$C$6,Capital_Structure_Summary!$E$15:$O$152</definedName>
    <definedName name="snl__E73CB9BB_C84D_43D8_9AFE_C8FF98E07D17_" localSheetId="5" hidden="1">Cash_Flow!$C$6,Cash_Flow!$E$11:$P$92</definedName>
    <definedName name="snl__E7BC82B0_AA0F_4A82_8CB5_0401E2DD184E_" localSheetId="2" hidden="1">Capitalization!$C$4,Capitalization!$E$9:$J$25</definedName>
    <definedName name="snl__E7FB4AFE_86BC_4F7C_8C42_009E162463D0_" localSheetId="2" hidden="1">Capitalization!$C$4,Capitalization!$E$9:$J$25</definedName>
    <definedName name="snl__E8018635_8C43_4671_A09B_F54609247AFE_" localSheetId="1" hidden="1">Key_Stats!$S$55,Key_Stats!$V$58:$W$61</definedName>
    <definedName name="snl__E82BABB9_2333_43D7_A112_25E401C3AB72_" localSheetId="6" hidden="1">Capital_Structure_Summary!$C$6,Capital_Structure_Summary!$E$15:$O$152</definedName>
    <definedName name="snl__E883EB10_0051_4C20_BC20_258B8083B35A_" localSheetId="4" hidden="1">Balance_Sheet!$C$6,Balance_Sheet!$E$11:$P$141</definedName>
    <definedName name="snl__E897E652_17C2_4EA3_8490_6272396CA19B_" localSheetId="8" hidden="1">Supplemental!$C$6,Supplemental!$D$11:$I$166</definedName>
    <definedName name="snl__E8E8700A_5551_4C61_BD7A_99BC26237D05_" localSheetId="7" hidden="1">Ratios!$C$6,Ratios!$D$11:$I$152</definedName>
    <definedName name="snl__E92D2061_243C_4866_9BB5_32E7F8578A1B_" localSheetId="2" hidden="1">Capitalization!$C$48,Capitalization!$E$50:$J$50</definedName>
    <definedName name="snl__E9A45730_766D_4430_B394_5E3C0685330D_" localSheetId="6" hidden="1">Capital_Structure_Summary!$C$7,Capital_Structure_Summary!$F$29:$P$80</definedName>
    <definedName name="snl__EA060F96_AB9A_43D7_A973_2134F85D4E62_" localSheetId="9" hidden="1">'Pension-OPEB'!$C$6,'Pension-OPEB'!$D$11:$I$570</definedName>
    <definedName name="snl__EAD1F7A6_10AB_4CC0_BF12_414B3224E12B_" localSheetId="2" hidden="1">Capitalization!$C$48,Capitalization!$E$50:$J$50</definedName>
    <definedName name="snl__EAE0D132_CAF4_4CB9_B59C_0D3795ACF44E_" localSheetId="7" hidden="1">Ratios!$C$6,Ratios!$D$11:$I$152</definedName>
    <definedName name="snl__EBDDC36D_FB7B_4FCB_B7E1_AD2C5A522F50_" localSheetId="8" hidden="1">Supplemental!$C$6,Supplemental!$D$11:$I$166</definedName>
    <definedName name="snl__EBE8D209_EDD4_450A_B4DC_C30A18A2557D_" localSheetId="6" hidden="1">Capital_Structure_Summary!$C$7,Capital_Structure_Summary!$F$29:$P$80</definedName>
    <definedName name="snl__EC5247D0_FE31_4255_9824_9B55E016AB2C_" localSheetId="4" hidden="1">Balance_Sheet!$C$6,Balance_Sheet!$E$11:$P$141</definedName>
    <definedName name="snl__ECC0E764_0103_489E_904F_17DE8F1B44BD_" localSheetId="4" hidden="1">Balance_Sheet!$C$6,Balance_Sheet!$E$11:$P$141</definedName>
    <definedName name="snl__EE2D5BEB_9EEF_46C3_B077_53B6E8ED147C_" localSheetId="5" hidden="1">Cash_Flow!$C$6,Cash_Flow!$E$11:$P$92</definedName>
    <definedName name="snl__EE60FA4D_0F46_4A01_95D8_DF5FB4ADCDAE_" localSheetId="6" hidden="1">Capital_Structure_Summary!$C$7,Capital_Structure_Summary!$F$29:$P$80</definedName>
    <definedName name="snl__EEBA70A1_D55C_4AD4_B6D5_5E65DD08F17F_" localSheetId="6" hidden="1">Capital_Structure_Summary!$C$6,Capital_Structure_Summary!$E$15:$O$152</definedName>
    <definedName name="snl__EFE4EDC6_D5B0_4FAA_8AF8_3BD33D64E00A_" localSheetId="6" hidden="1">Capital_Structure_Summary!$C$7,Capital_Structure_Summary!$F$29:$P$80</definedName>
    <definedName name="snl__F018D898_94D4_4FD2_A46A_F4346A09CB74_" localSheetId="2" hidden="1">Capitalization!$C$4,Capitalization!$E$9:$J$25</definedName>
    <definedName name="snl__F02989AF_F13E_4DDA_BB22_E1198321F266_" localSheetId="5" hidden="1">Cash_Flow!$C$6,Cash_Flow!$E$11:$P$92</definedName>
    <definedName name="snl__F0B45966_0E09_4765_B6C9_0D3E27F7F9A8_" localSheetId="7" hidden="1">Ratios!$C$6,Ratios!$D$11:$I$152</definedName>
    <definedName name="snl__F1340139_75F0_47B9_BE9A_ECBC29C92C7B_" localSheetId="8" hidden="1">Supplemental!$C$6,Supplemental!$D$11:$I$166</definedName>
    <definedName name="snl__F16E7F4A_5FBE_48A8_B273_36DDA55127FC_" localSheetId="9" hidden="1">'Pension-OPEB'!$C$6,'Pension-OPEB'!$D$11:$I$570</definedName>
    <definedName name="snl__F1A59BD7_602D_43BB_9242_34F9509CC2F3_" localSheetId="2" hidden="1">Capitalization!$C$48,Capitalization!$E$50:$J$50</definedName>
    <definedName name="snl__F3777A7D_4138_4EE2_A731_5D9FE739DD07_" localSheetId="4" hidden="1">Balance_Sheet!$C$6,Balance_Sheet!$E$11:$P$141</definedName>
    <definedName name="snl__F482E609_2572_4C12_9616_EA52B5242330_" localSheetId="3" hidden="1">Income_Statement!$C$6,Income_Statement!$E$11:$P$175</definedName>
    <definedName name="snl__F48DC827_5A0D_41E4_A098_A19DD62914F4_" localSheetId="4" hidden="1">Balance_Sheet!$C$6,Balance_Sheet!$E$11:$P$141</definedName>
    <definedName name="snl__F4FE6C42_DD2D_42DC_A1EA_FB6388DB9729_" localSheetId="5" hidden="1">Cash_Flow!$C$6,Cash_Flow!$E$11:$P$92</definedName>
    <definedName name="snl__F54DB82C_AF35_46F6_9B50_C24E3992BFAB_" localSheetId="6" hidden="1">Capital_Structure_Summary!$C$7,Capital_Structure_Summary!$F$29:$P$80</definedName>
    <definedName name="snl__F701E6BA_3B08_451A_99B1_5621D50ACA70_" localSheetId="4" hidden="1">Balance_Sheet!$C$6,Balance_Sheet!$E$11:$P$141</definedName>
    <definedName name="snl__F790DDAE_68B0_4246_9E22_314206A9987F_" localSheetId="6" hidden="1">Capital_Structure_Summary!$C$6,Capital_Structure_Summary!$E$15:$O$152</definedName>
    <definedName name="snl__F7A7FEF3_FF64_4122_BE11_9828D0E60EC3_" localSheetId="6" hidden="1">Capital_Structure_Summary!$C$6,Capital_Structure_Summary!$E$15:$O$152</definedName>
    <definedName name="snl__F7B2FE42_8382_4C88_9A1B_52DF3BDDB41C_" localSheetId="5" hidden="1">Cash_Flow!$C$6,Cash_Flow!$E$11:$P$92</definedName>
    <definedName name="snl__F7B35392_BFD3_489E_9109_7C2724C04C3B_" localSheetId="2" hidden="1">Capitalization!$C$4,Capitalization!$E$9:$J$25</definedName>
    <definedName name="snl__F8A3DE9A_E9AA_4B4A_98D2_611EE49CB2EF_" localSheetId="2" hidden="1">Capitalization!$C$4,Capitalization!$E$9:$J$25</definedName>
    <definedName name="snl__F8CEF703_61C8_4207_BEDA_E2291B7AC112_" localSheetId="5" hidden="1">Cash_Flow!$C$6,Cash_Flow!$E$11:$P$92</definedName>
    <definedName name="snl__FB76BC0C_CD89_4A58_979F_F4D5E596CE71_" localSheetId="5" hidden="1">Cash_Flow!$C$6,Cash_Flow!$E$11:$P$92</definedName>
    <definedName name="snl__FBBF163E_781F_4C36_BEBE_4381AC04794E_" localSheetId="6" hidden="1">Capital_Structure_Summary!$C$7,Capital_Structure_Summary!$F$29:$P$80</definedName>
    <definedName name="snl__FBFAF774_D150_4C6D_BF3F_611779FC810E_" localSheetId="8" hidden="1">Supplemental!$C$6,Supplemental!$D$11:$I$166</definedName>
    <definedName name="snl__FC0B40B4_4FC3_46DF_ACD2_781D77E84D01_" localSheetId="3" hidden="1">Income_Statement!$C$6,Income_Statement!$E$11:$P$175</definedName>
    <definedName name="snl__FCD66227_CB1B_4DAE_B51A_8AEEB43F5D95_" localSheetId="2" hidden="1">Capitalization!$C$4,Capitalization!$E$9:$J$25</definedName>
    <definedName name="snl__FD4C4B6F_D377_4141_85A8_69FF221E74F5_" localSheetId="2" hidden="1">Capitalization!$C$48,Capitalization!$E$50:$J$50</definedName>
    <definedName name="snl__FD5C8406_B44B_488E_BADD_C05197A4F923_" localSheetId="6" hidden="1">Capital_Structure_Summary!$C$7,Capital_Structure_Summary!$F$29:$P$80</definedName>
    <definedName name="snl__FD7DF3BA_62D2_46F1_86F3_5A67ACFD4800_" localSheetId="7" hidden="1">Ratios!$C$6,Ratios!$D$11:$I$152</definedName>
    <definedName name="snl__FD864E17_701C_43AB_AFF8_FC56E0049B5F_" localSheetId="5" hidden="1">Cash_Flow!$C$6,Cash_Flow!$E$11:$P$92</definedName>
    <definedName name="snl__FEDFD186_F962_4C67_BDE4_CD1AB5E5A888_" localSheetId="9" hidden="1">'Pension-OPEB'!$C$6,'Pension-OPEB'!$D$11:$I$570</definedName>
    <definedName name="snl__FEF56BE5_6D69_42AD_ABE1_D13D0BBF3B50_" localSheetId="7" hidden="1">Ratios!$C$6,Ratios!$D$11:$I$152</definedName>
    <definedName name="snl__FF0B0E61_7408_42F5_ACFD_401AB7DBC99F_" localSheetId="6" hidden="1">Capital_Structure_Summary!$C$7,Capital_Structure_Summary!$F$29:$P$80</definedName>
    <definedName name="snl__FFE7B369_6F84_40A6_820B_9425A986DAB2_" localSheetId="8" hidden="1">Supplemental!$C$6,Supplemental!$D$11:$I$166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9" i="8" l="1"/>
  <c r="H19" i="8"/>
  <c r="J19" i="8"/>
  <c r="L19" i="8"/>
  <c r="N19" i="8"/>
  <c r="F20" i="8"/>
  <c r="H20" i="8"/>
  <c r="J20" i="8"/>
  <c r="L20" i="8"/>
  <c r="N20" i="8"/>
  <c r="F21" i="8"/>
  <c r="H21" i="8"/>
  <c r="J21" i="8"/>
  <c r="L21" i="8"/>
  <c r="N21" i="8"/>
  <c r="F22" i="8"/>
  <c r="H22" i="8"/>
  <c r="J22" i="8"/>
  <c r="L22" i="8"/>
  <c r="N22" i="8"/>
  <c r="F23" i="8"/>
  <c r="H23" i="8"/>
  <c r="J23" i="8"/>
  <c r="L23" i="8"/>
  <c r="N23" i="8"/>
  <c r="E27" i="8"/>
  <c r="G27" i="8"/>
  <c r="I27" i="8"/>
  <c r="K27" i="8"/>
  <c r="M27" i="8"/>
  <c r="O27" i="8"/>
  <c r="E42" i="8"/>
  <c r="F42" i="8"/>
  <c r="G42" i="8"/>
  <c r="H42" i="8"/>
  <c r="I42" i="8"/>
  <c r="J42" i="8"/>
  <c r="K42" i="8"/>
  <c r="L42" i="8"/>
  <c r="M42" i="8"/>
  <c r="N42" i="8"/>
  <c r="O42" i="8"/>
  <c r="P42" i="8"/>
  <c r="E12" i="7"/>
  <c r="F12" i="7"/>
  <c r="G12" i="7"/>
  <c r="H12" i="7"/>
  <c r="I12" i="7"/>
  <c r="J12" i="7"/>
  <c r="E14" i="7"/>
  <c r="E17" i="7" s="1"/>
  <c r="E23" i="7" s="1"/>
  <c r="F14" i="7"/>
  <c r="G14" i="7"/>
  <c r="H14" i="7"/>
  <c r="H17" i="7" s="1"/>
  <c r="H23" i="7" s="1"/>
  <c r="I14" i="7"/>
  <c r="I17" i="7" s="1"/>
  <c r="I23" i="7" s="1"/>
  <c r="J14" i="7"/>
  <c r="E15" i="7"/>
  <c r="F15" i="7"/>
  <c r="G15" i="7"/>
  <c r="H15" i="7"/>
  <c r="I15" i="7"/>
  <c r="J15" i="7"/>
  <c r="J17" i="7" s="1"/>
  <c r="J23" i="7" s="1"/>
  <c r="E16" i="7"/>
  <c r="F16" i="7"/>
  <c r="G16" i="7"/>
  <c r="H16" i="7"/>
  <c r="I16" i="7"/>
  <c r="J16" i="7"/>
  <c r="F17" i="7"/>
  <c r="F23" i="7" s="1"/>
  <c r="G17" i="7"/>
  <c r="G23" i="7" s="1"/>
  <c r="C47" i="7"/>
  <c r="E105" i="5"/>
  <c r="F105" i="5"/>
  <c r="G105" i="5"/>
  <c r="H105" i="5"/>
  <c r="I105" i="5"/>
  <c r="J105" i="5"/>
  <c r="K105" i="5"/>
  <c r="L105" i="5"/>
  <c r="M105" i="5"/>
  <c r="N105" i="5"/>
  <c r="O105" i="5"/>
  <c r="P105" i="5"/>
  <c r="M31" i="1"/>
  <c r="N31" i="1"/>
  <c r="O31" i="1"/>
  <c r="M34" i="1"/>
  <c r="N34" i="1"/>
  <c r="O34" i="1"/>
  <c r="M36" i="1"/>
  <c r="N36" i="1"/>
  <c r="O36" i="1"/>
  <c r="M40" i="1"/>
  <c r="N40" i="1"/>
  <c r="O40" i="1"/>
  <c r="M43" i="1"/>
  <c r="N43" i="1"/>
  <c r="O43" i="1"/>
  <c r="M49" i="1"/>
  <c r="N49" i="1"/>
  <c r="O49" i="1"/>
  <c r="M52" i="1"/>
  <c r="N52" i="1"/>
  <c r="O52" i="1"/>
  <c r="E31" i="1"/>
  <c r="F31" i="1"/>
  <c r="G31" i="1"/>
  <c r="H31" i="1"/>
  <c r="I31" i="1"/>
  <c r="E37" i="1"/>
  <c r="F37" i="1"/>
  <c r="G37" i="1"/>
  <c r="H37" i="1"/>
  <c r="I37" i="1"/>
  <c r="E40" i="1"/>
  <c r="F40" i="1"/>
  <c r="G40" i="1"/>
  <c r="H40" i="1"/>
  <c r="I40" i="1"/>
  <c r="E43" i="1"/>
  <c r="F43" i="1"/>
  <c r="G43" i="1"/>
  <c r="H43" i="1"/>
  <c r="I43" i="1"/>
  <c r="E46" i="1"/>
  <c r="F46" i="1"/>
  <c r="G46" i="1"/>
  <c r="H46" i="1"/>
  <c r="I46" i="1"/>
  <c r="E49" i="1"/>
  <c r="F49" i="1"/>
  <c r="G49" i="1"/>
  <c r="H49" i="1"/>
  <c r="I49" i="1"/>
  <c r="E110" i="1"/>
  <c r="F110" i="1"/>
  <c r="G110" i="1"/>
  <c r="B62" i="1"/>
  <c r="J33" i="7"/>
  <c r="I33" i="7"/>
  <c r="H33" i="7"/>
  <c r="G33" i="7"/>
  <c r="F33" i="7"/>
  <c r="E33" i="7"/>
  <c r="F15" i="1" l="1"/>
  <c r="G108" i="1" l="1"/>
  <c r="E108" i="1"/>
  <c r="F108" i="1"/>
  <c r="G106" i="1"/>
  <c r="F106" i="1"/>
  <c r="E106" i="1"/>
  <c r="B106" i="1"/>
  <c r="U569" i="11" l="1"/>
  <c r="U568" i="11"/>
  <c r="U566" i="11"/>
  <c r="U565" i="11"/>
  <c r="U564" i="11"/>
  <c r="U563" i="11"/>
  <c r="U561" i="11"/>
  <c r="U560" i="11"/>
  <c r="U559" i="11"/>
  <c r="U557" i="11"/>
  <c r="U556" i="11"/>
  <c r="U555" i="11"/>
  <c r="U554" i="11"/>
  <c r="U553" i="11"/>
  <c r="U552" i="11"/>
  <c r="U551" i="11"/>
  <c r="U550" i="11"/>
  <c r="U548" i="11"/>
  <c r="U547" i="11"/>
  <c r="U546" i="11"/>
  <c r="U545" i="11"/>
  <c r="U544" i="11"/>
  <c r="U543" i="11"/>
  <c r="U541" i="11"/>
  <c r="U540" i="11"/>
  <c r="U539" i="11"/>
  <c r="U538" i="11"/>
  <c r="U536" i="11"/>
  <c r="U535" i="11"/>
  <c r="U534" i="11"/>
  <c r="U533" i="11"/>
  <c r="U531" i="11"/>
  <c r="U530" i="11"/>
  <c r="U529" i="11"/>
  <c r="U528" i="11"/>
  <c r="U527" i="11"/>
  <c r="U525" i="11"/>
  <c r="U524" i="11"/>
  <c r="U523" i="11"/>
  <c r="U522" i="11"/>
  <c r="U520" i="11"/>
  <c r="U519" i="11"/>
  <c r="U518" i="11"/>
  <c r="U517" i="11"/>
  <c r="U515" i="11"/>
  <c r="U514" i="11"/>
  <c r="U513" i="11"/>
  <c r="U512" i="11"/>
  <c r="U511" i="11"/>
  <c r="U510" i="11"/>
  <c r="U508" i="11"/>
  <c r="U507" i="11"/>
  <c r="U506" i="11"/>
  <c r="U505" i="11"/>
  <c r="U504" i="11"/>
  <c r="U503" i="11"/>
  <c r="U502" i="11"/>
  <c r="U501" i="11"/>
  <c r="U500" i="11"/>
  <c r="U499" i="11"/>
  <c r="U497" i="11"/>
  <c r="U496" i="11"/>
  <c r="U495" i="11"/>
  <c r="U494" i="11"/>
  <c r="U493" i="11"/>
  <c r="U492" i="11"/>
  <c r="U491" i="11"/>
  <c r="U490" i="11"/>
  <c r="U489" i="11"/>
  <c r="U488" i="11"/>
  <c r="U487" i="11"/>
  <c r="U486" i="11"/>
  <c r="U484" i="11"/>
  <c r="U483" i="11"/>
  <c r="U482" i="11"/>
  <c r="U481" i="11"/>
  <c r="U480" i="11"/>
  <c r="U479" i="11"/>
  <c r="U478" i="11"/>
  <c r="U474" i="11"/>
  <c r="U473" i="11"/>
  <c r="U472" i="11"/>
  <c r="U471" i="11"/>
  <c r="U469" i="11"/>
  <c r="U468" i="11"/>
  <c r="U467" i="11"/>
  <c r="U465" i="11"/>
  <c r="U464" i="11"/>
  <c r="U463" i="11"/>
  <c r="U462" i="11"/>
  <c r="U461" i="11"/>
  <c r="U460" i="11"/>
  <c r="U459" i="11"/>
  <c r="U458" i="11"/>
  <c r="U456" i="11"/>
  <c r="U455" i="11"/>
  <c r="U454" i="11"/>
  <c r="U453" i="11"/>
  <c r="U452" i="11"/>
  <c r="U451" i="11"/>
  <c r="U449" i="11"/>
  <c r="U448" i="11"/>
  <c r="U447" i="11"/>
  <c r="U446" i="11"/>
  <c r="U444" i="11"/>
  <c r="U443" i="11"/>
  <c r="U442" i="11"/>
  <c r="U441" i="11"/>
  <c r="U439" i="11"/>
  <c r="U438" i="11"/>
  <c r="U437" i="11"/>
  <c r="U436" i="11"/>
  <c r="U435" i="11"/>
  <c r="U433" i="11"/>
  <c r="U432" i="11"/>
  <c r="U431" i="11"/>
  <c r="U430" i="11"/>
  <c r="U428" i="11"/>
  <c r="U427" i="11"/>
  <c r="U426" i="11"/>
  <c r="U425" i="11"/>
  <c r="U423" i="11"/>
  <c r="U422" i="11"/>
  <c r="U421" i="11"/>
  <c r="U420" i="11"/>
  <c r="U419" i="11"/>
  <c r="U418" i="11"/>
  <c r="U416" i="11"/>
  <c r="U415" i="11"/>
  <c r="U414" i="11"/>
  <c r="U413" i="11"/>
  <c r="U412" i="11"/>
  <c r="U411" i="11"/>
  <c r="U410" i="11"/>
  <c r="U409" i="11"/>
  <c r="U408" i="11"/>
  <c r="U407" i="11"/>
  <c r="U405" i="11"/>
  <c r="U404" i="11"/>
  <c r="U403" i="11"/>
  <c r="U402" i="11"/>
  <c r="U401" i="11"/>
  <c r="U400" i="11"/>
  <c r="U399" i="11"/>
  <c r="U398" i="11"/>
  <c r="U397" i="11"/>
  <c r="U396" i="11"/>
  <c r="U395" i="11"/>
  <c r="U394" i="11"/>
  <c r="U392" i="11"/>
  <c r="U391" i="11"/>
  <c r="U390" i="11"/>
  <c r="U389" i="11"/>
  <c r="U388" i="11"/>
  <c r="U387" i="11"/>
  <c r="U386" i="11"/>
  <c r="U382" i="11"/>
  <c r="U381" i="11"/>
  <c r="U379" i="11"/>
  <c r="U378" i="11"/>
  <c r="U377" i="11"/>
  <c r="U376" i="11"/>
  <c r="U374" i="11"/>
  <c r="U373" i="11"/>
  <c r="U372" i="11"/>
  <c r="U370" i="11"/>
  <c r="U369" i="11"/>
  <c r="U368" i="11"/>
  <c r="U367" i="11"/>
  <c r="U366" i="11"/>
  <c r="U365" i="11"/>
  <c r="U364" i="11"/>
  <c r="U363" i="11"/>
  <c r="U361" i="11"/>
  <c r="U360" i="11"/>
  <c r="U359" i="11"/>
  <c r="U358" i="11"/>
  <c r="U357" i="11"/>
  <c r="U356" i="11"/>
  <c r="U354" i="11"/>
  <c r="U353" i="11"/>
  <c r="U352" i="11"/>
  <c r="U351" i="11"/>
  <c r="U349" i="11"/>
  <c r="U348" i="11"/>
  <c r="U347" i="11"/>
  <c r="U346" i="11"/>
  <c r="U345" i="11"/>
  <c r="U343" i="11"/>
  <c r="U342" i="11"/>
  <c r="U341" i="11"/>
  <c r="U340" i="11"/>
  <c r="U338" i="11"/>
  <c r="U337" i="11"/>
  <c r="U336" i="11"/>
  <c r="U335" i="11"/>
  <c r="U333" i="11"/>
  <c r="U332" i="11"/>
  <c r="U331" i="11"/>
  <c r="U330" i="11"/>
  <c r="U329" i="11"/>
  <c r="U328" i="11"/>
  <c r="U326" i="11"/>
  <c r="U325" i="11"/>
  <c r="U324" i="11"/>
  <c r="U323" i="11"/>
  <c r="U322" i="11"/>
  <c r="U321" i="11"/>
  <c r="U320" i="11"/>
  <c r="U319" i="11"/>
  <c r="U318" i="11"/>
  <c r="U317" i="11"/>
  <c r="U315" i="11"/>
  <c r="U314" i="11"/>
  <c r="U313" i="11"/>
  <c r="U312" i="11"/>
  <c r="U311" i="11"/>
  <c r="U310" i="11"/>
  <c r="U309" i="11"/>
  <c r="U308" i="11"/>
  <c r="U307" i="11"/>
  <c r="U306" i="11"/>
  <c r="U304" i="11"/>
  <c r="U303" i="11"/>
  <c r="U302" i="11"/>
  <c r="U301" i="11"/>
  <c r="U300" i="11"/>
  <c r="U299" i="11"/>
  <c r="U298" i="11"/>
  <c r="U294" i="11"/>
  <c r="U293" i="11"/>
  <c r="U292" i="11"/>
  <c r="U291" i="11"/>
  <c r="U289" i="11"/>
  <c r="U288" i="11"/>
  <c r="U287" i="11"/>
  <c r="U285" i="11"/>
  <c r="U284" i="11"/>
  <c r="U283" i="11"/>
  <c r="U282" i="11"/>
  <c r="U281" i="11"/>
  <c r="U280" i="11"/>
  <c r="U279" i="11"/>
  <c r="U278" i="11"/>
  <c r="U276" i="11"/>
  <c r="U275" i="11"/>
  <c r="U274" i="11"/>
  <c r="U273" i="11"/>
  <c r="U272" i="11"/>
  <c r="U271" i="11"/>
  <c r="U269" i="11"/>
  <c r="U268" i="11"/>
  <c r="U267" i="11"/>
  <c r="U266" i="11"/>
  <c r="U264" i="11"/>
  <c r="U263" i="11"/>
  <c r="U262" i="11"/>
  <c r="U261" i="11"/>
  <c r="U259" i="11"/>
  <c r="U258" i="11"/>
  <c r="U257" i="11"/>
  <c r="U256" i="11"/>
  <c r="U255" i="11"/>
  <c r="U253" i="11"/>
  <c r="U252" i="11"/>
  <c r="U251" i="11"/>
  <c r="U250" i="11"/>
  <c r="U248" i="11"/>
  <c r="U247" i="11"/>
  <c r="U246" i="11"/>
  <c r="U245" i="11"/>
  <c r="U243" i="11"/>
  <c r="U242" i="11"/>
  <c r="U241" i="11"/>
  <c r="U240" i="11"/>
  <c r="U239" i="11"/>
  <c r="U238" i="11"/>
  <c r="U236" i="11"/>
  <c r="U235" i="11"/>
  <c r="U234" i="11"/>
  <c r="U233" i="11"/>
  <c r="U232" i="11"/>
  <c r="U231" i="11"/>
  <c r="U230" i="11"/>
  <c r="U229" i="11"/>
  <c r="U228" i="11"/>
  <c r="U227" i="11"/>
  <c r="U225" i="11"/>
  <c r="U224" i="11"/>
  <c r="U223" i="11"/>
  <c r="U222" i="11"/>
  <c r="U221" i="11"/>
  <c r="U220" i="11"/>
  <c r="U219" i="11"/>
  <c r="U218" i="11"/>
  <c r="U217" i="11"/>
  <c r="U216" i="11"/>
  <c r="U215" i="11"/>
  <c r="U214" i="11"/>
  <c r="U212" i="11"/>
  <c r="U211" i="11"/>
  <c r="U210" i="11"/>
  <c r="U209" i="11"/>
  <c r="U208" i="11"/>
  <c r="U207" i="11"/>
  <c r="U206" i="11"/>
  <c r="U202" i="11"/>
  <c r="U201" i="11"/>
  <c r="U199" i="11"/>
  <c r="U198" i="11"/>
  <c r="U197" i="11"/>
  <c r="U196" i="11"/>
  <c r="U194" i="11"/>
  <c r="U193" i="11"/>
  <c r="U192" i="11"/>
  <c r="U190" i="11"/>
  <c r="U189" i="11"/>
  <c r="U188" i="11"/>
  <c r="U187" i="11"/>
  <c r="U186" i="11"/>
  <c r="U185" i="11"/>
  <c r="U184" i="11"/>
  <c r="U183" i="11"/>
  <c r="U181" i="11"/>
  <c r="U180" i="11"/>
  <c r="U179" i="11"/>
  <c r="U178" i="11"/>
  <c r="U177" i="11"/>
  <c r="U176" i="11"/>
  <c r="U174" i="11"/>
  <c r="U173" i="11"/>
  <c r="U172" i="11"/>
  <c r="U171" i="11"/>
  <c r="U169" i="11"/>
  <c r="U168" i="11"/>
  <c r="U167" i="11"/>
  <c r="U166" i="11"/>
  <c r="U164" i="11"/>
  <c r="U163" i="11"/>
  <c r="U162" i="11"/>
  <c r="U161" i="11"/>
  <c r="U160" i="11"/>
  <c r="U158" i="11"/>
  <c r="U157" i="11"/>
  <c r="U156" i="11"/>
  <c r="U155" i="11"/>
  <c r="U153" i="11"/>
  <c r="U152" i="11"/>
  <c r="U151" i="11"/>
  <c r="U150" i="11"/>
  <c r="U148" i="11"/>
  <c r="U147" i="11"/>
  <c r="U146" i="11"/>
  <c r="U145" i="11"/>
  <c r="U144" i="11"/>
  <c r="U143" i="11"/>
  <c r="U141" i="11"/>
  <c r="U140" i="11"/>
  <c r="U139" i="11"/>
  <c r="U138" i="11"/>
  <c r="U137" i="11"/>
  <c r="U136" i="11"/>
  <c r="U135" i="11"/>
  <c r="U134" i="11"/>
  <c r="U133" i="11"/>
  <c r="U132" i="11"/>
  <c r="U130" i="11"/>
  <c r="U129" i="11"/>
  <c r="U128" i="11"/>
  <c r="U127" i="11"/>
  <c r="U126" i="11"/>
  <c r="U125" i="11"/>
  <c r="U124" i="11"/>
  <c r="U123" i="11"/>
  <c r="U122" i="11"/>
  <c r="U121" i="11"/>
  <c r="U120" i="11"/>
  <c r="U119" i="11"/>
  <c r="U117" i="11"/>
  <c r="U116" i="11"/>
  <c r="U115" i="11"/>
  <c r="U114" i="11"/>
  <c r="U113" i="11"/>
  <c r="U112" i="11"/>
  <c r="U111" i="11"/>
  <c r="U107" i="11"/>
  <c r="U106" i="11"/>
  <c r="U105" i="11"/>
  <c r="U104" i="11"/>
  <c r="U103" i="11"/>
  <c r="U101" i="11"/>
  <c r="U100" i="11"/>
  <c r="U99" i="11"/>
  <c r="U97" i="11"/>
  <c r="U96" i="11"/>
  <c r="U95" i="11"/>
  <c r="U94" i="11"/>
  <c r="U93" i="11"/>
  <c r="U92" i="11"/>
  <c r="U91" i="11"/>
  <c r="U90" i="11"/>
  <c r="U88" i="11"/>
  <c r="U87" i="11"/>
  <c r="U86" i="11"/>
  <c r="U85" i="11"/>
  <c r="U84" i="11"/>
  <c r="U83" i="11"/>
  <c r="U81" i="11"/>
  <c r="U80" i="11"/>
  <c r="U79" i="11"/>
  <c r="U78" i="11"/>
  <c r="U76" i="11"/>
  <c r="U75" i="11"/>
  <c r="U74" i="11"/>
  <c r="U73" i="11"/>
  <c r="U71" i="11"/>
  <c r="U70" i="11"/>
  <c r="U69" i="11"/>
  <c r="U68" i="11"/>
  <c r="U67" i="11"/>
  <c r="U65" i="11"/>
  <c r="U64" i="11"/>
  <c r="U63" i="11"/>
  <c r="U62" i="11"/>
  <c r="U60" i="11"/>
  <c r="U59" i="11"/>
  <c r="U58" i="11"/>
  <c r="U57" i="11"/>
  <c r="U55" i="11"/>
  <c r="U54" i="11"/>
  <c r="U53" i="11"/>
  <c r="U52" i="11"/>
  <c r="U51" i="11"/>
  <c r="U50" i="11"/>
  <c r="U48" i="11"/>
  <c r="U47" i="11"/>
  <c r="U46" i="11"/>
  <c r="U45" i="11"/>
  <c r="U44" i="11"/>
  <c r="U43" i="11"/>
  <c r="U42" i="11"/>
  <c r="U41" i="11"/>
  <c r="U40" i="11"/>
  <c r="U39" i="11"/>
  <c r="U37" i="11"/>
  <c r="U36" i="11"/>
  <c r="U35" i="11"/>
  <c r="U34" i="11"/>
  <c r="U33" i="11"/>
  <c r="U32" i="11"/>
  <c r="U31" i="11"/>
  <c r="U30" i="11"/>
  <c r="U29" i="11"/>
  <c r="U28" i="11"/>
  <c r="U27" i="11"/>
  <c r="U26" i="11"/>
  <c r="U22" i="11"/>
  <c r="U21" i="11"/>
  <c r="U20" i="11"/>
  <c r="U19" i="11"/>
  <c r="U18" i="11"/>
  <c r="U17" i="11"/>
  <c r="U24" i="11"/>
  <c r="U23" i="11"/>
  <c r="U131" i="10"/>
  <c r="U132" i="10"/>
  <c r="U164" i="10" l="1"/>
  <c r="U163" i="10"/>
  <c r="U162" i="10"/>
  <c r="U161" i="10"/>
  <c r="U160" i="10"/>
  <c r="U159" i="10"/>
  <c r="U158" i="10"/>
  <c r="U157" i="10"/>
  <c r="U156" i="10"/>
  <c r="U155" i="10"/>
  <c r="U154" i="10"/>
  <c r="U153" i="10"/>
  <c r="U151" i="10"/>
  <c r="U150" i="10"/>
  <c r="U149" i="10"/>
  <c r="U148" i="10"/>
  <c r="U147" i="10"/>
  <c r="U146" i="10"/>
  <c r="U145" i="10"/>
  <c r="U144" i="10"/>
  <c r="U143" i="10"/>
  <c r="U142" i="10"/>
  <c r="U141" i="10"/>
  <c r="U140" i="10"/>
  <c r="U137" i="10"/>
  <c r="U136" i="10"/>
  <c r="U135" i="10"/>
  <c r="U134" i="10"/>
  <c r="U133" i="10"/>
  <c r="U128" i="10"/>
  <c r="U127" i="10"/>
  <c r="U126" i="10"/>
  <c r="U125" i="10"/>
  <c r="U124" i="10"/>
  <c r="U123" i="10"/>
  <c r="U122" i="10"/>
  <c r="U121" i="10"/>
  <c r="U119" i="10"/>
  <c r="U118" i="10"/>
  <c r="U117" i="10"/>
  <c r="U116" i="10"/>
  <c r="U115" i="10"/>
  <c r="U114" i="10"/>
  <c r="U113" i="10"/>
  <c r="U112" i="10"/>
  <c r="U111" i="10"/>
  <c r="U110" i="10"/>
  <c r="U109" i="10"/>
  <c r="U108" i="10"/>
  <c r="U107" i="10"/>
  <c r="U106" i="10"/>
  <c r="U105" i="10"/>
  <c r="U104" i="10"/>
  <c r="U103" i="10"/>
  <c r="U102" i="10"/>
  <c r="U101" i="10"/>
  <c r="U100" i="10"/>
  <c r="U99" i="10"/>
  <c r="U98" i="10"/>
  <c r="U97" i="10"/>
  <c r="U96" i="10"/>
  <c r="U95" i="10"/>
  <c r="U94" i="10"/>
  <c r="U93" i="10"/>
  <c r="U92" i="10"/>
  <c r="U91" i="10"/>
  <c r="U90" i="10"/>
  <c r="U89" i="10"/>
  <c r="U88" i="10"/>
  <c r="U87" i="10"/>
  <c r="U86" i="10"/>
  <c r="U85" i="10"/>
  <c r="U84" i="10"/>
  <c r="U81" i="10"/>
  <c r="U80" i="10"/>
  <c r="U79" i="10"/>
  <c r="U78" i="10"/>
  <c r="U77" i="10"/>
  <c r="U76" i="10"/>
  <c r="U73" i="10"/>
  <c r="U72" i="10"/>
  <c r="U71" i="10"/>
  <c r="U70" i="10"/>
  <c r="U69" i="10"/>
  <c r="U68" i="10"/>
  <c r="U67" i="10"/>
  <c r="U66" i="10"/>
  <c r="U65" i="10"/>
  <c r="U64" i="10"/>
  <c r="U63" i="10"/>
  <c r="U62" i="10"/>
  <c r="U61" i="10"/>
  <c r="U60" i="10"/>
  <c r="U59" i="10"/>
  <c r="U58" i="10"/>
  <c r="U57" i="10"/>
  <c r="U56" i="10"/>
  <c r="U55" i="10"/>
  <c r="U54" i="10"/>
  <c r="U53" i="10"/>
  <c r="U52" i="10"/>
  <c r="U51" i="10"/>
  <c r="U50" i="10"/>
  <c r="U49" i="10"/>
  <c r="U48" i="10"/>
  <c r="U47" i="10"/>
  <c r="U46" i="10"/>
  <c r="U45" i="10"/>
  <c r="U44" i="10"/>
  <c r="U43" i="10"/>
  <c r="U42" i="10"/>
  <c r="U41" i="10"/>
  <c r="U40" i="10"/>
  <c r="U39" i="10"/>
  <c r="U38" i="10"/>
  <c r="U37" i="10"/>
  <c r="U36" i="10"/>
  <c r="U35" i="10"/>
  <c r="U34" i="10"/>
  <c r="U33" i="10"/>
  <c r="U32" i="10"/>
  <c r="U31" i="10"/>
  <c r="U30" i="10"/>
  <c r="U29" i="10"/>
  <c r="U28" i="10"/>
  <c r="U27" i="10"/>
  <c r="U26" i="10"/>
  <c r="U25" i="10"/>
  <c r="U24" i="10"/>
  <c r="U23" i="10"/>
  <c r="U22" i="10"/>
  <c r="U21" i="10"/>
  <c r="U20" i="10"/>
  <c r="U19" i="10"/>
  <c r="U18" i="10"/>
  <c r="U152" i="9"/>
  <c r="U151" i="9"/>
  <c r="U150" i="9"/>
  <c r="U149" i="9"/>
  <c r="U148" i="9"/>
  <c r="U147" i="9"/>
  <c r="U146" i="9"/>
  <c r="U145" i="9"/>
  <c r="U144" i="9"/>
  <c r="U143" i="9"/>
  <c r="U142" i="9"/>
  <c r="U141" i="9"/>
  <c r="U140" i="9"/>
  <c r="U139" i="9"/>
  <c r="U138" i="9"/>
  <c r="U137" i="9"/>
  <c r="U136" i="9"/>
  <c r="U135" i="9"/>
  <c r="U134" i="9"/>
  <c r="U133" i="9"/>
  <c r="U130" i="9"/>
  <c r="U129" i="9"/>
  <c r="U128" i="9"/>
  <c r="U127" i="9"/>
  <c r="U126" i="9"/>
  <c r="U125" i="9"/>
  <c r="U124" i="9"/>
  <c r="U123" i="9"/>
  <c r="U122" i="9"/>
  <c r="U121" i="9"/>
  <c r="U120" i="9"/>
  <c r="U119" i="9"/>
  <c r="U118" i="9"/>
  <c r="U117" i="9"/>
  <c r="U116" i="9"/>
  <c r="U115" i="9"/>
  <c r="U114" i="9"/>
  <c r="U113" i="9"/>
  <c r="U112" i="9"/>
  <c r="U111" i="9"/>
  <c r="U108" i="9"/>
  <c r="U107" i="9"/>
  <c r="U106" i="9"/>
  <c r="U105" i="9"/>
  <c r="U104" i="9"/>
  <c r="U103" i="9"/>
  <c r="U102" i="9"/>
  <c r="U101" i="9"/>
  <c r="U100" i="9"/>
  <c r="U99" i="9"/>
  <c r="U98" i="9"/>
  <c r="U97" i="9"/>
  <c r="U96" i="9"/>
  <c r="U95" i="9"/>
  <c r="U94" i="9"/>
  <c r="U93" i="9"/>
  <c r="U92" i="9"/>
  <c r="U91" i="9"/>
  <c r="U90" i="9"/>
  <c r="U89" i="9"/>
  <c r="U86" i="9"/>
  <c r="U85" i="9"/>
  <c r="U84" i="9"/>
  <c r="U83" i="9"/>
  <c r="U82" i="9"/>
  <c r="U81" i="9"/>
  <c r="U80" i="9"/>
  <c r="U79" i="9"/>
  <c r="U78" i="9"/>
  <c r="U77" i="9"/>
  <c r="U76" i="9"/>
  <c r="U75" i="9"/>
  <c r="U74" i="9"/>
  <c r="U73" i="9"/>
  <c r="U72" i="9"/>
  <c r="U71" i="9"/>
  <c r="U70" i="9"/>
  <c r="U69" i="9"/>
  <c r="U68" i="9"/>
  <c r="U67" i="9"/>
  <c r="U64" i="9"/>
  <c r="U63" i="9"/>
  <c r="U62" i="9"/>
  <c r="U61" i="9"/>
  <c r="U60" i="9"/>
  <c r="U59" i="9"/>
  <c r="U58" i="9"/>
  <c r="U56" i="9"/>
  <c r="U55" i="9"/>
  <c r="U54" i="9"/>
  <c r="U53" i="9"/>
  <c r="U52" i="9"/>
  <c r="U49" i="9"/>
  <c r="U48" i="9"/>
  <c r="U47" i="9"/>
  <c r="U46" i="9"/>
  <c r="U44" i="9"/>
  <c r="U43" i="9"/>
  <c r="U42" i="9"/>
  <c r="U39" i="9"/>
  <c r="U38" i="9"/>
  <c r="U37" i="9"/>
  <c r="U36" i="9"/>
  <c r="U33" i="9"/>
  <c r="U32" i="9"/>
  <c r="U31" i="9"/>
  <c r="U30" i="9"/>
  <c r="U29" i="9"/>
  <c r="U28" i="9"/>
  <c r="U27" i="9"/>
  <c r="U26" i="9"/>
  <c r="U25" i="9"/>
  <c r="U24" i="9"/>
  <c r="U23" i="9"/>
  <c r="U22" i="9"/>
  <c r="U18" i="9"/>
  <c r="U17" i="9"/>
  <c r="U16" i="9"/>
  <c r="U19" i="9"/>
  <c r="U152" i="8"/>
  <c r="U151" i="8"/>
  <c r="U150" i="8"/>
  <c r="U149" i="8"/>
  <c r="U148" i="8"/>
  <c r="U147" i="8"/>
  <c r="U145" i="8"/>
  <c r="U144" i="8"/>
  <c r="U141" i="8"/>
  <c r="U140" i="8"/>
  <c r="U139" i="8"/>
  <c r="U138" i="8"/>
  <c r="U137" i="8"/>
  <c r="U136" i="8"/>
  <c r="U135" i="8"/>
  <c r="U134" i="8"/>
  <c r="U132" i="8"/>
  <c r="U131" i="8"/>
  <c r="U130" i="8"/>
  <c r="U129" i="8"/>
  <c r="U128" i="8"/>
  <c r="U127" i="8"/>
  <c r="U126" i="8"/>
  <c r="U124" i="8"/>
  <c r="U123" i="8"/>
  <c r="U122" i="8"/>
  <c r="U121" i="8"/>
  <c r="U120" i="8"/>
  <c r="U119" i="8"/>
  <c r="U118" i="8"/>
  <c r="U116" i="8"/>
  <c r="U115" i="8"/>
  <c r="U114" i="8"/>
  <c r="U113" i="8"/>
  <c r="U112" i="8"/>
  <c r="U111" i="8"/>
  <c r="U110" i="8"/>
  <c r="U109" i="8"/>
  <c r="U107" i="8"/>
  <c r="U106" i="8"/>
  <c r="U105" i="8"/>
  <c r="U104" i="8"/>
  <c r="U103" i="8"/>
  <c r="U102" i="8"/>
  <c r="U101" i="8"/>
  <c r="U98" i="8"/>
  <c r="U97" i="8"/>
  <c r="U96" i="8"/>
  <c r="U95" i="8"/>
  <c r="U94" i="8"/>
  <c r="U93" i="8"/>
  <c r="U92" i="8"/>
  <c r="U91" i="8"/>
  <c r="U90" i="8"/>
  <c r="U89" i="8"/>
  <c r="U88" i="8"/>
  <c r="U87" i="8"/>
  <c r="U86" i="8"/>
  <c r="U85" i="8"/>
  <c r="U84" i="8"/>
  <c r="U83" i="8"/>
  <c r="U80" i="8"/>
  <c r="U79" i="8"/>
  <c r="U78" i="8"/>
  <c r="U77" i="8"/>
  <c r="U76" i="8"/>
  <c r="U75" i="8"/>
  <c r="U74" i="8"/>
  <c r="U73" i="8"/>
  <c r="U72" i="8"/>
  <c r="U71" i="8"/>
  <c r="U70" i="8"/>
  <c r="U69" i="8"/>
  <c r="U68" i="8"/>
  <c r="U67" i="8"/>
  <c r="U66" i="8"/>
  <c r="U65" i="8"/>
  <c r="U64" i="8"/>
  <c r="U63" i="8"/>
  <c r="U62" i="8"/>
  <c r="U61" i="8"/>
  <c r="U60" i="8"/>
  <c r="U59" i="8"/>
  <c r="U58" i="8"/>
  <c r="U57" i="8"/>
  <c r="U56" i="8"/>
  <c r="U55" i="8"/>
  <c r="U54" i="8"/>
  <c r="U53" i="8"/>
  <c r="U49" i="8"/>
  <c r="U48" i="8"/>
  <c r="U47" i="8"/>
  <c r="U46" i="8"/>
  <c r="U45" i="8"/>
  <c r="U41" i="8"/>
  <c r="U40" i="8"/>
  <c r="U39" i="8"/>
  <c r="U36" i="8"/>
  <c r="U35" i="8"/>
  <c r="U34" i="8"/>
  <c r="U33" i="8"/>
  <c r="U32" i="8"/>
  <c r="U31" i="8"/>
  <c r="U30" i="8"/>
  <c r="U29" i="8"/>
  <c r="U90" i="6"/>
  <c r="U89" i="6"/>
  <c r="U88" i="6"/>
  <c r="U87" i="6"/>
  <c r="U86" i="6"/>
  <c r="U85" i="6"/>
  <c r="U84" i="6"/>
  <c r="U83" i="6"/>
  <c r="U82" i="6"/>
  <c r="U81" i="6"/>
  <c r="U77" i="6"/>
  <c r="U76" i="6"/>
  <c r="U73" i="6"/>
  <c r="U72" i="6"/>
  <c r="U69" i="6"/>
  <c r="U68" i="6"/>
  <c r="U67" i="6"/>
  <c r="U65" i="6"/>
  <c r="U64" i="6"/>
  <c r="U63" i="6"/>
  <c r="U62" i="6"/>
  <c r="U59" i="6"/>
  <c r="U58" i="6"/>
  <c r="U56" i="6"/>
  <c r="U55" i="6"/>
  <c r="U52" i="6"/>
  <c r="U51" i="6"/>
  <c r="U50" i="6"/>
  <c r="U49" i="6"/>
  <c r="U48" i="6"/>
  <c r="U47" i="6"/>
  <c r="U46" i="6"/>
  <c r="U45" i="6"/>
  <c r="U44" i="6"/>
  <c r="U41" i="6"/>
  <c r="U40" i="6"/>
  <c r="U39" i="6"/>
  <c r="U38" i="6"/>
  <c r="U37" i="6"/>
  <c r="U36" i="6"/>
  <c r="U35" i="6"/>
  <c r="U34" i="6"/>
  <c r="U33" i="6"/>
  <c r="U32" i="6"/>
  <c r="U31" i="6"/>
  <c r="U30" i="6"/>
  <c r="U29" i="6"/>
  <c r="U28" i="6"/>
  <c r="U27" i="6"/>
  <c r="U26" i="6"/>
  <c r="U25" i="6"/>
  <c r="U24" i="6"/>
  <c r="U23" i="6"/>
  <c r="U22" i="6"/>
  <c r="U21" i="6"/>
  <c r="U18" i="6"/>
  <c r="U17" i="6"/>
  <c r="U16" i="6"/>
  <c r="U139" i="5"/>
  <c r="U138" i="5"/>
  <c r="U137" i="5"/>
  <c r="U136" i="5"/>
  <c r="U135" i="5"/>
  <c r="U134" i="5"/>
  <c r="U133" i="5"/>
  <c r="U132" i="5"/>
  <c r="U131" i="5"/>
  <c r="U130" i="5"/>
  <c r="U129" i="5"/>
  <c r="U128" i="5"/>
  <c r="U127" i="5"/>
  <c r="U126" i="5"/>
  <c r="U125" i="5"/>
  <c r="U124" i="5"/>
  <c r="U123" i="5"/>
  <c r="U122" i="5"/>
  <c r="U121" i="5"/>
  <c r="U120" i="5"/>
  <c r="U119" i="5"/>
  <c r="U118" i="5"/>
  <c r="U117" i="5"/>
  <c r="U116" i="5"/>
  <c r="U115" i="5"/>
  <c r="U114" i="5"/>
  <c r="U113" i="5"/>
  <c r="U112" i="5"/>
  <c r="U111" i="5"/>
  <c r="U110" i="5"/>
  <c r="U109" i="5"/>
  <c r="U108" i="5"/>
  <c r="U107" i="5"/>
  <c r="U106" i="5"/>
  <c r="U104" i="5"/>
  <c r="U103" i="5"/>
  <c r="U102" i="5"/>
  <c r="U101" i="5"/>
  <c r="U100" i="5"/>
  <c r="U99" i="5"/>
  <c r="U98" i="5"/>
  <c r="U90" i="5"/>
  <c r="U87" i="5"/>
  <c r="U86" i="5"/>
  <c r="U85" i="5"/>
  <c r="U84" i="5"/>
  <c r="U83" i="5"/>
  <c r="U80" i="5"/>
  <c r="U79" i="5"/>
  <c r="U78" i="5"/>
  <c r="U77" i="5"/>
  <c r="U73" i="5"/>
  <c r="U72" i="5"/>
  <c r="U71" i="5"/>
  <c r="U70" i="5"/>
  <c r="U69" i="5"/>
  <c r="U68" i="5"/>
  <c r="U67" i="5"/>
  <c r="U66" i="5"/>
  <c r="U63" i="5"/>
  <c r="U62" i="5"/>
  <c r="U61" i="5"/>
  <c r="U60" i="5"/>
  <c r="U59" i="5"/>
  <c r="U58" i="5"/>
  <c r="U57" i="5"/>
  <c r="U56" i="5"/>
  <c r="U55" i="5"/>
  <c r="U54" i="5"/>
  <c r="U53" i="5"/>
  <c r="U49" i="5"/>
  <c r="U48" i="5"/>
  <c r="U47" i="5"/>
  <c r="U46" i="5"/>
  <c r="U45" i="5"/>
  <c r="U44" i="5"/>
  <c r="U43" i="5"/>
  <c r="U42" i="5"/>
  <c r="U41" i="5"/>
  <c r="U40" i="5"/>
  <c r="U37" i="5"/>
  <c r="U36" i="5"/>
  <c r="U33" i="5"/>
  <c r="U32" i="5"/>
  <c r="U31" i="5"/>
  <c r="U30" i="5"/>
  <c r="U29" i="5"/>
  <c r="U28" i="5"/>
  <c r="U27" i="5"/>
  <c r="U26" i="5"/>
  <c r="U23" i="5"/>
  <c r="U22" i="5"/>
  <c r="U21" i="5"/>
  <c r="U18" i="5"/>
  <c r="U17" i="5"/>
  <c r="U16" i="5"/>
  <c r="U173" i="4"/>
  <c r="U172" i="4"/>
  <c r="U171" i="4"/>
  <c r="U170" i="4"/>
  <c r="U169" i="4"/>
  <c r="U168" i="4"/>
  <c r="U167" i="4"/>
  <c r="U166" i="4"/>
  <c r="U165" i="4"/>
  <c r="U164" i="4"/>
  <c r="U163" i="4"/>
  <c r="U162" i="4"/>
  <c r="U161" i="4"/>
  <c r="U160" i="4"/>
  <c r="U159" i="4"/>
  <c r="U158" i="4"/>
  <c r="U157" i="4"/>
  <c r="U156" i="4"/>
  <c r="U155" i="4"/>
  <c r="U153" i="4"/>
  <c r="U152" i="4"/>
  <c r="U151" i="4"/>
  <c r="U150" i="4"/>
  <c r="U149" i="4"/>
  <c r="U148" i="4"/>
  <c r="U147" i="4"/>
  <c r="U146" i="4"/>
  <c r="U145" i="4"/>
  <c r="U144" i="4"/>
  <c r="U143" i="4"/>
  <c r="U142" i="4"/>
  <c r="U141" i="4"/>
  <c r="U140" i="4"/>
  <c r="U139" i="4"/>
  <c r="U138" i="4"/>
  <c r="U137" i="4"/>
  <c r="U136"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0" i="4"/>
  <c r="U99" i="4"/>
  <c r="U98" i="4"/>
  <c r="U96" i="4"/>
  <c r="U95" i="4"/>
  <c r="U94" i="4"/>
  <c r="U93" i="4"/>
  <c r="U91" i="4"/>
  <c r="U90" i="4"/>
  <c r="U88" i="4"/>
  <c r="U87" i="4"/>
  <c r="U86" i="4"/>
  <c r="U84" i="4"/>
  <c r="U83" i="4"/>
  <c r="U82" i="4"/>
  <c r="U79" i="4"/>
  <c r="U78" i="4"/>
  <c r="U76" i="4"/>
  <c r="U73" i="4"/>
  <c r="U70" i="4"/>
  <c r="U69" i="4"/>
  <c r="U66" i="4"/>
  <c r="U63" i="4"/>
  <c r="U62" i="4"/>
  <c r="U61" i="4"/>
  <c r="U60" i="4"/>
  <c r="U59" i="4"/>
  <c r="U58" i="4"/>
  <c r="U57" i="4"/>
  <c r="U56" i="4"/>
  <c r="U55" i="4"/>
  <c r="U54" i="4"/>
  <c r="U51" i="4"/>
  <c r="U50" i="4"/>
  <c r="U49" i="4"/>
  <c r="U46" i="4"/>
  <c r="U45" i="4"/>
  <c r="U40" i="4"/>
  <c r="U39" i="4"/>
  <c r="U38" i="4"/>
  <c r="U37" i="4"/>
  <c r="U36" i="4"/>
  <c r="U35" i="4"/>
  <c r="U34" i="4"/>
  <c r="U33" i="4"/>
  <c r="U32" i="4"/>
  <c r="U31" i="4"/>
  <c r="U28" i="4"/>
  <c r="U27" i="4"/>
  <c r="U26" i="4"/>
  <c r="U25" i="4"/>
  <c r="U143" i="8" l="1"/>
  <c r="U17" i="4"/>
  <c r="U18" i="4"/>
  <c r="U19" i="4"/>
  <c r="U20" i="4"/>
  <c r="U21" i="4"/>
  <c r="U22" i="4"/>
  <c r="U16" i="4"/>
  <c r="U105" i="5" l="1"/>
  <c r="E27" i="1" l="1"/>
  <c r="F8" i="10" l="1"/>
  <c r="E8" i="10"/>
  <c r="D8" i="11"/>
  <c r="E8" i="11"/>
  <c r="F8" i="11"/>
  <c r="G8" i="11"/>
  <c r="H8" i="11"/>
  <c r="I8" i="11"/>
  <c r="D8" i="10"/>
  <c r="G8" i="10"/>
  <c r="H8" i="10"/>
  <c r="I8" i="10"/>
  <c r="D8" i="9"/>
  <c r="E8" i="9"/>
  <c r="F8" i="9"/>
  <c r="G8" i="9"/>
  <c r="H8" i="9"/>
  <c r="I8" i="9"/>
  <c r="J12" i="8"/>
  <c r="I8" i="8"/>
  <c r="K8" i="8"/>
  <c r="F49" i="7"/>
  <c r="L12" i="8"/>
  <c r="E8" i="8"/>
  <c r="M8" i="8"/>
  <c r="F12" i="8"/>
  <c r="N12" i="8"/>
  <c r="G8" i="8"/>
  <c r="O8" i="8"/>
  <c r="H12" i="8"/>
  <c r="P12" i="8"/>
  <c r="E49" i="7"/>
  <c r="G49" i="7"/>
  <c r="H49" i="7"/>
  <c r="I49" i="7"/>
  <c r="J49" i="7"/>
  <c r="E6" i="7"/>
  <c r="F6" i="7"/>
  <c r="G6" i="7"/>
  <c r="H6" i="7"/>
  <c r="I6" i="7"/>
  <c r="J6" i="7"/>
  <c r="J8" i="6"/>
  <c r="K8" i="6"/>
  <c r="I8" i="6"/>
  <c r="L8" i="6"/>
  <c r="E8" i="6"/>
  <c r="M8" i="6"/>
  <c r="F8" i="6"/>
  <c r="N8" i="6"/>
  <c r="G8" i="6"/>
  <c r="O8" i="6"/>
  <c r="H8" i="6"/>
  <c r="P8" i="6"/>
  <c r="J8" i="5"/>
  <c r="I8" i="5"/>
  <c r="K8" i="5"/>
  <c r="L8" i="5"/>
  <c r="E8" i="5"/>
  <c r="M8" i="5"/>
  <c r="F8" i="5"/>
  <c r="N8" i="5"/>
  <c r="G8" i="5"/>
  <c r="O8" i="5"/>
  <c r="H8" i="5"/>
  <c r="P8" i="5"/>
  <c r="J8" i="4"/>
  <c r="I8" i="4"/>
  <c r="K8" i="4"/>
  <c r="L8" i="4"/>
  <c r="E8" i="4"/>
  <c r="M8" i="4"/>
  <c r="F8" i="4"/>
  <c r="N8" i="4"/>
  <c r="G8" i="4"/>
  <c r="O8" i="4"/>
  <c r="H8" i="4"/>
  <c r="P8" i="4"/>
  <c r="I27" i="1"/>
  <c r="H27" i="1"/>
  <c r="J27" i="1"/>
  <c r="K27" i="1"/>
  <c r="L27" i="1"/>
  <c r="M27" i="1"/>
  <c r="F27" i="1"/>
  <c r="N27" i="1"/>
  <c r="G27" i="1"/>
  <c r="O27" i="1"/>
  <c r="C6" i="11"/>
  <c r="C6" i="10"/>
  <c r="C6" i="9"/>
  <c r="C6" i="8"/>
  <c r="C7" i="8"/>
  <c r="C4" i="7"/>
  <c r="C48" i="7"/>
  <c r="C6" i="6"/>
  <c r="C6" i="5"/>
  <c r="C6" i="4"/>
  <c r="B25" i="1"/>
  <c r="B26" i="1"/>
  <c r="I52" i="7" l="1"/>
  <c r="H52" i="7"/>
  <c r="G52" i="7"/>
  <c r="F52" i="7"/>
  <c r="E52" i="7"/>
  <c r="J52" i="7"/>
  <c r="G81" i="1" l="1"/>
  <c r="F80" i="1" s="1"/>
  <c r="H81" i="1"/>
  <c r="B4" i="11" l="1"/>
  <c r="Z18" i="11"/>
  <c r="Z102" i="11"/>
  <c r="AB102" i="11" s="1"/>
  <c r="AA112" i="11"/>
  <c r="I7" i="11"/>
  <c r="H7" i="11"/>
  <c r="G7" i="11" s="1"/>
  <c r="D6" i="11"/>
  <c r="E6" i="11"/>
  <c r="F6" i="11"/>
  <c r="G6" i="11"/>
  <c r="H6" i="11"/>
  <c r="I6" i="11"/>
  <c r="B4" i="10"/>
  <c r="I7" i="10"/>
  <c r="H7" i="10"/>
  <c r="G7" i="10" s="1"/>
  <c r="D6" i="10"/>
  <c r="E6" i="10"/>
  <c r="F6" i="10"/>
  <c r="G6" i="10"/>
  <c r="H6" i="10"/>
  <c r="I6" i="10"/>
  <c r="B4" i="9"/>
  <c r="I7" i="9"/>
  <c r="H7" i="9"/>
  <c r="G7" i="9" s="1"/>
  <c r="D6" i="9"/>
  <c r="E6" i="9"/>
  <c r="F6" i="9"/>
  <c r="G6" i="9"/>
  <c r="H6" i="9"/>
  <c r="I6" i="9"/>
  <c r="B4" i="8"/>
  <c r="O7" i="8"/>
  <c r="M7" i="8"/>
  <c r="K7" i="8" s="1"/>
  <c r="E6" i="8"/>
  <c r="G6" i="8"/>
  <c r="I6" i="8"/>
  <c r="K6" i="8"/>
  <c r="M6" i="8"/>
  <c r="O6" i="8"/>
  <c r="P11" i="8"/>
  <c r="N11" i="8"/>
  <c r="L11" i="8" s="1"/>
  <c r="F10" i="8"/>
  <c r="H10" i="8"/>
  <c r="J10" i="8"/>
  <c r="L10" i="8"/>
  <c r="N10" i="8"/>
  <c r="P10" i="8"/>
  <c r="P19" i="8"/>
  <c r="U19" i="8" s="1"/>
  <c r="P20" i="8"/>
  <c r="U20" i="8" s="1"/>
  <c r="P21" i="8"/>
  <c r="U21" i="8" s="1"/>
  <c r="P22" i="8"/>
  <c r="U22" i="8" s="1"/>
  <c r="P23" i="8"/>
  <c r="B2" i="7"/>
  <c r="E4" i="7"/>
  <c r="F4" i="7"/>
  <c r="G4" i="7"/>
  <c r="H4" i="7"/>
  <c r="I4" i="7"/>
  <c r="J4" i="7"/>
  <c r="E26" i="7"/>
  <c r="F26" i="7"/>
  <c r="G26" i="7"/>
  <c r="H26" i="7"/>
  <c r="I26" i="7"/>
  <c r="J26" i="7"/>
  <c r="E27" i="7"/>
  <c r="F27" i="7"/>
  <c r="G27" i="7"/>
  <c r="H27" i="7"/>
  <c r="I27" i="7"/>
  <c r="J27" i="7"/>
  <c r="E28" i="7"/>
  <c r="F28" i="7"/>
  <c r="G28" i="7"/>
  <c r="H28" i="7"/>
  <c r="I28" i="7"/>
  <c r="J28" i="7"/>
  <c r="E51" i="7"/>
  <c r="F51" i="7"/>
  <c r="G51" i="7"/>
  <c r="H51" i="7"/>
  <c r="I51" i="7"/>
  <c r="J51" i="7"/>
  <c r="E47" i="7"/>
  <c r="F47" i="7"/>
  <c r="G47" i="7"/>
  <c r="H47" i="7"/>
  <c r="I47" i="7"/>
  <c r="J47" i="7"/>
  <c r="B4" i="6"/>
  <c r="P7" i="6"/>
  <c r="O7" i="6"/>
  <c r="N7" i="6" s="1"/>
  <c r="E6" i="6"/>
  <c r="F6" i="6"/>
  <c r="G6" i="6"/>
  <c r="H6" i="6"/>
  <c r="I6" i="6"/>
  <c r="J6" i="6"/>
  <c r="K6" i="6"/>
  <c r="L6" i="6"/>
  <c r="M6" i="6"/>
  <c r="N6" i="6"/>
  <c r="O6" i="6"/>
  <c r="P6" i="6"/>
  <c r="B4" i="5"/>
  <c r="P7" i="5"/>
  <c r="O7" i="5"/>
  <c r="N7" i="5" s="1"/>
  <c r="E6" i="5"/>
  <c r="F6" i="5"/>
  <c r="G6" i="5"/>
  <c r="H6" i="5"/>
  <c r="I6" i="5"/>
  <c r="J6" i="5"/>
  <c r="K6" i="5"/>
  <c r="L6" i="5"/>
  <c r="M6" i="5"/>
  <c r="N6" i="5"/>
  <c r="O6" i="5"/>
  <c r="P6" i="5"/>
  <c r="B4" i="4"/>
  <c r="P7" i="4"/>
  <c r="O7" i="4"/>
  <c r="N7" i="4" s="1"/>
  <c r="E6" i="4"/>
  <c r="F6" i="4"/>
  <c r="G6" i="4"/>
  <c r="H6" i="4"/>
  <c r="I6" i="4"/>
  <c r="J6" i="4"/>
  <c r="K6" i="4"/>
  <c r="L6" i="4"/>
  <c r="M6" i="4"/>
  <c r="N6" i="4"/>
  <c r="O6" i="4"/>
  <c r="P6" i="4"/>
  <c r="H10" i="1"/>
  <c r="J26" i="1"/>
  <c r="I26" i="1"/>
  <c r="H26" i="1"/>
  <c r="G26" i="1" s="1"/>
  <c r="F26" i="1" s="1"/>
  <c r="E26" i="1" s="1"/>
  <c r="E25" i="1"/>
  <c r="F25" i="1"/>
  <c r="G25" i="1"/>
  <c r="H25" i="1"/>
  <c r="I25" i="1"/>
  <c r="J25" i="1"/>
  <c r="M25" i="1"/>
  <c r="N25" i="1"/>
  <c r="O25" i="1"/>
  <c r="M26" i="1"/>
  <c r="N26" i="1" s="1"/>
  <c r="O26" i="1" s="1"/>
  <c r="S61" i="1"/>
  <c r="S60" i="1"/>
  <c r="S59" i="1"/>
  <c r="S58" i="1"/>
  <c r="G32" i="7" l="1"/>
  <c r="I29" i="7"/>
  <c r="I32" i="7" s="1"/>
  <c r="F29" i="7"/>
  <c r="F32" i="7" s="1"/>
  <c r="E29" i="7"/>
  <c r="E32" i="7" s="1"/>
  <c r="J29" i="7"/>
  <c r="J32" i="7" s="1"/>
  <c r="H29" i="7"/>
  <c r="H32" i="7" s="1"/>
  <c r="G29" i="7"/>
  <c r="F7" i="10"/>
  <c r="F7" i="9"/>
  <c r="M7" i="6"/>
  <c r="M7" i="5"/>
  <c r="M7" i="4"/>
  <c r="J11" i="8"/>
  <c r="I7" i="8"/>
  <c r="AB18" i="11"/>
  <c r="AA18" i="11"/>
  <c r="F7" i="11"/>
  <c r="K26" i="1"/>
  <c r="AA102" i="11"/>
  <c r="AC18" i="11" s="1"/>
  <c r="T58" i="1"/>
  <c r="T59" i="1" s="1"/>
  <c r="T60" i="1" s="1"/>
  <c r="T61" i="1" s="1"/>
  <c r="R58" i="1"/>
  <c r="E59" i="1"/>
  <c r="R59" i="1"/>
  <c r="R60" i="1"/>
  <c r="R61" i="1"/>
  <c r="E62" i="1"/>
  <c r="E72" i="1"/>
  <c r="E73" i="1"/>
  <c r="E74" i="1"/>
  <c r="S55" i="1"/>
  <c r="AB17" i="11" l="1"/>
  <c r="V56" i="1"/>
  <c r="V55" i="1"/>
  <c r="E57" i="1" s="1"/>
  <c r="E75" i="1"/>
  <c r="E7" i="10"/>
  <c r="E7" i="9"/>
  <c r="L7" i="6"/>
  <c r="L7" i="5"/>
  <c r="L7" i="4"/>
  <c r="G7" i="8"/>
  <c r="H11" i="8"/>
  <c r="AC17" i="11"/>
  <c r="B105" i="1" s="1"/>
  <c r="AA105" i="11"/>
  <c r="AB105" i="11" s="1"/>
  <c r="E7" i="11"/>
  <c r="K25" i="1"/>
  <c r="L26" i="1"/>
  <c r="W55" i="1"/>
  <c r="E58" i="1" s="1"/>
  <c r="E60" i="1" l="1"/>
  <c r="E69" i="1" s="1"/>
  <c r="B5" i="4"/>
  <c r="B5" i="8"/>
  <c r="D7" i="10"/>
  <c r="D7" i="9"/>
  <c r="K7" i="6"/>
  <c r="K7" i="5"/>
  <c r="K7" i="4"/>
  <c r="E7" i="8"/>
  <c r="F11" i="8"/>
  <c r="B5" i="9"/>
  <c r="B5" i="11"/>
  <c r="B5" i="10"/>
  <c r="B5" i="6"/>
  <c r="B5" i="5"/>
  <c r="B3" i="7"/>
  <c r="D7" i="11"/>
  <c r="L25" i="1"/>
  <c r="E80" i="1" l="1"/>
  <c r="E79" i="1"/>
  <c r="J7" i="6"/>
  <c r="J7" i="5"/>
  <c r="J7" i="4"/>
  <c r="I7" i="6" l="1"/>
  <c r="I7" i="5"/>
  <c r="I7" i="4"/>
  <c r="H7" i="6" l="1"/>
  <c r="H7" i="5"/>
  <c r="H7" i="4"/>
  <c r="G7" i="6" l="1"/>
  <c r="G7" i="5"/>
  <c r="G7" i="4"/>
  <c r="F7" i="6" l="1"/>
  <c r="F7" i="5"/>
  <c r="F7" i="4"/>
  <c r="E7" i="6" l="1"/>
  <c r="E7" i="5"/>
  <c r="E7" i="4"/>
</calcChain>
</file>

<file path=xl/sharedStrings.xml><?xml version="1.0" encoding="utf-8"?>
<sst xmlns="http://schemas.openxmlformats.org/spreadsheetml/2006/main" count="9289" uniqueCount="2295">
  <si>
    <t>Total Revenue</t>
  </si>
  <si>
    <t>Gross Profit</t>
  </si>
  <si>
    <t xml:space="preserve">  Margin %</t>
  </si>
  <si>
    <t>EBITDA</t>
  </si>
  <si>
    <t>EBIT</t>
  </si>
  <si>
    <t>Earnings from Cont. Ops.</t>
  </si>
  <si>
    <t>Net Income</t>
  </si>
  <si>
    <t>Settings:</t>
  </si>
  <si>
    <t>Contact:</t>
  </si>
  <si>
    <t>phone:</t>
  </si>
  <si>
    <t xml:space="preserve">+1 (888) 275 2822 (US &amp; Canada)  </t>
  </si>
  <si>
    <t>+44 20 7283 8887 (Europe, Middle East &amp; Africa)</t>
  </si>
  <si>
    <t>+1 (434) 951-7788 (Latin America)</t>
  </si>
  <si>
    <t>+852-3177-3727 (Asia-Pacific)</t>
  </si>
  <si>
    <t>Instructions:</t>
  </si>
  <si>
    <t>email:</t>
  </si>
  <si>
    <t>= Market Capitalization</t>
  </si>
  <si>
    <t>+ Total Debt</t>
  </si>
  <si>
    <t>+ Total Minority Interest</t>
  </si>
  <si>
    <t>IQ_TOTAL_REV_1YR_ANN_GROWTH</t>
  </si>
  <si>
    <t>IQ_TOTAL_REV</t>
  </si>
  <si>
    <t>IQ_GP</t>
  </si>
  <si>
    <t>IQ_EBITDA</t>
  </si>
  <si>
    <t>IQ_EBIT</t>
  </si>
  <si>
    <t>IQ_EARNINGS_CONT_OPS</t>
  </si>
  <si>
    <t>IQ_DILUT_EPS_BEFORE_EXTRA</t>
  </si>
  <si>
    <t>SP_PRICE_CLOSE</t>
  </si>
  <si>
    <t>SP_SHARES_OUT</t>
  </si>
  <si>
    <t>IQ_CASH_ST_INVEST</t>
  </si>
  <si>
    <t>IQ_TOTAL_DEBT</t>
  </si>
  <si>
    <t>IQ_TOTAL_PREF_EQUITY</t>
  </si>
  <si>
    <t>IQ_MINORITY_INTEREST</t>
  </si>
  <si>
    <t>IQ_TOTAL_COMMON_EQUITY</t>
  </si>
  <si>
    <t>Total Common Equity</t>
  </si>
  <si>
    <t>Currency</t>
  </si>
  <si>
    <t>Magnitude</t>
  </si>
  <si>
    <t>Conversion Method</t>
  </si>
  <si>
    <t>U.S. Dollar</t>
  </si>
  <si>
    <t>Thousands</t>
  </si>
  <si>
    <t>MI Recommended</t>
  </si>
  <si>
    <t>Currency Name</t>
  </si>
  <si>
    <t>ISO Code</t>
  </si>
  <si>
    <t>Symbol</t>
  </si>
  <si>
    <t>Mag.</t>
  </si>
  <si>
    <t>Euro</t>
  </si>
  <si>
    <t>EUR</t>
  </si>
  <si>
    <t>€</t>
  </si>
  <si>
    <t>000</t>
  </si>
  <si>
    <t>British Pound Sterling</t>
  </si>
  <si>
    <t>GBP</t>
  </si>
  <si>
    <t>£</t>
  </si>
  <si>
    <t>Japanese Yen</t>
  </si>
  <si>
    <t>JPY</t>
  </si>
  <si>
    <t>¥</t>
  </si>
  <si>
    <t>M</t>
  </si>
  <si>
    <t>USD</t>
  </si>
  <si>
    <t>$</t>
  </si>
  <si>
    <t>Afghan Afghani</t>
  </si>
  <si>
    <t>AFN</t>
  </si>
  <si>
    <t>Albanian Lek</t>
  </si>
  <si>
    <t>ALL</t>
  </si>
  <si>
    <t>Argentine Peso</t>
  </si>
  <si>
    <t>ARS</t>
  </si>
  <si>
    <t>AR$</t>
  </si>
  <si>
    <t>Armenian Dram</t>
  </si>
  <si>
    <t>AMD</t>
  </si>
  <si>
    <t>dr</t>
  </si>
  <si>
    <t>Australian Dollar</t>
  </si>
  <si>
    <t>AUD</t>
  </si>
  <si>
    <t>AU$</t>
  </si>
  <si>
    <t>Azerbaijani Manat</t>
  </si>
  <si>
    <t>AZN</t>
  </si>
  <si>
    <t>m</t>
  </si>
  <si>
    <t>Bahamian Dollar</t>
  </si>
  <si>
    <t>BSD</t>
  </si>
  <si>
    <t>B$</t>
  </si>
  <si>
    <t>Bahraini Dinar</t>
  </si>
  <si>
    <t>BHD</t>
  </si>
  <si>
    <t>BD</t>
  </si>
  <si>
    <t>Bangladeshi Taka</t>
  </si>
  <si>
    <t>BDT</t>
  </si>
  <si>
    <t>Bt.</t>
  </si>
  <si>
    <t>Belarusian Ruble</t>
  </si>
  <si>
    <t>BYN</t>
  </si>
  <si>
    <t>Br</t>
  </si>
  <si>
    <t>Bosnian Convertible Marks</t>
  </si>
  <si>
    <t>BAM</t>
  </si>
  <si>
    <t>KM</t>
  </si>
  <si>
    <t>Brazilian Real</t>
  </si>
  <si>
    <t>BRL</t>
  </si>
  <si>
    <t>R$</t>
  </si>
  <si>
    <t>Bulgarian Lev</t>
  </si>
  <si>
    <t>BGN</t>
  </si>
  <si>
    <t>Cambodian Riel</t>
  </si>
  <si>
    <t>KHR</t>
  </si>
  <si>
    <t>៛</t>
  </si>
  <si>
    <t>Canadian Dollar</t>
  </si>
  <si>
    <t>CAD</t>
  </si>
  <si>
    <t>C$</t>
  </si>
  <si>
    <t>Chilean Peso</t>
  </si>
  <si>
    <t>CLP</t>
  </si>
  <si>
    <t>CL$</t>
  </si>
  <si>
    <t>Chinese Yuan Renminbi</t>
  </si>
  <si>
    <t>CNY</t>
  </si>
  <si>
    <t>CN¥</t>
  </si>
  <si>
    <t>Colombian Peso</t>
  </si>
  <si>
    <t>COP</t>
  </si>
  <si>
    <t>Col$</t>
  </si>
  <si>
    <t>Costa Rican Colon</t>
  </si>
  <si>
    <t>CRC</t>
  </si>
  <si>
    <t>¢</t>
  </si>
  <si>
    <t>Croatian Kuna</t>
  </si>
  <si>
    <t>HRK</t>
  </si>
  <si>
    <t>kn</t>
  </si>
  <si>
    <t>Czech Koruna</t>
  </si>
  <si>
    <t>CZK</t>
  </si>
  <si>
    <t>Kc</t>
  </si>
  <si>
    <t>Danish Krone</t>
  </si>
  <si>
    <t>DKK</t>
  </si>
  <si>
    <t>Dkr</t>
  </si>
  <si>
    <t>Dominican Peso</t>
  </si>
  <si>
    <t>DOP</t>
  </si>
  <si>
    <t>RD$</t>
  </si>
  <si>
    <t>Egyptian Pound</t>
  </si>
  <si>
    <t>EGP</t>
  </si>
  <si>
    <t>£E.</t>
  </si>
  <si>
    <t>Georgian Lari</t>
  </si>
  <si>
    <t>GEL</t>
  </si>
  <si>
    <t>ლ</t>
  </si>
  <si>
    <t>Guatemalan Quetzal</t>
  </si>
  <si>
    <t>GTQ</t>
  </si>
  <si>
    <t>Q.</t>
  </si>
  <si>
    <t>Honduran Lempira</t>
  </si>
  <si>
    <t>HNL</t>
  </si>
  <si>
    <t>L.</t>
  </si>
  <si>
    <t>Hong Kong Dollar</t>
  </si>
  <si>
    <t>HKD</t>
  </si>
  <si>
    <t>HK$</t>
  </si>
  <si>
    <t>Hungarian Forint</t>
  </si>
  <si>
    <t>HUF</t>
  </si>
  <si>
    <t>Ft.</t>
  </si>
  <si>
    <t>Icelandic Krona</t>
  </si>
  <si>
    <t>ISK</t>
  </si>
  <si>
    <t>kr</t>
  </si>
  <si>
    <t>Indian Rupee</t>
  </si>
  <si>
    <t>INR</t>
  </si>
  <si>
    <t>Rs.</t>
  </si>
  <si>
    <t>Indonesian Rupiah</t>
  </si>
  <si>
    <t>IDR</t>
  </si>
  <si>
    <t>Rp.</t>
  </si>
  <si>
    <t>Jordanian Dinar</t>
  </si>
  <si>
    <t>JOD</t>
  </si>
  <si>
    <t>JD</t>
  </si>
  <si>
    <t>Kazakhstan Tenge</t>
  </si>
  <si>
    <t>KZT</t>
  </si>
  <si>
    <t>Kenyan Shilling</t>
  </si>
  <si>
    <t>KES</t>
  </si>
  <si>
    <t>Kshs.</t>
  </si>
  <si>
    <t>Kuwaiti Dinar</t>
  </si>
  <si>
    <t>KWD</t>
  </si>
  <si>
    <t>KD</t>
  </si>
  <si>
    <t>Kyrgyzstani Som</t>
  </si>
  <si>
    <t>KGS</t>
  </si>
  <si>
    <t>лв</t>
  </si>
  <si>
    <t>Macedonian Denar</t>
  </si>
  <si>
    <t>MKD</t>
  </si>
  <si>
    <t>Malaysian Ringgit</t>
  </si>
  <si>
    <t>MYR</t>
  </si>
  <si>
    <t>RM</t>
  </si>
  <si>
    <t>Mexican Peso</t>
  </si>
  <si>
    <t>MXN</t>
  </si>
  <si>
    <t>Mex$</t>
  </si>
  <si>
    <t>Moldovan Leu</t>
  </si>
  <si>
    <t>MDL</t>
  </si>
  <si>
    <t>Mongolian Tugrik</t>
  </si>
  <si>
    <t>MNT</t>
  </si>
  <si>
    <t>₮</t>
  </si>
  <si>
    <t>Moroccan Dirham</t>
  </si>
  <si>
    <t>MAD</t>
  </si>
  <si>
    <t>د.م.</t>
  </si>
  <si>
    <t>New Israeli Shekel</t>
  </si>
  <si>
    <t>ILS</t>
  </si>
  <si>
    <t>₪</t>
  </si>
  <si>
    <t>New Taiwan Dollar</t>
  </si>
  <si>
    <t>TWD</t>
  </si>
  <si>
    <t>NT$</t>
  </si>
  <si>
    <t>New Zealand Dollar</t>
  </si>
  <si>
    <t>NZD</t>
  </si>
  <si>
    <t>NZ$</t>
  </si>
  <si>
    <t>Norwegian Krone</t>
  </si>
  <si>
    <t>NOK</t>
  </si>
  <si>
    <t>NKr</t>
  </si>
  <si>
    <t>Omani Rial</t>
  </si>
  <si>
    <t>OMR</t>
  </si>
  <si>
    <t>RO</t>
  </si>
  <si>
    <t>Pakistani Rupee</t>
  </si>
  <si>
    <t>PKR</t>
  </si>
  <si>
    <t>Rs</t>
  </si>
  <si>
    <t>Panamanian Balboa</t>
  </si>
  <si>
    <t>PAB</t>
  </si>
  <si>
    <t>B</t>
  </si>
  <si>
    <t>Peruvian Sol</t>
  </si>
  <si>
    <t>PEN</t>
  </si>
  <si>
    <t>S/.</t>
  </si>
  <si>
    <t>Philippine Peso</t>
  </si>
  <si>
    <t>PHP</t>
  </si>
  <si>
    <t>Polish Zloty</t>
  </si>
  <si>
    <t>PLN</t>
  </si>
  <si>
    <t>zl</t>
  </si>
  <si>
    <t>Qatari Rial</t>
  </si>
  <si>
    <t>QAR</t>
  </si>
  <si>
    <t>ر.ق</t>
  </si>
  <si>
    <t>Romanian Leu</t>
  </si>
  <si>
    <t>RON</t>
  </si>
  <si>
    <t>L</t>
  </si>
  <si>
    <t>Russian Ruble</t>
  </si>
  <si>
    <t>RUB</t>
  </si>
  <si>
    <t>Samoan Tala</t>
  </si>
  <si>
    <t>WST</t>
  </si>
  <si>
    <t>WS$</t>
  </si>
  <si>
    <t>Saudi Riyal</t>
  </si>
  <si>
    <t>SAR</t>
  </si>
  <si>
    <t>SR</t>
  </si>
  <si>
    <t>Serbian Dinar</t>
  </si>
  <si>
    <t>RSD</t>
  </si>
  <si>
    <t>Singapore Dollar</t>
  </si>
  <si>
    <t>SGD</t>
  </si>
  <si>
    <t>S$</t>
  </si>
  <si>
    <t>South African Rand</t>
  </si>
  <si>
    <t>ZAR</t>
  </si>
  <si>
    <t>R</t>
  </si>
  <si>
    <t>South Korean Won</t>
  </si>
  <si>
    <t>KRW</t>
  </si>
  <si>
    <t>₩</t>
  </si>
  <si>
    <t>Sri Lanka Rupee</t>
  </si>
  <si>
    <t>LKR</t>
  </si>
  <si>
    <t>₨</t>
  </si>
  <si>
    <t>Swedish Krona</t>
  </si>
  <si>
    <t>SEK</t>
  </si>
  <si>
    <t>Swiss Franc</t>
  </si>
  <si>
    <t>CHF</t>
  </si>
  <si>
    <t>SFr.</t>
  </si>
  <si>
    <t>Tajik Somoni</t>
  </si>
  <si>
    <t>TJS</t>
  </si>
  <si>
    <t>TJR</t>
  </si>
  <si>
    <t>Thai Baht</t>
  </si>
  <si>
    <t>THB</t>
  </si>
  <si>
    <t>฿</t>
  </si>
  <si>
    <t>Tunisian Dinar</t>
  </si>
  <si>
    <t>TND</t>
  </si>
  <si>
    <t>د.ت</t>
  </si>
  <si>
    <t>Turkish Lira</t>
  </si>
  <si>
    <t>TRY</t>
  </si>
  <si>
    <t>TL</t>
  </si>
  <si>
    <t>Turkmenistan Manat</t>
  </si>
  <si>
    <t>TMT</t>
  </si>
  <si>
    <t>Uae Dirham</t>
  </si>
  <si>
    <t>AED</t>
  </si>
  <si>
    <t>Dhs.</t>
  </si>
  <si>
    <t>Ukraine Hryvnia</t>
  </si>
  <si>
    <t>UAH</t>
  </si>
  <si>
    <t>Uzbekistani Som</t>
  </si>
  <si>
    <t>UZS</t>
  </si>
  <si>
    <t>Venezuelan Bolivar Soberano</t>
  </si>
  <si>
    <t>VES</t>
  </si>
  <si>
    <t>Bs. S</t>
  </si>
  <si>
    <t>Vietnam Dong</t>
  </si>
  <si>
    <t>VND</t>
  </si>
  <si>
    <t>₫</t>
  </si>
  <si>
    <t>units</t>
  </si>
  <si>
    <t>MI standard</t>
  </si>
  <si>
    <t>Actuals</t>
  </si>
  <si>
    <t/>
  </si>
  <si>
    <t>Millions</t>
  </si>
  <si>
    <t>Billions</t>
  </si>
  <si>
    <t>Trillions</t>
  </si>
  <si>
    <t>T</t>
  </si>
  <si>
    <t>Conv. Method</t>
  </si>
  <si>
    <t>MIrecommended</t>
  </si>
  <si>
    <t>Most Recent Spot Rate</t>
  </si>
  <si>
    <t>MRSpot</t>
  </si>
  <si>
    <t>Currency, Magnitude and Conversion Settings</t>
  </si>
  <si>
    <t>SP_REV_EST</t>
  </si>
  <si>
    <t>SP_REV_DATE_EST</t>
  </si>
  <si>
    <t>SP_GROSS_MARGIN_EST</t>
  </si>
  <si>
    <t>SP_EBITDA_EST</t>
  </si>
  <si>
    <t>SP_EBIT_EST</t>
  </si>
  <si>
    <t>SP_NI_EST</t>
  </si>
  <si>
    <t>SP_EPS_EST</t>
  </si>
  <si>
    <t>IQ_EPS_1YR_ANN_GROWTH</t>
  </si>
  <si>
    <t>Day Close Price</t>
  </si>
  <si>
    <t>Total Revenues, 1 Year Growth (%)</t>
  </si>
  <si>
    <t>Diluted EPS Before Extra, 1 Year Growth (%)</t>
  </si>
  <si>
    <t>Diluted EPS Excl. Extra Items</t>
  </si>
  <si>
    <t>x Shares Outstanding</t>
  </si>
  <si>
    <t>= Total Enterprise Value (TEV)</t>
  </si>
  <si>
    <t>= Total Capital</t>
  </si>
  <si>
    <t>- Cash &amp; Short Term Investments</t>
  </si>
  <si>
    <t>+ Total Preferred Equity</t>
  </si>
  <si>
    <t xml:space="preserve">   Divide By</t>
  </si>
  <si>
    <t>KEY FINANCIALS</t>
  </si>
  <si>
    <t>NA</t>
  </si>
  <si>
    <t>Market Capitalization</t>
  </si>
  <si>
    <t>Net Liability</t>
  </si>
  <si>
    <t>Total Liability</t>
  </si>
  <si>
    <t>Common Equity</t>
  </si>
  <si>
    <t>TEV</t>
  </si>
  <si>
    <t>Total Capital</t>
  </si>
  <si>
    <t>Graph Data</t>
  </si>
  <si>
    <t>TEV/Forward Total Revenue (x)</t>
  </si>
  <si>
    <t>SP_TEV_TOTAL_REV_FWD</t>
  </si>
  <si>
    <t>TEV/Forward EBITDA (x)</t>
  </si>
  <si>
    <t>SP_TEV_EBITDA_FWD</t>
  </si>
  <si>
    <t>TEV/Forward EBIT (x)</t>
  </si>
  <si>
    <t>SP_TEV_EBIT_FWD</t>
  </si>
  <si>
    <t>Price/ S&amp;P CapIQ EPS Estimate (x)</t>
  </si>
  <si>
    <t>SP_PE_EST</t>
  </si>
  <si>
    <t>Forward P/BV (x)</t>
  </si>
  <si>
    <t>SP_PBV_FWD</t>
  </si>
  <si>
    <t>Forward valuation multiples</t>
  </si>
  <si>
    <t>Market Cap</t>
  </si>
  <si>
    <t>NM</t>
  </si>
  <si>
    <t>SP_ENTITY_NAME</t>
  </si>
  <si>
    <t>SP_TICKER_EXCHANGE</t>
  </si>
  <si>
    <t>Period Date</t>
  </si>
  <si>
    <t>Period Ended</t>
  </si>
  <si>
    <t>IQ_PERIOD_END</t>
  </si>
  <si>
    <t>Revenue</t>
  </si>
  <si>
    <t>IQ_REV</t>
  </si>
  <si>
    <t>Finance Div. Revenue</t>
  </si>
  <si>
    <t>IQ_FIN_DIV_REV</t>
  </si>
  <si>
    <t>Insurance Div. Revenue</t>
  </si>
  <si>
    <t>IQ_INS_DIV_REV</t>
  </si>
  <si>
    <t>Gain/(Loss) on Sale Of Assets (Rev)</t>
  </si>
  <si>
    <t>IQ_GAIN_ASSETS_REV</t>
  </si>
  <si>
    <t>Gain/(Loss) on Sale Of Invest.(Rev)</t>
  </si>
  <si>
    <t>IQ_GAIN_INVEST_REV</t>
  </si>
  <si>
    <t>Interest And Invest. Income (Rev)</t>
  </si>
  <si>
    <t>IQ_INT_INV_INC</t>
  </si>
  <si>
    <t>Other Revenue</t>
  </si>
  <si>
    <t>IQ_OTHER_REV_SUPPL</t>
  </si>
  <si>
    <t>IQ_SGA_SUPPL</t>
  </si>
  <si>
    <t>IQ_EXPLORE_DRILL</t>
  </si>
  <si>
    <t>IQ_PROV_BAD_DEBTS</t>
  </si>
  <si>
    <t>IQ_STOCK_BASED</t>
  </si>
  <si>
    <t>IQ_PRE_OPEN_COST</t>
  </si>
  <si>
    <t>IQ_RD_EXP</t>
  </si>
  <si>
    <t>IQ_DA_SUPPL</t>
  </si>
  <si>
    <t>IQ_GW_INTAN_AMORT</t>
  </si>
  <si>
    <t>IQ_IMPAIR_OIL</t>
  </si>
  <si>
    <t>IQ_OTHER_OPER</t>
  </si>
  <si>
    <t>Cost Of Goods Sold</t>
  </si>
  <si>
    <t>IQ_COGS</t>
  </si>
  <si>
    <t>Finance Div. Operating Exp.</t>
  </si>
  <si>
    <t>IQ_FIN_DIV_EXP</t>
  </si>
  <si>
    <t>Insurance Div. Operating Exp.</t>
  </si>
  <si>
    <t>IQ_INS_DIV_EXP</t>
  </si>
  <si>
    <t>Interest Expense - Finance Division</t>
  </si>
  <si>
    <t>IQ_FIN_DIV_INT_EXP</t>
  </si>
  <si>
    <t>Selling General &amp; Admin Exp.</t>
  </si>
  <si>
    <t>Exploration/Drilling Costs</t>
  </si>
  <si>
    <t>Provision for Bad Debts</t>
  </si>
  <si>
    <t>Stock-Based Compensation</t>
  </si>
  <si>
    <t>Pre-Opening Costs</t>
  </si>
  <si>
    <t>R &amp; D Exp.</t>
  </si>
  <si>
    <t>Depreciation &amp; Amort.</t>
  </si>
  <si>
    <t>Amort. of Goodwill and Intangibles</t>
  </si>
  <si>
    <t>Impair. of Oil, Gas &amp; Mineral Prop.</t>
  </si>
  <si>
    <t>Other Operating Expense/(Income)</t>
  </si>
  <si>
    <t>Other Operating Exp., Total</t>
  </si>
  <si>
    <t>IQ_TOTAL_OTHER_OPER</t>
  </si>
  <si>
    <t>Operating Income</t>
  </si>
  <si>
    <t>IQ_OPER_INC</t>
  </si>
  <si>
    <t>Interest Expense</t>
  </si>
  <si>
    <t>IQ_INTEREST_EXP</t>
  </si>
  <si>
    <t>Interest and Invest. Income</t>
  </si>
  <si>
    <t>IQ_INTEREST_INVEST_INC</t>
  </si>
  <si>
    <t>Net Interest Exp.</t>
  </si>
  <si>
    <t>IQ_NET_INTEREST_EXP</t>
  </si>
  <si>
    <t>Income / (Loss) from Affiliates</t>
  </si>
  <si>
    <t>IQ_INC_EQUITY</t>
  </si>
  <si>
    <t>Currency Exchange Gains (Loss)</t>
  </si>
  <si>
    <t>IQ_CURRENCY_GAIN</t>
  </si>
  <si>
    <t>Other Non-Operating Inc. (Exp.)</t>
  </si>
  <si>
    <t>IQ_OTHER_NON_OPER_EXP_SUPPL</t>
  </si>
  <si>
    <t>EBT Excl Unusual Items</t>
  </si>
  <si>
    <t>IQ_EBT_EXCL</t>
  </si>
  <si>
    <t>Restructuring Charges</t>
  </si>
  <si>
    <t>IQ_RESTRUCTURE</t>
  </si>
  <si>
    <t>Merger &amp; Related Restruct. Charges</t>
  </si>
  <si>
    <t>IQ_MERGER_RESTRUCTURE</t>
  </si>
  <si>
    <t>Impairment of Goodwill</t>
  </si>
  <si>
    <t>IQ_IMPAIRMENT_GW</t>
  </si>
  <si>
    <t>Gain (Loss) On Sale Of Invest.</t>
  </si>
  <si>
    <t>IQ_GAIN_INVEST</t>
  </si>
  <si>
    <t>Gain (Loss) On Sale Of Assets</t>
  </si>
  <si>
    <t>IQ_GAIN_ASSETS</t>
  </si>
  <si>
    <t>Asset Writedown</t>
  </si>
  <si>
    <t>IQ_ASSET_WRITEDOWN</t>
  </si>
  <si>
    <t>In Process R &amp; D Exp.</t>
  </si>
  <si>
    <t>IQ_IPRD</t>
  </si>
  <si>
    <t>Insurance Settlements</t>
  </si>
  <si>
    <t>IQ_INS_SETTLE</t>
  </si>
  <si>
    <t>Legal Settlements</t>
  </si>
  <si>
    <t>IQ_LEGAL_SETTLE</t>
  </si>
  <si>
    <t>Other Unusual Items</t>
  </si>
  <si>
    <t>IQ_OTHER_UNUSUAL_SUPPL</t>
  </si>
  <si>
    <t>EBT Incl Unusual Items</t>
  </si>
  <si>
    <t>IQ_EBT</t>
  </si>
  <si>
    <t>Income Tax Expense</t>
  </si>
  <si>
    <t>IQ_INC_TAX</t>
  </si>
  <si>
    <t>Earnings of Discontinued Ops.</t>
  </si>
  <si>
    <t>IQ_EARNINGS_DISCONTINUED_OPS</t>
  </si>
  <si>
    <t>Extraord. Item &amp; Account. Change</t>
  </si>
  <si>
    <t>IQ_EXTRA_ACC_ITEMS</t>
  </si>
  <si>
    <t>Net Income to Company</t>
  </si>
  <si>
    <t>IQ_NET_INC</t>
  </si>
  <si>
    <t>Minority Int. in Earnings</t>
  </si>
  <si>
    <t>IQ_MINORITY_INTEREST_EARNINGS</t>
  </si>
  <si>
    <t>Net Income to Parent</t>
  </si>
  <si>
    <t>IQ_NET_INC_PARENT</t>
  </si>
  <si>
    <t>Pref. Dividends and Other Adj.</t>
  </si>
  <si>
    <t>IQ_PREF_DIV_OTHER</t>
  </si>
  <si>
    <t>NI to Common Incl Extra Items</t>
  </si>
  <si>
    <t>IQ_NI_AVAIL_INCL</t>
  </si>
  <si>
    <t>NI to Common Excl Extra Items</t>
  </si>
  <si>
    <t>IQ_NI_AVAIL_EXCL</t>
  </si>
  <si>
    <t>IQ_BASIC_EPS_AFTER_EXTRA</t>
  </si>
  <si>
    <t>IQ_BASIC_EPS_BEFORE_EXTRA</t>
  </si>
  <si>
    <t>Weighted Avg. Basic Shares Out. (actual)</t>
  </si>
  <si>
    <t>IQ_AVG_BASIC_SHARES_OUT</t>
  </si>
  <si>
    <t>IQ_DILUT_EPS_AFTER_EXTRA</t>
  </si>
  <si>
    <t>Weighted Avg. Diluted Shares Out. (actual)</t>
  </si>
  <si>
    <t>IQ_AVG_DILUT_SHARES_OUT</t>
  </si>
  <si>
    <t>IQ_BASIC_EPS_NORM</t>
  </si>
  <si>
    <t>IQ_DILUT_EPS_NORM</t>
  </si>
  <si>
    <t>IQ_DISTRIBUTABLE_CASH_SHARE</t>
  </si>
  <si>
    <t>Distributable Cash Shares (Basic) (actual)</t>
  </si>
  <si>
    <t>IQ_DISTRIBUTABLE_CASH_SHARES_BASIC</t>
  </si>
  <si>
    <t>Distributable Cash Shares (Diluted) (actual)</t>
  </si>
  <si>
    <t>IQ_DISTRIBUTABLE_CASH_SHARES_DILUTED</t>
  </si>
  <si>
    <t>IQ_COMMON_DIV_DECLARED</t>
  </si>
  <si>
    <t>Shares per Depository Receipt (actual)</t>
  </si>
  <si>
    <t>IQ_SHARES_PER_DEPOSITARY_RECEIPT</t>
  </si>
  <si>
    <t>INCOME STATEMENT (Contd.)</t>
  </si>
  <si>
    <t>Supplemental Items</t>
  </si>
  <si>
    <t>EBITA</t>
  </si>
  <si>
    <t>IQ_EBITA</t>
  </si>
  <si>
    <t>EBITDAR</t>
  </si>
  <si>
    <t>IQ_EBITDAR</t>
  </si>
  <si>
    <t>As-Reported Total Revenue</t>
  </si>
  <si>
    <t>IQ_TOTAL_REV_AS_REPORTED</t>
  </si>
  <si>
    <t>Net Income per SFAS 123 (after Options)</t>
  </si>
  <si>
    <t>IQ_NI_SFAS</t>
  </si>
  <si>
    <t>Current Domestic Taxes</t>
  </si>
  <si>
    <t>IQ_CURR_DOMESTIC_TAXES</t>
  </si>
  <si>
    <t>Current Foreign Taxes</t>
  </si>
  <si>
    <t>IQ_CURR_FOREIGN_TAXES</t>
  </si>
  <si>
    <t>Total Current Taxes</t>
  </si>
  <si>
    <t>IQ_CURR_TAXES</t>
  </si>
  <si>
    <t>Deferred Domestic Taxes</t>
  </si>
  <si>
    <t>IQ_DEFERRED_DOMESTIC_TAXES</t>
  </si>
  <si>
    <t>Deferred Foreign Taxes</t>
  </si>
  <si>
    <t>IQ_DEFERRED_FOREIGN_TAXES</t>
  </si>
  <si>
    <t>Total Deferred Taxes</t>
  </si>
  <si>
    <t>IQ_DEFERRED_TAXES_TOTAL</t>
  </si>
  <si>
    <t>Normalized Net Income</t>
  </si>
  <si>
    <t>IQ_NI_NORM</t>
  </si>
  <si>
    <t>Interest Capitalized</t>
  </si>
  <si>
    <t>IQ_CAPITALIZED_INTEREST</t>
  </si>
  <si>
    <t>Interest On Long Term Debt</t>
  </si>
  <si>
    <t>IQ_INT_EXP_LTD</t>
  </si>
  <si>
    <t>Non-Cash Pension Expense</t>
  </si>
  <si>
    <t>IQ_NONCASH_PENSION_EXP</t>
  </si>
  <si>
    <t>Distributable Cash</t>
  </si>
  <si>
    <t>IQ_DISTRIBUTABLE_CASH</t>
  </si>
  <si>
    <t>Restatement Type</t>
  </si>
  <si>
    <t xml:space="preserve">CIQ Restatement Type </t>
  </si>
  <si>
    <t>IQ_RESTATEMENT_TYPE_IS</t>
  </si>
  <si>
    <t>Calculation Type</t>
  </si>
  <si>
    <t xml:space="preserve">CIQ Calculation Type </t>
  </si>
  <si>
    <t>IQ_CALCULATION_TYPE_IS</t>
  </si>
  <si>
    <t>Advertising Expense</t>
  </si>
  <si>
    <t>IQ_ADVERTISING</t>
  </si>
  <si>
    <t>Marketing Expense</t>
  </si>
  <si>
    <t>IQ_MARKETING</t>
  </si>
  <si>
    <t>IQ_SALES_MARKETING</t>
  </si>
  <si>
    <t>General and Administrative Expense</t>
  </si>
  <si>
    <t>IQ_GA_EXP</t>
  </si>
  <si>
    <t>IQ_RD_EXP_FN</t>
  </si>
  <si>
    <t>Net Rental Expense, Total</t>
  </si>
  <si>
    <t>IQ_NET_RENTAL_EXP_FN</t>
  </si>
  <si>
    <t>Maintenance &amp; Repair Expenses</t>
  </si>
  <si>
    <t>IQ_MAINT_REPAIR</t>
  </si>
  <si>
    <t>IQ_IMPUT_OPER_LEASE_INT_EXP</t>
  </si>
  <si>
    <t>Imputed Oper. Lease Depreciation</t>
  </si>
  <si>
    <t>IQ_IMPUT_OPER_LEASE_DEPR</t>
  </si>
  <si>
    <t>Stock-Based Comp., COGS</t>
  </si>
  <si>
    <t>IQ_STOCK_BASED_COGS</t>
  </si>
  <si>
    <t>Stock-Based Comp., R&amp;D Exp</t>
  </si>
  <si>
    <t>IQ_STOCK_BASED_RD</t>
  </si>
  <si>
    <t>Stock-Based Comp., S&amp;M Exp</t>
  </si>
  <si>
    <t>IQ_STOCK_BASED_SM</t>
  </si>
  <si>
    <t>Stock-Based Comp., G&amp;A Exp</t>
  </si>
  <si>
    <t>IQ_STOCK_BASED_GA</t>
  </si>
  <si>
    <t>Stock-Based Comp., SG&amp;A Exp</t>
  </si>
  <si>
    <t>IQ_STOCK_BASED_SGA</t>
  </si>
  <si>
    <t>Stock-Based Comp., Exploration/Drilling Exp.</t>
  </si>
  <si>
    <t>IQ_STOCK_BASED_EXPLORE_DRILL</t>
  </si>
  <si>
    <t>Stock-Based Comp., Unallocated</t>
  </si>
  <si>
    <t>IQ_STOCK_BASED_OTHER</t>
  </si>
  <si>
    <t>Stock-Based Comp., After-Tax</t>
  </si>
  <si>
    <t>IQ_STOCK_BASED_AT</t>
  </si>
  <si>
    <t>Stock-Based Comp., Total</t>
  </si>
  <si>
    <t>IQ_STOCK_BASED_TOTAL</t>
  </si>
  <si>
    <t>Restr. Stock Comp. Exp., Before Tax</t>
  </si>
  <si>
    <t>IQ_RESTR_STOCK_COMP_PRETAX</t>
  </si>
  <si>
    <t>Restr. Stock Comp. Exp. Tax Effect</t>
  </si>
  <si>
    <t>IQ_RESTR_STOCK_COMP_TAX</t>
  </si>
  <si>
    <t>Restr. Stock Comp. Exp., After Tax</t>
  </si>
  <si>
    <t>IQ_RESTR_STOCK_COMP</t>
  </si>
  <si>
    <t>Stock Options Comp. Exp., Before Tax</t>
  </si>
  <si>
    <t>IQ_STOCK_OPTIONS_COMP_PRETAX</t>
  </si>
  <si>
    <t>Stock Options Comp. Exp. Tax Effect</t>
  </si>
  <si>
    <t>IQ_STOCK_OPTIONS_COMP_TAX</t>
  </si>
  <si>
    <t>Stock Options Comp. Exp., After Tax</t>
  </si>
  <si>
    <t>IQ_STOCK_OPTIONS_COMP</t>
  </si>
  <si>
    <t>Stock Based Comp. Exp., Before Tax</t>
  </si>
  <si>
    <t>IQ_STOCK_BASED_COMP_PRETAX</t>
  </si>
  <si>
    <t>Stock Based Comp. Exp. Tax Effect</t>
  </si>
  <si>
    <t>IQ_STOCK_BASED_COMP_TAX</t>
  </si>
  <si>
    <t>Stock Based Comp. Exp., After Tax</t>
  </si>
  <si>
    <t>IQ_STOCK_BASED_COMP</t>
  </si>
  <si>
    <t>IQ_NI_CF</t>
  </si>
  <si>
    <t>IQ_DA_SUPPL_CF</t>
  </si>
  <si>
    <t>IQ_GW_INTAN_AMORT_CF</t>
  </si>
  <si>
    <t>IQ_OIL_IMPAIR</t>
  </si>
  <si>
    <t>Depreciation &amp; Amort., Total</t>
  </si>
  <si>
    <t>IQ_DA_CF</t>
  </si>
  <si>
    <t>Other Amortization</t>
  </si>
  <si>
    <t>IQ_OTHER_AMORT</t>
  </si>
  <si>
    <t>IQ_MINORITY_INTEREST_CF</t>
  </si>
  <si>
    <t>(Gain) Loss From Sale Of Asset</t>
  </si>
  <si>
    <t>IQ_GAIN_ASSETS_CF</t>
  </si>
  <si>
    <t>(Gain) Loss On Sale Of Invest.</t>
  </si>
  <si>
    <t>IQ_GAIN_INVEST_CF</t>
  </si>
  <si>
    <t>Asset Writedown &amp; Restructuring Costs</t>
  </si>
  <si>
    <t>IQ_ASSET_WRITEDOWN_CF</t>
  </si>
  <si>
    <t>Net (Increase) Decrease in Loans Orig./Sold</t>
  </si>
  <si>
    <t>IQ_LOANS_CF</t>
  </si>
  <si>
    <t>Provision for Credit Losses</t>
  </si>
  <si>
    <t>IQ_CREDIT_LOSS_CF</t>
  </si>
  <si>
    <t>(Income) Loss on Equity Invest.</t>
  </si>
  <si>
    <t>IQ_INC_EQUITY_CF</t>
  </si>
  <si>
    <t>IQ_STOCK_BASED_CF</t>
  </si>
  <si>
    <t>Tax Benefit from Stock Options</t>
  </si>
  <si>
    <t>IQ_TAX_BENEFIT_OPTIONS</t>
  </si>
  <si>
    <t>Provision &amp; Write-off of Bad debts</t>
  </si>
  <si>
    <t>IQ_PROV_BAD_DEBTS_CF</t>
  </si>
  <si>
    <t>Net Cash From Discontinued Ops.</t>
  </si>
  <si>
    <t>IQ_DO_CF</t>
  </si>
  <si>
    <t>Other Operating Activities</t>
  </si>
  <si>
    <t>IQ_OTHER_OPER_ACT</t>
  </si>
  <si>
    <t>Change in Trad. Asset Securities</t>
  </si>
  <si>
    <t>IQ_CHANGE_TRADING_ASSETS</t>
  </si>
  <si>
    <t>Change in Acc. Receivable</t>
  </si>
  <si>
    <t>IQ_CHANGE_AR</t>
  </si>
  <si>
    <t>Change In Inventories</t>
  </si>
  <si>
    <t>IQ_CHANGE_INVENTORY</t>
  </si>
  <si>
    <t>Change in Acc. Payable</t>
  </si>
  <si>
    <t>IQ_CHANGE_AP</t>
  </si>
  <si>
    <t>Change in Unearned Rev.</t>
  </si>
  <si>
    <t>IQ_CHANGE_UNEARN_REV</t>
  </si>
  <si>
    <t>Change in Inc. Taxes</t>
  </si>
  <si>
    <t>IQ_CHANGE_INC_TAX</t>
  </si>
  <si>
    <t>Change in Def. Taxes</t>
  </si>
  <si>
    <t>IQ_CHANGE_DEF_TAX</t>
  </si>
  <si>
    <t>Change In Other Net Operating Assets</t>
  </si>
  <si>
    <t>IQ_CHANGE_OTHER_NET_OPER_ASSETS</t>
  </si>
  <si>
    <t>Cash from Ops.</t>
  </si>
  <si>
    <t>IQ_CASH_OPER</t>
  </si>
  <si>
    <t>Capital Expenditure</t>
  </si>
  <si>
    <t>IQ_CAPEX</t>
  </si>
  <si>
    <t>Sale of Property, Plant, and Equipment</t>
  </si>
  <si>
    <t>IQ_SALE_PPE_CF</t>
  </si>
  <si>
    <t>Cash Acquisitions</t>
  </si>
  <si>
    <t>IQ_CASH_ACQUIRE_CF</t>
  </si>
  <si>
    <t>Divestitures</t>
  </si>
  <si>
    <t>IQ_DIVEST_CF</t>
  </si>
  <si>
    <t>Sale/(Purchase) of Real Estate Properties</t>
  </si>
  <si>
    <t>IQ_SALE_REAL_ESTATE_CF</t>
  </si>
  <si>
    <t>Sale/(Purchase) of Intangible Assets</t>
  </si>
  <si>
    <t>IQ_SALE_INTAN_CF</t>
  </si>
  <si>
    <t>Invest. in Marketable &amp; Equity Sec.</t>
  </si>
  <si>
    <t>IQ_INVEST_SECURITY_CF</t>
  </si>
  <si>
    <t>Net (Inc.) Dec. in Loans Originated/Sold</t>
  </si>
  <si>
    <t>IQ_INVEST_LOANS_CF</t>
  </si>
  <si>
    <t>Other Investing Activities</t>
  </si>
  <si>
    <t>IQ_OTHER_INVEST_ACT_SUPPL</t>
  </si>
  <si>
    <t>Cash from Investing</t>
  </si>
  <si>
    <t>IQ_CASH_INVEST</t>
  </si>
  <si>
    <t>Short Term Debt Issued</t>
  </si>
  <si>
    <t>IQ_ST_DEBT_ISSUED</t>
  </si>
  <si>
    <t>Long-Term Debt Issued</t>
  </si>
  <si>
    <t>IQ_LT_DEBT_ISSUED</t>
  </si>
  <si>
    <t>Total Debt Issued</t>
  </si>
  <si>
    <t>IQ_TOTAL_DEBT_ISSUED</t>
  </si>
  <si>
    <t>Short Term Debt Repaid</t>
  </si>
  <si>
    <t>IQ_ST_DEBT_REPAID</t>
  </si>
  <si>
    <t>Long-Term Debt Repaid</t>
  </si>
  <si>
    <t>IQ_LT_DEBT_REPAID</t>
  </si>
  <si>
    <t>Total Debt Repaid</t>
  </si>
  <si>
    <t>IQ_TOTAL_DEBT_REPAID</t>
  </si>
  <si>
    <t>Issuance of Common Stock</t>
  </si>
  <si>
    <t>IQ_COMMON_ISSUED</t>
  </si>
  <si>
    <t>Repurchase of Common</t>
  </si>
  <si>
    <t>IQ_COMMON_REP</t>
  </si>
  <si>
    <t>Issuance of Pref. Stock</t>
  </si>
  <si>
    <t>IQ_PREF_ISSUED</t>
  </si>
  <si>
    <t>Repurchase of Preferred</t>
  </si>
  <si>
    <t>IQ_PREF_REP</t>
  </si>
  <si>
    <t>Common Dividends Paid</t>
  </si>
  <si>
    <t>IQ_COMMON_DIV_CF</t>
  </si>
  <si>
    <t>Pref. Dividends Paid</t>
  </si>
  <si>
    <t>IQ_PREF_DIV_CF</t>
  </si>
  <si>
    <t>Common and/or Pref. Dividends Paid</t>
  </si>
  <si>
    <t>IQ_COMMON_PREF_DIV_CF</t>
  </si>
  <si>
    <t>Total Dividends Paid</t>
  </si>
  <si>
    <t>IQ_TOTAL_DIV_PAID_CF</t>
  </si>
  <si>
    <t>Special Dividend Paid</t>
  </si>
  <si>
    <t>IQ_SPECIAL_DIV_CF</t>
  </si>
  <si>
    <t>Other Financing Activities</t>
  </si>
  <si>
    <t>IQ_OTHER_FINANCE_ACT_SUPPL</t>
  </si>
  <si>
    <t>Cash from Financing</t>
  </si>
  <si>
    <t>IQ_CASH_FINAN</t>
  </si>
  <si>
    <t>Foreign Exchange Rate Adj.</t>
  </si>
  <si>
    <t>IQ_CASH_FX</t>
  </si>
  <si>
    <t>Misc. Cash Flow Adj.</t>
  </si>
  <si>
    <t>IQ_CASH_MISC_ADJUST</t>
  </si>
  <si>
    <t>Net Change in Cash</t>
  </si>
  <si>
    <t>IQ_CASH_NET_CHANGE</t>
  </si>
  <si>
    <t>Cash Interest Paid</t>
  </si>
  <si>
    <t>IQ_CASH_INTEREST</t>
  </si>
  <si>
    <t>Cash Taxes Paid</t>
  </si>
  <si>
    <t>IQ_CASH_TAXES</t>
  </si>
  <si>
    <t>Change in Net Working Capital</t>
  </si>
  <si>
    <t>IQ_CHANGE_NET_WORKING_CAPITAL</t>
  </si>
  <si>
    <t xml:space="preserve">Levered Free Cash Flow </t>
  </si>
  <si>
    <t>IQ_LEVERED_FCF</t>
  </si>
  <si>
    <t xml:space="preserve">Unlevered Free Cash Flow </t>
  </si>
  <si>
    <t>IQ_UNLEVERED_FCF</t>
  </si>
  <si>
    <t>Net Debt Issued</t>
  </si>
  <si>
    <t>IQ_NET_DEBT_ISSUED</t>
  </si>
  <si>
    <t>Maintenance CAPEX</t>
  </si>
  <si>
    <t>IQ_MAINT_CAPEX</t>
  </si>
  <si>
    <t>Net Cash from Discontinued Ops. - Investing</t>
  </si>
  <si>
    <t>IQ_DO_INVEST_CF</t>
  </si>
  <si>
    <t>Net Cash from Discontinued Ops. - Financing</t>
  </si>
  <si>
    <t>IQ_DO_FINANCE_CF</t>
  </si>
  <si>
    <t>IQ_RESTATEMENT_TYPE_CF</t>
  </si>
  <si>
    <t>IQ_CALCULATION_TYPE_CF</t>
  </si>
  <si>
    <t>ASSETS</t>
  </si>
  <si>
    <t>Cash And Equivalents</t>
  </si>
  <si>
    <t>IQ_CASH_EQUIV</t>
  </si>
  <si>
    <t>Short Term Investments</t>
  </si>
  <si>
    <t>IQ_ST_INVEST</t>
  </si>
  <si>
    <t>Trading Asset Securities</t>
  </si>
  <si>
    <t>IQ_TRADING_ASSET_SECURITIES</t>
  </si>
  <si>
    <t>Total Cash &amp; ST Investments</t>
  </si>
  <si>
    <t>Cash &amp; Short Term Investments</t>
  </si>
  <si>
    <t>Accounts Receivable</t>
  </si>
  <si>
    <t>IQ_AR</t>
  </si>
  <si>
    <t>Other Receivables</t>
  </si>
  <si>
    <t>IQ_OTHER_RECEIV</t>
  </si>
  <si>
    <t>Notes Receivable</t>
  </si>
  <si>
    <t>IQ_ST_NOTE_RECEIV</t>
  </si>
  <si>
    <t>Total Receivables</t>
  </si>
  <si>
    <t>IQ_TOTAL_RECEIV</t>
  </si>
  <si>
    <t>Inventory</t>
  </si>
  <si>
    <t>IQ_INVENTORY</t>
  </si>
  <si>
    <t>Prepaid Exp.</t>
  </si>
  <si>
    <t>IQ_PREPAID_EXP</t>
  </si>
  <si>
    <t>Finance Div. Loans and Leases, ST</t>
  </si>
  <si>
    <t>IQ_FIN_DIV_LOANS_CURRENT</t>
  </si>
  <si>
    <t>Finance Div. Other Curr. Assets</t>
  </si>
  <si>
    <t>IQ_FIN_DIV_ASSETS_CURRENT</t>
  </si>
  <si>
    <t>Loans Held For Sale</t>
  </si>
  <si>
    <t>IQ_LOANS_HFS</t>
  </si>
  <si>
    <t>Deferred Tax Assets, Curr.</t>
  </si>
  <si>
    <t>IQ_DEF_TAX_ASSETS_CURRENT</t>
  </si>
  <si>
    <t>Restricted Cash</t>
  </si>
  <si>
    <t>IQ_RESTRICTED_CASH</t>
  </si>
  <si>
    <t>Other Current Assets</t>
  </si>
  <si>
    <t>IQ_OTHER_CA_SUPPL</t>
  </si>
  <si>
    <t>Total Current Assets</t>
  </si>
  <si>
    <t>IQ_TOTAL_CA</t>
  </si>
  <si>
    <t>Gross Property, Plant &amp; Equipment</t>
  </si>
  <si>
    <t>IQ_GPPE</t>
  </si>
  <si>
    <t>Accumulated Depreciation</t>
  </si>
  <si>
    <t>IQ_ACCUM_DEPRECIATION</t>
  </si>
  <si>
    <t>Net Property, Plant &amp; Equipment</t>
  </si>
  <si>
    <t>IQ_NPPE</t>
  </si>
  <si>
    <t>Long-term Investments</t>
  </si>
  <si>
    <t>IQ_LT_INVEST</t>
  </si>
  <si>
    <t>Goodwill</t>
  </si>
  <si>
    <t>IQ_GOODWILL</t>
  </si>
  <si>
    <t>Other Intangibles</t>
  </si>
  <si>
    <t>IQ_OTHER_INTAN</t>
  </si>
  <si>
    <t>Finance Div. Loans and Leases, LT</t>
  </si>
  <si>
    <t>IQ_FIN_DIV_LOANS_LT</t>
  </si>
  <si>
    <t>Finance Div. Other LT Assets</t>
  </si>
  <si>
    <t>IQ_FIN_DIV_ASSETS_LT</t>
  </si>
  <si>
    <t>Accounts Receivable Long-Term</t>
  </si>
  <si>
    <t>IQ_AR_LT</t>
  </si>
  <si>
    <t>Loans Receivable Long-Term</t>
  </si>
  <si>
    <t>IQ_LOANS_RECEIV_LT</t>
  </si>
  <si>
    <t>Deferred Tax Assets, LT</t>
  </si>
  <si>
    <t>IQ_DEF_TAX_ASSETS_LT</t>
  </si>
  <si>
    <t>Deferred Charges, LT</t>
  </si>
  <si>
    <t>IQ_DEF_CHARGES_LT</t>
  </si>
  <si>
    <t>Other Long-Term Assets</t>
  </si>
  <si>
    <t>IQ_OTHER_LT_ASSETS</t>
  </si>
  <si>
    <t xml:space="preserve">    Total Assets</t>
  </si>
  <si>
    <t>IQ_TOTAL_ASSETS</t>
  </si>
  <si>
    <t>LIABILITIES</t>
  </si>
  <si>
    <t>Accounts Payable</t>
  </si>
  <si>
    <t>IQ_AP</t>
  </si>
  <si>
    <t>Accrued Exp.</t>
  </si>
  <si>
    <t>IQ_AE</t>
  </si>
  <si>
    <t>Short-term Borrowings</t>
  </si>
  <si>
    <t>IQ_ST_DEBT</t>
  </si>
  <si>
    <t>Current Portion of Long Term Debt</t>
  </si>
  <si>
    <t>IQ_CURRENT_PORT_DEBT</t>
  </si>
  <si>
    <t>Curr. Port. of Cap. Leases</t>
  </si>
  <si>
    <t>IQ_CURRENT_PORT_LEASES</t>
  </si>
  <si>
    <t>Finance Div. Debt Current</t>
  </si>
  <si>
    <t>IQ_FIN_DIV_DEBT_CURRENT</t>
  </si>
  <si>
    <t>Finance Div. Other Curr. Liab.</t>
  </si>
  <si>
    <t>IQ_FIN_DIV_LIAB_CURRENT</t>
  </si>
  <si>
    <t>Curr. Income Taxes Payable</t>
  </si>
  <si>
    <t>IQ_INC_TAX_PAY_CURRENT</t>
  </si>
  <si>
    <t>Unearned Revenue, Current</t>
  </si>
  <si>
    <t>IQ_UNEARN_REV_CURRENT</t>
  </si>
  <si>
    <t>Def. Tax Liability, Curr.</t>
  </si>
  <si>
    <t>IQ_DEF_TAX_LIAB_CURRENT</t>
  </si>
  <si>
    <t>Other Current Liabilities</t>
  </si>
  <si>
    <t>IQ_OTHER_CL_SUPPL</t>
  </si>
  <si>
    <t>Total Current Liabilities</t>
  </si>
  <si>
    <t>IQ_TOTAL_CL</t>
  </si>
  <si>
    <t>Long-Term Debt</t>
  </si>
  <si>
    <t>IQ_LT_DEBT</t>
  </si>
  <si>
    <t>Capital Leases</t>
  </si>
  <si>
    <t>IQ_CAPITAL_LEASES</t>
  </si>
  <si>
    <t>Finance Div. Debt Non-Curr.</t>
  </si>
  <si>
    <t>IQ_FIN_DIV_DEBT_LT</t>
  </si>
  <si>
    <t>Finance Div. Other Non-Curr. Liab.</t>
  </si>
  <si>
    <t>IQ_FIN_DIV_LIAB_LT</t>
  </si>
  <si>
    <t>Unearned Revenue, Non-Current</t>
  </si>
  <si>
    <t>IQ_UNEARN_REV_LT</t>
  </si>
  <si>
    <t>Pension &amp; Other Post-Retire. Benefits</t>
  </si>
  <si>
    <t>IQ_PENSION</t>
  </si>
  <si>
    <t>Def. Tax Liability, Non-Curr.</t>
  </si>
  <si>
    <t>IQ_DEF_TAX_LIAB_LT</t>
  </si>
  <si>
    <t>Other Non-Current Liabilities</t>
  </si>
  <si>
    <t>IQ_OTHER_LIAB_LT</t>
  </si>
  <si>
    <t xml:space="preserve">    Total Liabilities</t>
  </si>
  <si>
    <t>IQ_TOTAL_LIAB</t>
  </si>
  <si>
    <t>EQUITY</t>
  </si>
  <si>
    <t>Pref. Stock, Redeemable</t>
  </si>
  <si>
    <t>IQ_PREF_REDEEM</t>
  </si>
  <si>
    <t>Pref. Stock, Non-Redeem.</t>
  </si>
  <si>
    <t>IQ_PREF_NON_REDEEM</t>
  </si>
  <si>
    <t>Pref. Stock, Convertible</t>
  </si>
  <si>
    <t>IQ_PREF_CONVERT</t>
  </si>
  <si>
    <t>Pref. Stock, Other</t>
  </si>
  <si>
    <t>IQ_PREF_OTHER</t>
  </si>
  <si>
    <t xml:space="preserve">    Total Pref. Equity</t>
  </si>
  <si>
    <t>Common Stock</t>
  </si>
  <si>
    <t>IQ_COMMON_STOCK</t>
  </si>
  <si>
    <t>Additional Paid In Capital</t>
  </si>
  <si>
    <t>IQ_APIC</t>
  </si>
  <si>
    <t>Retained Earnings</t>
  </si>
  <si>
    <t>IQ_RETAINED_EARNINGS</t>
  </si>
  <si>
    <t>Treasury Stock</t>
  </si>
  <si>
    <t>Comprehensive Inc. and Other</t>
  </si>
  <si>
    <t>IQ_OTHER_EQUITY</t>
  </si>
  <si>
    <t>Minority Interest</t>
  </si>
  <si>
    <t>Total Equity</t>
  </si>
  <si>
    <t>IQ_TOTAL_EQUITY</t>
  </si>
  <si>
    <t>Total Liabilities And Equity</t>
  </si>
  <si>
    <t>IQ_TOTAL_LIAB_EQUITY</t>
  </si>
  <si>
    <t>BALANCE SHEET (Contd.)</t>
  </si>
  <si>
    <t>Total Shares Out. on Filing Date (actual)</t>
  </si>
  <si>
    <t>IQ_SHARES_OUT_FILING_DATE</t>
  </si>
  <si>
    <t>Total Shares Out. on Balance Sheet Date (actual)</t>
  </si>
  <si>
    <t>IQ_SHARES_OUT_PERIOD_END</t>
  </si>
  <si>
    <t>IQ_BVPS</t>
  </si>
  <si>
    <t>IQ_BVPS_RPTD</t>
  </si>
  <si>
    <t>Tangible Book Value/Share (As Reported)</t>
  </si>
  <si>
    <t>IQ_TBVPS_RPTD</t>
  </si>
  <si>
    <t>IQ_TBVPS</t>
  </si>
  <si>
    <t>IQ_TANG_EQUITY</t>
  </si>
  <si>
    <t>Total Debt</t>
  </si>
  <si>
    <t>Net Debt</t>
  </si>
  <si>
    <t>IQ_NET_DEBT</t>
  </si>
  <si>
    <t>Minority Interest, Total</t>
  </si>
  <si>
    <t>IQ_MINORITY_INTEREST_TOTAL</t>
  </si>
  <si>
    <t>Total Capitalization</t>
  </si>
  <si>
    <t>IQ_TOTAL_CAP</t>
  </si>
  <si>
    <t>Accumulated Allowance for Doubtful Accounts</t>
  </si>
  <si>
    <t>IQ_ALLOW_DOUBT_ACCT</t>
  </si>
  <si>
    <t>Equity Method Investments</t>
  </si>
  <si>
    <t>IQ_EQUITY_METHOD</t>
  </si>
  <si>
    <t>LIFO Reserve</t>
  </si>
  <si>
    <t>IQ_LIFOR</t>
  </si>
  <si>
    <t>Raw Materials Inventory</t>
  </si>
  <si>
    <t>IQ_RAW_INV</t>
  </si>
  <si>
    <t>Work in Progress Inventory</t>
  </si>
  <si>
    <t>IQ_WIP_INV</t>
  </si>
  <si>
    <t>Finished Goods Inventory</t>
  </si>
  <si>
    <t>IQ_FINISHED_INV</t>
  </si>
  <si>
    <t>Other Inventory Accounts</t>
  </si>
  <si>
    <t>IQ_OTHER_INV</t>
  </si>
  <si>
    <t>Land</t>
  </si>
  <si>
    <t>IQ_LAND</t>
  </si>
  <si>
    <t>Buildings</t>
  </si>
  <si>
    <t>IQ_BUILDINGS</t>
  </si>
  <si>
    <t>Machinery</t>
  </si>
  <si>
    <t>IQ_MACHINERY</t>
  </si>
  <si>
    <t xml:space="preserve">Natural Resources, at Cost </t>
  </si>
  <si>
    <t>IQ_NATURAL_RESOURCES_COST</t>
  </si>
  <si>
    <t>Construction in Progress</t>
  </si>
  <si>
    <t>IQ_CIP</t>
  </si>
  <si>
    <t>Leasehold Improvements</t>
  </si>
  <si>
    <t>IQ_LEASEHOLD_IMPROVEMENT</t>
  </si>
  <si>
    <t>Level 1 Assets - Quoted Prices</t>
  </si>
  <si>
    <t>IQ_ASSETS_LEVEL_1</t>
  </si>
  <si>
    <t>Level 2 Assets - Observable Prices</t>
  </si>
  <si>
    <t>IQ_ASSETS_LEVEL_2</t>
  </si>
  <si>
    <t>Level 3 Assets - Unobservable Prices</t>
  </si>
  <si>
    <t>IQ_ASSETS_LEVEL_3</t>
  </si>
  <si>
    <t>Netting and Other Adj. to Assets</t>
  </si>
  <si>
    <t>IQ_ASSETS_NETTING_OTHER_ADJUSTMENTS</t>
  </si>
  <si>
    <t>Fair Value of Assets</t>
  </si>
  <si>
    <t>IQ_ASSETS_FAIR_VALUE</t>
  </si>
  <si>
    <t>Level 1 Liabilities - Quoted Prices</t>
  </si>
  <si>
    <t>IQ_LIABILITIES_LEVEL_1</t>
  </si>
  <si>
    <t>Level 2 Liabilities - Observable Prices</t>
  </si>
  <si>
    <t>IQ_LIABILITIES_LEVEL_2</t>
  </si>
  <si>
    <t>Level 3 Liabilities - Unobservable Prices</t>
  </si>
  <si>
    <t>IQ_LIABILITIES_LEVEL_3</t>
  </si>
  <si>
    <t>Netting and Other Adj. to Liabilities</t>
  </si>
  <si>
    <t>IQ_LIABILITIES_NETTING_OTHER_ADJUSTMENTS</t>
  </si>
  <si>
    <t>Fair Value of Liabilities</t>
  </si>
  <si>
    <t>IQ_LIABILITIES_FAIR_VALUE</t>
  </si>
  <si>
    <t>Fair Value Change Included in Earnings</t>
  </si>
  <si>
    <t>IQ_FAIR_VALUE_CHANGE_INCL_EARNINGS</t>
  </si>
  <si>
    <t>Full Time Employees (actual)</t>
  </si>
  <si>
    <t>IQ_FULL_TIME</t>
  </si>
  <si>
    <t>Part Time Employees (actual)</t>
  </si>
  <si>
    <t>IQ_PART_TIME</t>
  </si>
  <si>
    <t xml:space="preserve">Debt Equiv. of Unfunded Proj. Benefit Obligation </t>
  </si>
  <si>
    <t>IQ_DEBT_EQUIV_NET_PBO</t>
  </si>
  <si>
    <t xml:space="preserve">Debt Equivalent Oper. Leases </t>
  </si>
  <si>
    <t>IQ_DEBT_EQUIV_OPER_LEASE</t>
  </si>
  <si>
    <t>Order Backlog</t>
  </si>
  <si>
    <t>IQ_ORDER_BACKLOG</t>
  </si>
  <si>
    <t>IQ_RESTATEMENT_TYPE_BS</t>
  </si>
  <si>
    <t>IQ_CALCULATION_TYPE_BS</t>
  </si>
  <si>
    <t>Restated</t>
  </si>
  <si>
    <t>No Change</t>
  </si>
  <si>
    <t>As Reported Data, [No Calculation]</t>
  </si>
  <si>
    <t>Rolled-up Instance [Equals previous Instance of the Period]</t>
  </si>
  <si>
    <t>FQ0</t>
  </si>
  <si>
    <t>IQ_FINL_FILING_DATE</t>
  </si>
  <si>
    <t>Financial Filing Date</t>
  </si>
  <si>
    <t>Pricing as of*</t>
  </si>
  <si>
    <t xml:space="preserve">Total Debt </t>
  </si>
  <si>
    <t xml:space="preserve">Total Common Equity </t>
  </si>
  <si>
    <t xml:space="preserve">Total Minority Interest </t>
  </si>
  <si>
    <t xml:space="preserve">Total Preferred Equity </t>
  </si>
  <si>
    <t xml:space="preserve">Total Capital </t>
  </si>
  <si>
    <t>IQ_CP</t>
  </si>
  <si>
    <t>IQ_RC</t>
  </si>
  <si>
    <t>IQ_TERM_LOANS</t>
  </si>
  <si>
    <t>IQ_SR_BONDS_NOTES</t>
  </si>
  <si>
    <t>IQ_SUB_BONDS_NOTES</t>
  </si>
  <si>
    <t>IQ_CAPITAL_LEASES_TOTAL</t>
  </si>
  <si>
    <t>IQ_OTHER_DEBT</t>
  </si>
  <si>
    <t>IQ_TOTAL_PRINCIPAL</t>
  </si>
  <si>
    <t>IQ_UNAMORT_PREMIUM</t>
  </si>
  <si>
    <t>IQ_UNAMORT_DISC</t>
  </si>
  <si>
    <t>IQ_DEBT_ADJ</t>
  </si>
  <si>
    <t xml:space="preserve">Outstanding Balance for Commercial Paper - Total </t>
  </si>
  <si>
    <t xml:space="preserve">Outstanding Balance for Revolving Credit - Total </t>
  </si>
  <si>
    <t xml:space="preserve">Outstanding Balance for Term Loans - Total </t>
  </si>
  <si>
    <t xml:space="preserve">Senior Bonds and Notes </t>
  </si>
  <si>
    <t xml:space="preserve">Subordinated Bonds and Notes </t>
  </si>
  <si>
    <t xml:space="preserve">Outstanding Balance for Capital Leases </t>
  </si>
  <si>
    <t xml:space="preserve">General or Other Borrowings </t>
  </si>
  <si>
    <t xml:space="preserve">Total Principal Due </t>
  </si>
  <si>
    <t xml:space="preserve">Unamortized Premium - Total </t>
  </si>
  <si>
    <t xml:space="preserve">Unamortized Discount - Total </t>
  </si>
  <si>
    <t xml:space="preserve">Total Adjustments </t>
  </si>
  <si>
    <t> Total Debt Outstanding</t>
  </si>
  <si>
    <t>IQ_CP_PCT</t>
  </si>
  <si>
    <t>IQ_RC_PCT</t>
  </si>
  <si>
    <t>IQ_TERM_LOANS_PCT</t>
  </si>
  <si>
    <t>IQ_SR_BONDS_NOTES_PCT</t>
  </si>
  <si>
    <t>IQ_SUB_BONDS_NOTES_PCT</t>
  </si>
  <si>
    <t>IQ_CAPITAL_LEASES_TOTAL_PCT</t>
  </si>
  <si>
    <t>IQ_OTHER_DEBT_PCT</t>
  </si>
  <si>
    <t>IQ_TOTAL_PRINCIPAL_PCT</t>
  </si>
  <si>
    <t>IQ_UNAMORT_PREMIUM_PCT</t>
  </si>
  <si>
    <t>IQ_UNAMORT_DISC_PCT</t>
  </si>
  <si>
    <t>IQ_DEBT_ADJ_PCT</t>
  </si>
  <si>
    <t>Available Credit</t>
  </si>
  <si>
    <t>IQ_UNDRAWN_RC</t>
  </si>
  <si>
    <t>IQ_UNDRAWN_CP</t>
  </si>
  <si>
    <t>IQ_UNDRAWN_TL</t>
  </si>
  <si>
    <t>IQ_OTHER_UNDRAWN</t>
  </si>
  <si>
    <t>Undrawn Credit Portion of Revolving Credit</t>
  </si>
  <si>
    <t>Undrawn Credit Portion of CP</t>
  </si>
  <si>
    <t>Undrawn Credit Portion of Term Loans</t>
  </si>
  <si>
    <t>Undrawn Credit Portion of Other (Residual Tag)</t>
  </si>
  <si>
    <t>IQ_UNDRAWN_CREDIT</t>
  </si>
  <si>
    <t>Total Undrawn Credit</t>
  </si>
  <si>
    <t>Additional Totals</t>
  </si>
  <si>
    <t>IQ_SR_DEBT</t>
  </si>
  <si>
    <t>IQ_TOTAL_SUB_DEBT</t>
  </si>
  <si>
    <t>IQ_SR_SUB_DEBT</t>
  </si>
  <si>
    <t>IQ_SUB_DEBT</t>
  </si>
  <si>
    <t>IQ_JR_SUB_DEBT</t>
  </si>
  <si>
    <t>IQ_CONVERT</t>
  </si>
  <si>
    <t>Total Senior Debt</t>
  </si>
  <si>
    <t>Total Sub. Debt</t>
  </si>
  <si>
    <t>Sr. Sub. Debt</t>
  </si>
  <si>
    <t>Sub. Debt</t>
  </si>
  <si>
    <t>Jr. Sub. Debt</t>
  </si>
  <si>
    <t>Convertible Debt - Total</t>
  </si>
  <si>
    <t>IQ_SR_DEBT_PCT</t>
  </si>
  <si>
    <t>IQ_TOTAL_SUB_DEBT_PCT</t>
  </si>
  <si>
    <t>IQ_SR_SUB_DEBT_PCT</t>
  </si>
  <si>
    <t>IQ_SUB_DEBT_PCT</t>
  </si>
  <si>
    <t>IQ_JR_SUB_DEBT_PCT</t>
  </si>
  <si>
    <t>IQ_CONVERT_PCT</t>
  </si>
  <si>
    <t>IQ_ST_DEBT_PCT</t>
  </si>
  <si>
    <t>IQ_CURRENT_LONG_TERM_DEBT_AND_CAPITAL_LEASES</t>
  </si>
  <si>
    <t>IQ_LT_DEBT_CAPITAL_LEASES</t>
  </si>
  <si>
    <t>IQ_BANK_DEBT</t>
  </si>
  <si>
    <t>IQ_SECURED_DEBT</t>
  </si>
  <si>
    <t>IQ_SR_SECURED_LOANS</t>
  </si>
  <si>
    <t>IQ_SR_SECURED_BONDS_NOTES</t>
  </si>
  <si>
    <t>IQ_TOTAL_SR_SECURED</t>
  </si>
  <si>
    <t>IQ_UNSECURED_DEBT</t>
  </si>
  <si>
    <t>IQ_SR_UNSECURED_BONDS_NOTES</t>
  </si>
  <si>
    <t>IQ_SECURITIZED_DEBT</t>
  </si>
  <si>
    <t>IQ_SECOND_LIEN_LOANS</t>
  </si>
  <si>
    <t>IQ_SECOND_LIEN_BONDS_NOTES</t>
  </si>
  <si>
    <t>IQ_SECOND_LIEN_DEBT</t>
  </si>
  <si>
    <t>IQ_NONRECOURSE_DEBT</t>
  </si>
  <si>
    <t>IQ_TRUST_PREFERRED</t>
  </si>
  <si>
    <t>IQ_FIXED_RATE_DEBT</t>
  </si>
  <si>
    <t>IQ_ZERO_COUPON_DEBT</t>
  </si>
  <si>
    <t>IQ_HEDGING_AND_DERIV_ADJ</t>
  </si>
  <si>
    <t>IQ_VARIABLE_RATE_DEBT</t>
  </si>
  <si>
    <t>Current Long Term Debt and Capital Leases</t>
  </si>
  <si>
    <t>Long-Term Debt (Incl. Cap. Leases)</t>
  </si>
  <si>
    <t>Total Bank Debt</t>
  </si>
  <si>
    <t>Secured Debt</t>
  </si>
  <si>
    <t>Senior Secured Loans</t>
  </si>
  <si>
    <t>Senior Secured Bonds and Notes</t>
  </si>
  <si>
    <t>Total Senior Secured Debt</t>
  </si>
  <si>
    <t>Unsecured Debt</t>
  </si>
  <si>
    <t>Senior Unsecured Bonds and Notes</t>
  </si>
  <si>
    <t>Securitized Debt</t>
  </si>
  <si>
    <t>Second Lien Loans</t>
  </si>
  <si>
    <t>Second Lien Bonds and Notes</t>
  </si>
  <si>
    <t>Second Lien Debt</t>
  </si>
  <si>
    <t>Non - Recourse Debt</t>
  </si>
  <si>
    <t>Total Trust Preferred</t>
  </si>
  <si>
    <t>Fixed Rate Debt</t>
  </si>
  <si>
    <t>Zero Coupon Debt</t>
  </si>
  <si>
    <t>Hedging and Derivative Adjustments</t>
  </si>
  <si>
    <t>Variable Rate Debt</t>
  </si>
  <si>
    <t>IQ_CURRENT_PORT_PCT</t>
  </si>
  <si>
    <t>IQ_LT_DEBT_CAPITAL_LEASES_PCT</t>
  </si>
  <si>
    <t>IQ_BANK_DEBT_PCT</t>
  </si>
  <si>
    <t>IQ_SECURED_DEBT_PCT</t>
  </si>
  <si>
    <t>IQ_SR_SECURED_LOANS_PCT</t>
  </si>
  <si>
    <t>IQ_SR_SECURED_BONDS_NOTES_PCT</t>
  </si>
  <si>
    <t>IQ_TOTAL_SR_SECURED_PCT</t>
  </si>
  <si>
    <t>IQ_UNSECURED_DEBT_PCT</t>
  </si>
  <si>
    <t>IQ_SR_UNSECURED_BONDS_NOTES_PCT</t>
  </si>
  <si>
    <t>IQ_SECURITIZED_DEBT_PCT</t>
  </si>
  <si>
    <t>IQ_SECOND_LIEN_LOANS_PCT</t>
  </si>
  <si>
    <t>IQ_SECOND_LIEN_BONDS_NOTES_PCT</t>
  </si>
  <si>
    <t>IQ_SECOND_LIEN_DEBT_PCT</t>
  </si>
  <si>
    <t>IQ_NONRECOURSE_DEBT_PCT</t>
  </si>
  <si>
    <t>IQ_TRUST_PREFERRED_PCT</t>
  </si>
  <si>
    <t>IQ_FIXED_RATE_DEBT_PCT</t>
  </si>
  <si>
    <t>IQ_ZERO_COUPON_DEBT_PCT</t>
  </si>
  <si>
    <t>IQ_VARIABLE_RATE_DEBT_PCT</t>
  </si>
  <si>
    <t>IQ_HEDGING_ACTIVITIES_PCT</t>
  </si>
  <si>
    <t>IQ_DEBT_TO_EBITDA</t>
  </si>
  <si>
    <t>IQ_TOTAL_DEBT_EBITDA_CAPEX</t>
  </si>
  <si>
    <t>IQ_NET_DEBT_EBITDA</t>
  </si>
  <si>
    <t>IQ_NET_DEBT_EBITDA_CAPEX</t>
  </si>
  <si>
    <t>IQ_SR_DEBT_EBITDA</t>
  </si>
  <si>
    <t>IQ_SR_DEBT_EBITDA_CAPEX</t>
  </si>
  <si>
    <t>IQ_TOTAL_SR_SECURED_EBITDA</t>
  </si>
  <si>
    <t>IQ_TOTAL_SR_SECURED_EBITDA_CAPEX</t>
  </si>
  <si>
    <t>IQ_TOTAL_SUB_DEBT_EBITDA</t>
  </si>
  <si>
    <t>IQ_TOTAL_SUB_DEBT_EBITDA_CAPEX</t>
  </si>
  <si>
    <t>IQ_SR_SUB_DEBT_EBITDA</t>
  </si>
  <si>
    <t>IQ_SR_SUB_DEBT_EBITDA_CAPEX</t>
  </si>
  <si>
    <t>IQ_SUB_DEBT_EBITDA</t>
  </si>
  <si>
    <t>IQ_SUB_DEBT_EBITDA_CAPEX</t>
  </si>
  <si>
    <t>IQ_JR_SUB_DEBT_EBITDA</t>
  </si>
  <si>
    <t>IQ_JR_SUB_DEBT_EBITDA_CAPEX</t>
  </si>
  <si>
    <t>IQ_LTD_DUE_CY</t>
  </si>
  <si>
    <t>IQ_LTD_DUE_CY1</t>
  </si>
  <si>
    <t>IQ_LTD_DUE_CY2</t>
  </si>
  <si>
    <t>IQ_LTD_DUE_CY3</t>
  </si>
  <si>
    <t>IQ_LTD_DUE_CY4</t>
  </si>
  <si>
    <t>IQ_LTD_DUE_NEXT_FIVE</t>
  </si>
  <si>
    <t>IQ_LTD_DUE_AFTER_FIVE</t>
  </si>
  <si>
    <t>IQ_CL_DUE_CY</t>
  </si>
  <si>
    <t>IQ_CL_DUE_CY1</t>
  </si>
  <si>
    <t>IQ_CL_DUE_CY2</t>
  </si>
  <si>
    <t>IQ_CL_DUE_CY3</t>
  </si>
  <si>
    <t>IQ_CL_DUE_CY4</t>
  </si>
  <si>
    <t>IQ_CL_DUE_NEXT_FIVE</t>
  </si>
  <si>
    <t>IQ_CL_DUE_AFTER_FIVE</t>
  </si>
  <si>
    <t>IQ_OL_COMM_CY</t>
  </si>
  <si>
    <t>IQ_OL_COMM_CY1</t>
  </si>
  <si>
    <t>IQ_OL_COMM_CY2</t>
  </si>
  <si>
    <t>IQ_OL_COMM_CY3</t>
  </si>
  <si>
    <t>IQ_OL_COMM_CY4</t>
  </si>
  <si>
    <t>IQ_OL_COMM_NEXT_FIVE</t>
  </si>
  <si>
    <t>IQ_OL_COMM_AFTER_FIVE</t>
  </si>
  <si>
    <t>IQ_SUB_LEASE_INC_CY</t>
  </si>
  <si>
    <t>IQ_SUB_LEASE_INC_CY1</t>
  </si>
  <si>
    <t>IQ_SUB_LEASE_INC_CY2</t>
  </si>
  <si>
    <t>IQ_SUB_LEASE_INC_CY3</t>
  </si>
  <si>
    <t>IQ_SUB_LEASE_INC_CY4</t>
  </si>
  <si>
    <t>IQ_SUB_LEASE_NEXT_FIVE</t>
  </si>
  <si>
    <t>IQ_SUB_LEASE_AFTER_FIVE</t>
  </si>
  <si>
    <t>IQ_CONTRACT_OBLIGATION_CY</t>
  </si>
  <si>
    <t>IQ_CONTRACT_OBLIGATION_CY1</t>
  </si>
  <si>
    <t>IQ_CONTRACT_OBLIGATION_CY2</t>
  </si>
  <si>
    <t>IQ_CONTRACT_OBLIGATION_CY3</t>
  </si>
  <si>
    <t>IQ_CONTRACT_OBLIGATION_CY4</t>
  </si>
  <si>
    <t>IQ_CONTRACT_OBLIGATION_NEXT_FIVE</t>
  </si>
  <si>
    <t>IQ_CONTRACT_OBLIGATION_AFTER_FIVE</t>
  </si>
  <si>
    <t>Total Debt / EBITDA (x)</t>
  </si>
  <si>
    <t>Total Debt/(EBITDA-CAPEX) (x)</t>
  </si>
  <si>
    <t>Net Debt / EBITDA (x)</t>
  </si>
  <si>
    <t>Net Debt/(EBITDA-CAPEX) (x)</t>
  </si>
  <si>
    <t>Senior Debt / EBITDA (x)</t>
  </si>
  <si>
    <t>Senior Debt / (EBITDA - Capex) (x)</t>
  </si>
  <si>
    <t>Total Senior Secured/EBITDA (x)</t>
  </si>
  <si>
    <t>Total Senior Secured/(EBITDA-CAPEX) (x)</t>
  </si>
  <si>
    <t>Total Sub. Debt / EBITDA (x)</t>
  </si>
  <si>
    <t>Total Sub. Debt / (EBITDA - Capex) (x)</t>
  </si>
  <si>
    <t>Sr. Sub. Debt / EBITDA (x)</t>
  </si>
  <si>
    <t>Sr. Sub. Debt / (EBITDA - Capex) (x)</t>
  </si>
  <si>
    <t>Sub. Debt / EBITDA (x)</t>
  </si>
  <si>
    <t>Sub. Debt / (EBITDA - Capex) (x)</t>
  </si>
  <si>
    <t>Jr. Sub Debt / EBITDA (x)</t>
  </si>
  <si>
    <t>Jr. Sub Debt / (EBITDA - Capex) (x)</t>
  </si>
  <si>
    <t>IQ_WTD_AVG_IR_LT_DEBT</t>
  </si>
  <si>
    <t>IQ_WTD_AVG_IR_TOTAL_DEBT</t>
  </si>
  <si>
    <t>IQ_WTD_AVG_IR_CY</t>
  </si>
  <si>
    <t>IQ_WTD_AVG_IR_CY1</t>
  </si>
  <si>
    <t>IQ_WTD_AVG_IR_CY2</t>
  </si>
  <si>
    <t>IQ_WTD_AVG_IR_CY3</t>
  </si>
  <si>
    <t>IQ_WTD_AVG_IR_CY4</t>
  </si>
  <si>
    <t>IQ_WTD_AVG_IR_AFTER_FIVE</t>
  </si>
  <si>
    <t>IQ_ROA</t>
  </si>
  <si>
    <t>IQ_ROC</t>
  </si>
  <si>
    <t>IQ_ROE</t>
  </si>
  <si>
    <t>IQ_ROCE</t>
  </si>
  <si>
    <t>IQ_GROSS_MARGIN</t>
  </si>
  <si>
    <t>IQ_SGA_MARGIN</t>
  </si>
  <si>
    <t>IQ_EBITDA_MARGIN</t>
  </si>
  <si>
    <t>IQ_EBITA_MARGIN</t>
  </si>
  <si>
    <t>IQ_EBIT_MARGIN</t>
  </si>
  <si>
    <t>IQ_EARNING_CO_MARGIN</t>
  </si>
  <si>
    <t>IQ_NI_MARGIN</t>
  </si>
  <si>
    <t>IQ_NI_AVAIL_EXCL_MARGIN</t>
  </si>
  <si>
    <t>IQ_NI_NORM_MARGIN</t>
  </si>
  <si>
    <t>IQ_LFCF_MARGIN</t>
  </si>
  <si>
    <t>IQ_UFCF_MARGIN</t>
  </si>
  <si>
    <t>Return on Assets (%)</t>
  </si>
  <si>
    <t>Return on Capital (%)</t>
  </si>
  <si>
    <t>Return on Equity (%)</t>
  </si>
  <si>
    <t>Return on Common Equity (%)</t>
  </si>
  <si>
    <t>Gross Profit Margin (%)</t>
  </si>
  <si>
    <t>SG&amp;A Margin (%)</t>
  </si>
  <si>
    <t>EBITDA Margin (%)</t>
  </si>
  <si>
    <t>EBITA Margin (%)</t>
  </si>
  <si>
    <t>EBIT Margin (%)</t>
  </si>
  <si>
    <t>Earnings from Cont Ops Margin (%)</t>
  </si>
  <si>
    <t>Net Income Margin (%)</t>
  </si>
  <si>
    <t>Net Inc. Avail. for Common Margin (%)</t>
  </si>
  <si>
    <t>Normalized Net Income Margin (%)</t>
  </si>
  <si>
    <t>Levered Free Cash Flow Margin (%)</t>
  </si>
  <si>
    <t>Unlevered Free Cash Flow Margin (%)</t>
  </si>
  <si>
    <t>PROFITABILITY</t>
  </si>
  <si>
    <t>MARGIN ANALYSIS</t>
  </si>
  <si>
    <t>ASSET TURNOVER</t>
  </si>
  <si>
    <t>Total Asset Turnover (x)</t>
  </si>
  <si>
    <t>IQ_ASSET_TURNS</t>
  </si>
  <si>
    <t>Fixed Asset Turnover (x)</t>
  </si>
  <si>
    <t>IQ_FIXED_ASSET_TURNS</t>
  </si>
  <si>
    <t>Accounts Receivable Turnover (x)</t>
  </si>
  <si>
    <t>IQ_AR_TURNS</t>
  </si>
  <si>
    <t>Inventory Turnover (x)</t>
  </si>
  <si>
    <t>IQ_INVENTORY_TURNS</t>
  </si>
  <si>
    <t>SHORT-TERM LIQUIDITY</t>
  </si>
  <si>
    <t>Current Ratio (x)</t>
  </si>
  <si>
    <t>IQ_CURRENT_RATIO</t>
  </si>
  <si>
    <t>Quick Ratio (x)</t>
  </si>
  <si>
    <t>IQ_QUICK_RATIO</t>
  </si>
  <si>
    <t>Cash from Operations to Current Liabilities (x)</t>
  </si>
  <si>
    <t>IQ_CFO_CURRENT_LIAB</t>
  </si>
  <si>
    <t>Avg. Days Sales Outstanding</t>
  </si>
  <si>
    <t>IQ_DAYS_SALES_OUT</t>
  </si>
  <si>
    <t>Avg. Days Inventory Outstanding</t>
  </si>
  <si>
    <t>IQ_DAYS_INVENTORY_OUT</t>
  </si>
  <si>
    <t>Avg. Days Payable Outstanding</t>
  </si>
  <si>
    <t>IQ_DAYS_PAYABLE_OUT</t>
  </si>
  <si>
    <t>Avg. Cash Conversion Cycle</t>
  </si>
  <si>
    <t>IQ_CASH_CONVERSION</t>
  </si>
  <si>
    <t>LONG-TERM SOLVENCY</t>
  </si>
  <si>
    <t>Total Debt / Equity (%)</t>
  </si>
  <si>
    <t>IQ_DEBT_TO_EQUITY</t>
  </si>
  <si>
    <t>Total Debt / Capital (%)</t>
  </si>
  <si>
    <t>IQ_DEBT_TO_CAPITAL</t>
  </si>
  <si>
    <t>LT Debt / Equity (%)</t>
  </si>
  <si>
    <t>LT Debt / Capital (%)</t>
  </si>
  <si>
    <t>Total Liabilities / Total Assets (%)</t>
  </si>
  <si>
    <t>EBIT / Interest Expense (x)</t>
  </si>
  <si>
    <t>IQ_EBIT_INT</t>
  </si>
  <si>
    <t>EBITDA / Interest Expense (x)</t>
  </si>
  <si>
    <t>IQ_EBITDA_INT</t>
  </si>
  <si>
    <t>(EBITDA-CAPEX) / Interest Expense (x)</t>
  </si>
  <si>
    <t>Total Debt / (EBITDA-CAPEX) (x)</t>
  </si>
  <si>
    <t>Net Debt / (EBITDA-CAPEX) (x)</t>
  </si>
  <si>
    <t>DEBT SUMMARY DATA</t>
  </si>
  <si>
    <t>CREDIT RATIOS</t>
  </si>
  <si>
    <t>FIXED PAYMENT SCHEDULE</t>
  </si>
  <si>
    <t>INTEREST RATE DATA</t>
  </si>
  <si>
    <t>INCOME STATEMENT</t>
  </si>
  <si>
    <t>GROWTH OVER PRIOR YEAR</t>
  </si>
  <si>
    <t>IQ_GP_1YR_ANN_GROWTH</t>
  </si>
  <si>
    <t>IQ_EBITDA_1YR_ANN_GROWTH</t>
  </si>
  <si>
    <t>IQ_EBITA_1YR_ANN_GROWTH</t>
  </si>
  <si>
    <t>IQ_EBIT_1YR_ANN_GROWTH</t>
  </si>
  <si>
    <t>IQ_EARNING_CO_1YR_ANN_GROWTH</t>
  </si>
  <si>
    <t>IQ_NI_1YR_ANN_GROWTH</t>
  </si>
  <si>
    <t>IQ_NI_NORM_1YR_ANN_GROWTH</t>
  </si>
  <si>
    <t>IQ_ACCT_RECV_1YR_ANN_GROWTH</t>
  </si>
  <si>
    <t>IQ_INV_1YR_ANN_GROWTH</t>
  </si>
  <si>
    <t>IQ_NPPE_1YR_ANN_GROWTH</t>
  </si>
  <si>
    <t>IQ_TOTAL_ASSETS_1YR_ANN_GROWTH</t>
  </si>
  <si>
    <t>IQ_TBV_1YR_ANN_GROWTH</t>
  </si>
  <si>
    <t>IQ_COMMON_EQUITY_1YR_ANN_GROWTH</t>
  </si>
  <si>
    <t>IQ_CFO_1YR_ANN_GROWTH</t>
  </si>
  <si>
    <t>IQ_CAPEX_1YR_ANN_GROWTH</t>
  </si>
  <si>
    <t>IQ_LFCF_1YR_ANN_GROWTH</t>
  </si>
  <si>
    <t>IQ_UFCF_1YR_ANN_GROWTH</t>
  </si>
  <si>
    <t>IQ_DPS_1YR_ANN_GROWTH</t>
  </si>
  <si>
    <t>Total Revenues(%)</t>
  </si>
  <si>
    <t>Diluted EPS Before Extra(%)</t>
  </si>
  <si>
    <t>Total Assets(%)</t>
  </si>
  <si>
    <t>Gross Profit(%)</t>
  </si>
  <si>
    <t>EBITA (%)</t>
  </si>
  <si>
    <t>EBITDA (%)</t>
  </si>
  <si>
    <t>EBIT (%)</t>
  </si>
  <si>
    <t>Earnings From Cont. Operations (%)</t>
  </si>
  <si>
    <t>Net Income (%)</t>
  </si>
  <si>
    <t>Normalized Net Income (%)</t>
  </si>
  <si>
    <t>Accounts Receivable (%)</t>
  </si>
  <si>
    <t>Inventory (%)</t>
  </si>
  <si>
    <t>Net Property, Plant and Equip. (%)</t>
  </si>
  <si>
    <t>Tangible Book Value (%)</t>
  </si>
  <si>
    <t>Common Equity (%)</t>
  </si>
  <si>
    <t>Cash From Operations (%)</t>
  </si>
  <si>
    <t>Capital Expenditures (%)</t>
  </si>
  <si>
    <t>Levered Free Cash Flow (%)</t>
  </si>
  <si>
    <t>Unlevered Free Cash Flow (%)</t>
  </si>
  <si>
    <t>Dividend Per Share (%)</t>
  </si>
  <si>
    <t>COMPOUNDED ANNUAL GROWTH RATE OVER TWO YEARS</t>
  </si>
  <si>
    <t>IQ_TOTAL_REV_2YR_ANN_GROWTH</t>
  </si>
  <si>
    <t>IQ_GP_2YR_ANN_GROWTH</t>
  </si>
  <si>
    <t>IQ_EBITDA_2YR_ANN_GROWTH</t>
  </si>
  <si>
    <t>IQ_EBITA_2YR_ANN_GROWTH</t>
  </si>
  <si>
    <t>IQ_EBIT_2YR_ANN_GROWTH</t>
  </si>
  <si>
    <t>IQ_EARNING_CO_2YR_ANN_GROWTH</t>
  </si>
  <si>
    <t>IQ_NI_2YR_ANN_GROWTH</t>
  </si>
  <si>
    <t>IQ_NI_NORM_2YR_ANN_GROWTH</t>
  </si>
  <si>
    <t>IQ_EPS_2YR_ANN_GROWTH</t>
  </si>
  <si>
    <t>IQ_ACCT_RECV_2YR_ANN_GROWTH</t>
  </si>
  <si>
    <t>IQ_INV_2YR_ANN_GROWTH</t>
  </si>
  <si>
    <t>IQ_NPPE_2YR_ANN_GROWTH</t>
  </si>
  <si>
    <t>IQ_TOTAL_ASSETS_2YR_ANN_GROWTH</t>
  </si>
  <si>
    <t>IQ_TBV_2YR_ANN_GROWTH</t>
  </si>
  <si>
    <t>IQ_COMMON_EQUITY_2YR_ANN_GROWTH</t>
  </si>
  <si>
    <t>IQ_CFO_2YR_ANN_GROWTH</t>
  </si>
  <si>
    <t>IQ_CAPEX_2YR_ANN_GROWTH</t>
  </si>
  <si>
    <t>IQ_LFCF_2YR_ANN_GROWTH</t>
  </si>
  <si>
    <t>IQ_UFCF_2YR_ANN_GROWTH</t>
  </si>
  <si>
    <t>IQ_DPS_2YR_ANN_GROWTH</t>
  </si>
  <si>
    <t>COMPOUNDED ANNUAL GROWTH RATE OVER THREE YEARS</t>
  </si>
  <si>
    <t>IQ_TOTAL_REV_3YR_ANN_GROWTH</t>
  </si>
  <si>
    <t>IQ_GP_3YR_ANN_GROWTH</t>
  </si>
  <si>
    <t>IQ_EBITDA_3YR_ANN_GROWTH</t>
  </si>
  <si>
    <t>IQ_EBITA_3YR_ANN_GROWTH</t>
  </si>
  <si>
    <t>IQ_EBIT_3YR_ANN_GROWTH</t>
  </si>
  <si>
    <t>IQ_EARNING_CO_3YR_ANN_GROWTH</t>
  </si>
  <si>
    <t>IQ_NI_3YR_ANN_GROWTH</t>
  </si>
  <si>
    <t>IQ_NI_NORM_3YR_ANN_GROWTH</t>
  </si>
  <si>
    <t>IQ_EPS_3YR_ANN_GROWTH</t>
  </si>
  <si>
    <t>IQ_ACCT_RECV_3YR_ANN_GROWTH</t>
  </si>
  <si>
    <t>IQ_INV_3YR_ANN_GROWTH</t>
  </si>
  <si>
    <t>IQ_NPPE_3YR_ANN_GROWTH</t>
  </si>
  <si>
    <t>IQ_TOTAL_ASSETS_3YR_ANN_GROWTH</t>
  </si>
  <si>
    <t>IQ_TBV_3YR_ANN_GROWTH</t>
  </si>
  <si>
    <t>IQ_COMMON_EQUITY_3YR_ANN_GROWTH</t>
  </si>
  <si>
    <t>IQ_CFO_3YR_ANN_GROWTH</t>
  </si>
  <si>
    <t>IQ_CAPEX_3YR_ANN_GROWTH</t>
  </si>
  <si>
    <t>IQ_LFCF_3YR_ANN_GROWTH</t>
  </si>
  <si>
    <t>IQ_UFCF_3YR_ANN_GROWTH</t>
  </si>
  <si>
    <t>IQ_DPS_3YR_ANN_GROWTH</t>
  </si>
  <si>
    <t>COMPOUNDED ANNUAL GROWTH RATE OVER FIVE YEARS</t>
  </si>
  <si>
    <t>IQ_GP_5YR_ANN_GROWTH</t>
  </si>
  <si>
    <t>IQ_EBITDA_5YR_ANN_GROWTH</t>
  </si>
  <si>
    <t>IQ_EBITA_5YR_ANN_GROWTH</t>
  </si>
  <si>
    <t>IQ_EBIT_5YR_ANN_GROWTH</t>
  </si>
  <si>
    <t>IQ_EARNING_CO_5YR_ANN_GROWTH</t>
  </si>
  <si>
    <t>IQ_NI_5YR_ANN_GROWTH</t>
  </si>
  <si>
    <t>IQ_NI_NORM_5YR_ANN_GROWTH</t>
  </si>
  <si>
    <t>IQ_EPS_5YR_ANN_GROWTH</t>
  </si>
  <si>
    <t>IQ_ACCT_RECV_5YR_ANN_GROWTH</t>
  </si>
  <si>
    <t>IQ_INV_5YR_ANN_GROWTH</t>
  </si>
  <si>
    <t>IQ_NPPE_5YR_ANN_GROWTH</t>
  </si>
  <si>
    <t>IQ_TOTAL_ASSETS_5YR_ANN_GROWTH</t>
  </si>
  <si>
    <t>IQ_TBV_5YR_ANN_GROWTH</t>
  </si>
  <si>
    <t>IQ_COMMON_EQUITY_5YR_ANN_GROWTH</t>
  </si>
  <si>
    <t>IQ_CFO_5YR_ANN_GROWTH</t>
  </si>
  <si>
    <t>IQ_CAPEX_5YR_ANN_GROWTH</t>
  </si>
  <si>
    <t>IQ_LFCF_5YR_ANN_GROWTH</t>
  </si>
  <si>
    <t>IQ_UFCF_5YR_ANN_GROWTH</t>
  </si>
  <si>
    <t>IQ_DPS_5YR_ANN_GROWTH</t>
  </si>
  <si>
    <t>IQ_TOTAL_REV_5YR_ANN_GROWTH</t>
  </si>
  <si>
    <t>IQ_LT_DEBT_TO_EQUITY</t>
  </si>
  <si>
    <t>IQ_LT_DEBT_TO_TOTAL_CAPITAL</t>
  </si>
  <si>
    <t>IQ_TOTAL_LIAB_TO_TOTAL_ASSETS</t>
  </si>
  <si>
    <t>IQ_EBITDA_CAPEX_TO_INT_EXP</t>
  </si>
  <si>
    <t>IQ_NOL_CF_1YR</t>
  </si>
  <si>
    <t>IQ_NOL_CF_2YR</t>
  </si>
  <si>
    <t>IQ_NOL_CF_3YR</t>
  </si>
  <si>
    <t>IQ_NOL_CF_4YR</t>
  </si>
  <si>
    <t>IQ_NOL_CF_5YR</t>
  </si>
  <si>
    <t>IQ_NOL_CF_AFTER_FIVE</t>
  </si>
  <si>
    <t>IQ_NOL_CF_NO_EXP</t>
  </si>
  <si>
    <t>IQ_NOL_CF_TOTAL</t>
  </si>
  <si>
    <t>IQ_MAX_YR_FOR_NOL_CARRY_FORWARD</t>
  </si>
  <si>
    <t>IQ_CAP_LOSS_CF_1YR</t>
  </si>
  <si>
    <t>IQ_CAP_LOSS_CF_2YR</t>
  </si>
  <si>
    <t>IQ_CAP_LOSS_CF_3YR</t>
  </si>
  <si>
    <t>IQ_CAP_LOSS_CF_4YR</t>
  </si>
  <si>
    <t>IQ_CAP_LOSS_CF_5YR</t>
  </si>
  <si>
    <t>IQ_CAP_LOSS_CF_AFTER_FIVE</t>
  </si>
  <si>
    <t>IQ_CAP_LOSS_CF_NO_EXP</t>
  </si>
  <si>
    <t>IQ_CAP_LOSS_CF_TOTAL</t>
  </si>
  <si>
    <t>IQ_MAX_YR_FOR_CAPITAL_LOSS_CARRY_FORWARD</t>
  </si>
  <si>
    <t>IQ_TAX_BENEFIT_CF_1YR</t>
  </si>
  <si>
    <t>IQ_TAX_BENEFIT_CF_2YR</t>
  </si>
  <si>
    <t>IQ_TAX_BENEFIT_CF_3YR</t>
  </si>
  <si>
    <t>IQ_TAX_BENEFIT_CF_4YR</t>
  </si>
  <si>
    <t>IQ_TAX_BENEFIT_CF_5YR</t>
  </si>
  <si>
    <t>IQ_TAX_BENEFIT_CF_AFTER_FIVE</t>
  </si>
  <si>
    <t>IQ_TAX_BENEFIT_CF_NO_EXP</t>
  </si>
  <si>
    <t>IQ_TAX_BENEFIT_CF_TOTAL</t>
  </si>
  <si>
    <t>IQ_MAX_YR_FOR_TAX_BENEFIT_CARRY_FORWARD</t>
  </si>
  <si>
    <t>IQ_UNRECOG_TAX_BENEFIT_BEG_PERIOD</t>
  </si>
  <si>
    <t>IQ_ADD_TAX_POSITIONS_CURRENT_YR</t>
  </si>
  <si>
    <t>IQ_REDUCTION_TAX_POSITION_CURRENT_YR</t>
  </si>
  <si>
    <t>IQ_ADD_TAX_POSITIONS_PRIOR_YRS</t>
  </si>
  <si>
    <t>IQ_REDUCTION_TAX_POSITION_PRIOR_YRS</t>
  </si>
  <si>
    <t>IQ_SETTLEMENTS_TAX_AUTHORITIES</t>
  </si>
  <si>
    <t>IQ_LAPSE_STATUTE_LIMITATIONS</t>
  </si>
  <si>
    <t>IQ_UNRECOG_TAX_BENEFIT_OTHER_ADJ</t>
  </si>
  <si>
    <t>IQ_UNRECOG_TAX_BENEFIT_END_PERIOD</t>
  </si>
  <si>
    <t>IQ_INTEREST_PENALTIES_RECOG_BS_PRE_TAX</t>
  </si>
  <si>
    <t>IQ_INTEREST_PENALTIES_RECOG_BS_AFTER_TAX</t>
  </si>
  <si>
    <t>IQ_CHANGE_UNRECOG_TAX_BENEFIT_1_YR_MIN</t>
  </si>
  <si>
    <t>IQ_CHANGE_UNRECOG_TAX_BENEFIT_1_YR_MAX</t>
  </si>
  <si>
    <t>IQ_IMPACT_UNRECOG_TAX_BENEFIT_EFFECTIVE_TAX</t>
  </si>
  <si>
    <t>OPTIONS AND WARRANTS</t>
  </si>
  <si>
    <t>IQ_OPTIONS_BEG_OS</t>
  </si>
  <si>
    <t>IQ_OPTIONS_GRANTED</t>
  </si>
  <si>
    <t>IQ_OPTIONS_EXERCISED</t>
  </si>
  <si>
    <t>IQ_OPTIONS_CANCELLED</t>
  </si>
  <si>
    <t>IQ_OPTIONS_END_OS</t>
  </si>
  <si>
    <t>IQ_OPTIONS_STRIKE_PRICE_OS</t>
  </si>
  <si>
    <t>IQ_OPTIONS_STRIKE_PRICE_GRANTED</t>
  </si>
  <si>
    <t>IQ_TOTAL_OPTIONS_BEG_OS</t>
  </si>
  <si>
    <t>IQ_TOTAL_OPTIONS_GRANTED</t>
  </si>
  <si>
    <t>IQ_TOTAL_OPTIONS_EXERCISED</t>
  </si>
  <si>
    <t>IQ_TOTAL_OPTIONS_CANCELLED</t>
  </si>
  <si>
    <t>IQ_TOTAL_OPTIONS_END_OS</t>
  </si>
  <si>
    <t>IQ_WARRANTS_BEG_OS</t>
  </si>
  <si>
    <t>IQ_WARRANTS_ISSUED</t>
  </si>
  <si>
    <t>IQ_WARRANTS_EXERCISED</t>
  </si>
  <si>
    <t>IQ_WARRANTS_CANCELLED</t>
  </si>
  <si>
    <t>IQ_WARRANTS_END_OS</t>
  </si>
  <si>
    <t>IQ_WARRANTS_STRIKE_PRICE_OS</t>
  </si>
  <si>
    <t>IQ_WARRANTS_STRIKE_PRICE_ISSUED</t>
  </si>
  <si>
    <t>IQ_TOTAL_WARRANTS_BEG_OS</t>
  </si>
  <si>
    <t>IQ_TOTAL_WARRANTS_ISSUED</t>
  </si>
  <si>
    <t>IQ_TOTAL_WARRANTS_EXERCISED</t>
  </si>
  <si>
    <t>IQ_TOTAL_WARRANTS_CANCELLED</t>
  </si>
  <si>
    <t>IQ_TOTAL_WARRANTS_END_OS</t>
  </si>
  <si>
    <t>SUPPLEMENTAL ITEMS</t>
  </si>
  <si>
    <t>LOSS CARRY FORWARD ITEMS</t>
  </si>
  <si>
    <t xml:space="preserve">Max. Year for NOL Carry Forward </t>
  </si>
  <si>
    <t xml:space="preserve">Max. Year for Capital Loss Carry Forward </t>
  </si>
  <si>
    <t xml:space="preserve">Max. Year for Tax Benefit Carry Forward </t>
  </si>
  <si>
    <t>Options Out. at the Begin of Period, Common Stock (actual)</t>
  </si>
  <si>
    <t>Options Granted During the Period, Common Stock (actual)</t>
  </si>
  <si>
    <t>Options Exercised During the Period, Common Stock (actual)</t>
  </si>
  <si>
    <t>Options Cancelled During the Period, Common Stock (actual)</t>
  </si>
  <si>
    <t>Options Out. at the End of Period, Common Stock (actual)</t>
  </si>
  <si>
    <t>Options Out. at the Beginning of the Period, Total (actual)</t>
  </si>
  <si>
    <t>Options Granted During the Period, Total (actual)</t>
  </si>
  <si>
    <t>Options Exercised During the Period, Total (actual)</t>
  </si>
  <si>
    <t>Options Cancelled During the Period, Total (actual)</t>
  </si>
  <si>
    <t>Options Out. at the End of the Period, Total (actual)</t>
  </si>
  <si>
    <t>Warrants Out. at the Beginning of the Period (actual)</t>
  </si>
  <si>
    <t>Warrants Issued During the Period (actual)</t>
  </si>
  <si>
    <t>Warrants Exercised During the Period (actual)</t>
  </si>
  <si>
    <t>Warrants Cancelled During the Period (actual)</t>
  </si>
  <si>
    <t>Warrants Out. at the End of the Period (actual)</t>
  </si>
  <si>
    <t>Warrants Out. at the Begin of the Period, Total (actual)</t>
  </si>
  <si>
    <t>Warrants Issued During the Period, Total (actual)</t>
  </si>
  <si>
    <t>Warrants Exercised During the Period, Total (actual)</t>
  </si>
  <si>
    <t>Warrants Cancelled During the Period, Total (actual)</t>
  </si>
  <si>
    <t>Warrants Out. at the End of the Period, Total (actual)</t>
  </si>
  <si>
    <t xml:space="preserve">NOL Carryforward, Current Year </t>
  </si>
  <si>
    <t xml:space="preserve">NOL Carryforward, Current Year + 1 </t>
  </si>
  <si>
    <t xml:space="preserve">NOL Carryforward, Current Year + 2 </t>
  </si>
  <si>
    <t xml:space="preserve">NOL Carryforward, Current Year + 3 </t>
  </si>
  <si>
    <t xml:space="preserve">NOL Carryforward, Current Year + 4 </t>
  </si>
  <si>
    <t xml:space="preserve">NOL Carryforward, After Five Years </t>
  </si>
  <si>
    <t xml:space="preserve">NOL Carryforward, No Expiration </t>
  </si>
  <si>
    <t xml:space="preserve">Total NOL Carryforward </t>
  </si>
  <si>
    <t xml:space="preserve">Capital Loss Carryforward, Current Year </t>
  </si>
  <si>
    <t xml:space="preserve">Capital Loss Carryforward, Current Year + 1 </t>
  </si>
  <si>
    <t xml:space="preserve">Capital Loss Carryforward, Current Year + 2 </t>
  </si>
  <si>
    <t xml:space="preserve">Capital Loss Carryforward, Current Year + 3 </t>
  </si>
  <si>
    <t xml:space="preserve">Capital Loss Carryforward, Current Year + 4 </t>
  </si>
  <si>
    <t xml:space="preserve">Capital Loss Carryforward, After Five Years </t>
  </si>
  <si>
    <t xml:space="preserve">Capital Loss Carryforward, No Expiration </t>
  </si>
  <si>
    <t xml:space="preserve">Total Capital Loss Carryforward </t>
  </si>
  <si>
    <t xml:space="preserve">Tax Benefit Carryforward, Current Year </t>
  </si>
  <si>
    <t xml:space="preserve">Tax Benefit Carryforward, Current Year + 1 </t>
  </si>
  <si>
    <t xml:space="preserve">Tax Benefit Carryforward, Current Year + 2 </t>
  </si>
  <si>
    <t xml:space="preserve">Tax Benefit Carryforward, Current Year + 3 </t>
  </si>
  <si>
    <t xml:space="preserve">Tax Benefit Carryforward, Current Year + 4 </t>
  </si>
  <si>
    <t xml:space="preserve">Tax Benefit Carryforward, After Five Years </t>
  </si>
  <si>
    <t xml:space="preserve">Tax Benefit Carryforward, No Expiration </t>
  </si>
  <si>
    <t xml:space="preserve">Total Tax Benefit Carryforward </t>
  </si>
  <si>
    <t xml:space="preserve">Unrecog. Tax Benefits, Beginning of the Period </t>
  </si>
  <si>
    <t xml:space="preserve">Additions Based on Tax Positions - Current Yr. </t>
  </si>
  <si>
    <t xml:space="preserve">Reductions Based on Tax Positions - Current Yr. </t>
  </si>
  <si>
    <t xml:space="preserve">Additions for Tax Positions - Prior Yrs </t>
  </si>
  <si>
    <t xml:space="preserve">Reductions for Tax Positions - Prior Yrs </t>
  </si>
  <si>
    <t xml:space="preserve">Settlements with Tax Authorities </t>
  </si>
  <si>
    <t xml:space="preserve">Lapse of Statute of Limitations </t>
  </si>
  <si>
    <t xml:space="preserve">Unrecog. Tax Benefits - Other Adj. </t>
  </si>
  <si>
    <t xml:space="preserve">Unrecog. Tax Benefits, End of the Period </t>
  </si>
  <si>
    <t xml:space="preserve">Interest and Penalties Recog. on BS - Before Tax </t>
  </si>
  <si>
    <t xml:space="preserve">Interest and Penalties Recog. on BS - After Tax </t>
  </si>
  <si>
    <t xml:space="preserve">Changes in Unrecog. Tax Benefit w/in 1 Year - Min </t>
  </si>
  <si>
    <t xml:space="preserve">Changes in Unrecog. Tax Benefit w/in 1 Year - Max </t>
  </si>
  <si>
    <t xml:space="preserve">Unrecog. Tax Benefit Impacting Effective Tax Rate </t>
  </si>
  <si>
    <t>IQ_AUM_OTHER</t>
  </si>
  <si>
    <t>IQ_AUM</t>
  </si>
  <si>
    <t>IQ_AUM_INFLOWS</t>
  </si>
  <si>
    <t>IQ_AUM_OUTFLOWS</t>
  </si>
  <si>
    <t>Mutual Fund - Sales</t>
  </si>
  <si>
    <t>IQ_MUTUAL_FUND_SALES</t>
  </si>
  <si>
    <t>Mutual Fund - Redemptions</t>
  </si>
  <si>
    <t>IQ_MUTUAL_FUND_REDEMPTIONS</t>
  </si>
  <si>
    <t>Mutual Fund - Net Sales</t>
  </si>
  <si>
    <t>IQ_MUTUAL_FUND_NET_SALES</t>
  </si>
  <si>
    <t>Net New Client Assets</t>
  </si>
  <si>
    <t>IQ_NET_NEW_CLIENT_ASSETS</t>
  </si>
  <si>
    <t>Average Revenue Per Trade</t>
  </si>
  <si>
    <t>IQ_AVG_REV_PER_TRADE</t>
  </si>
  <si>
    <t>Assets Under Administration</t>
  </si>
  <si>
    <t>IQ_ASSETS_UNDER_ADMINISTRATION</t>
  </si>
  <si>
    <t>Assets under Cap. Lease, Accum. Depr.</t>
  </si>
  <si>
    <t>IQ_ASSETS_CAP_LEASE_DEPR</t>
  </si>
  <si>
    <t>Assets under Capital Lease - Gross</t>
  </si>
  <si>
    <t>IQ_ASSETS_CAP_LEASE_GROSS</t>
  </si>
  <si>
    <t>Assets on Oper. Lease, Accum. Depr.</t>
  </si>
  <si>
    <t>IQ_ASSETS_OPER_LEASE_DEPR</t>
  </si>
  <si>
    <t>Assets on Operating Lease - Gross</t>
  </si>
  <si>
    <t>IQ_ASSETS_OPER_LEASE_GROSS</t>
  </si>
  <si>
    <t>Interest Capitalized, Beg. Of Period</t>
  </si>
  <si>
    <t>IQ_CAPITALIZED_INTEREST_BOP</t>
  </si>
  <si>
    <t>Interest Capitalized, Expensed</t>
  </si>
  <si>
    <t>IQ_CAPITALIZED_INTEREST_EXP</t>
  </si>
  <si>
    <t>Interest Capitalized, Written-off</t>
  </si>
  <si>
    <t>IQ_CAPITALIZED_INTEREST_WRITE_OFF</t>
  </si>
  <si>
    <t>Interest Capitalized, Other Adj.</t>
  </si>
  <si>
    <t>IQ_CAPITALIZED_INTEREST_OTHER_ADJ</t>
  </si>
  <si>
    <t>Interest Capitalized, End Of Period</t>
  </si>
  <si>
    <t>IQ_CAPITALIZED_INTEREST_EOP</t>
  </si>
  <si>
    <t>ASSETS UNDER MANAGEMENT</t>
  </si>
  <si>
    <t>Defined Benefit Net Periodic Cost</t>
  </si>
  <si>
    <t>Def. Benefit Service Cost</t>
  </si>
  <si>
    <t>Def. Benefit Interest Cost</t>
  </si>
  <si>
    <t>Def. Benefit Return on Assets</t>
  </si>
  <si>
    <t>Def. Benefit Other Cost</t>
  </si>
  <si>
    <t>Def. Benefit Total Cost</t>
  </si>
  <si>
    <t>Def. Benefit Total Cost of Supple Plans</t>
  </si>
  <si>
    <t>Def. Contribution Cost</t>
  </si>
  <si>
    <t>Total Pension Expense</t>
  </si>
  <si>
    <t>Defined Benefit Obligation</t>
  </si>
  <si>
    <t>Beg. Def. Benefit Obligation</t>
  </si>
  <si>
    <t xml:space="preserve">Def. Benefit Service Cost </t>
  </si>
  <si>
    <t>Def. Benefit Employee Contributions</t>
  </si>
  <si>
    <t>Def. Benefit Actuarial Gain/Losses</t>
  </si>
  <si>
    <t xml:space="preserve">Def. Benefits Paid </t>
  </si>
  <si>
    <t>Foreign Exchange Adj.</t>
  </si>
  <si>
    <t>Acq. Benefit Obligation</t>
  </si>
  <si>
    <t>Def. Benefit Settlement/Curtailment</t>
  </si>
  <si>
    <t>Other Adj. To Def. Benefit Obligation</t>
  </si>
  <si>
    <t>Proj. Benefit Obligation</t>
  </si>
  <si>
    <t>Accum. Benefit Obligation (Pension)</t>
  </si>
  <si>
    <t>Plan Assets</t>
  </si>
  <si>
    <t>Beg. Plan Assets</t>
  </si>
  <si>
    <t>Actual Return on Plan Assets</t>
  </si>
  <si>
    <t>Employer Contributions</t>
  </si>
  <si>
    <t>Participant Contributions</t>
  </si>
  <si>
    <t>Benefits Paid</t>
  </si>
  <si>
    <t>Foreign Exchange Adjustments</t>
  </si>
  <si>
    <t>Acquired Plan Assets</t>
  </si>
  <si>
    <t>Plan Settlement/Curtailment</t>
  </si>
  <si>
    <t>Other Plan Adjustments</t>
  </si>
  <si>
    <t>Total Plan Assets</t>
  </si>
  <si>
    <t>Weighted Avg. Assumptions on Net Periodic Cost</t>
  </si>
  <si>
    <t>Net Periodic Cost Disc. Rate - Min (%)</t>
  </si>
  <si>
    <t>Net Periodic Cost Disc. Rate - Max (%)</t>
  </si>
  <si>
    <t>Rate of Comp. Increase - Min (%)</t>
  </si>
  <si>
    <t>Rate of Comp. Increase - Max (%)</t>
  </si>
  <si>
    <t>Exp. Long-Term Rate of Return on Assets - Min (%)</t>
  </si>
  <si>
    <t>Exp. Long-Term Rate of Return on Assets - Max (%)</t>
  </si>
  <si>
    <t>Breakdown of Plan Assets</t>
  </si>
  <si>
    <t>Plan Assets - Equities (%)</t>
  </si>
  <si>
    <t>Plan Assets - Fixed Income (%)</t>
  </si>
  <si>
    <t>Plan Assets- Real Estate (%)</t>
  </si>
  <si>
    <t>Other Plan Assets (%)</t>
  </si>
  <si>
    <t>Plan Assets - Equities</t>
  </si>
  <si>
    <t>Plan Assets - Fixed Income</t>
  </si>
  <si>
    <t>Plan Assets- Real Estate</t>
  </si>
  <si>
    <t>Other Plan Assets</t>
  </si>
  <si>
    <t>Breakdown of Amounts recognized in Other Comprehensive Income in BS</t>
  </si>
  <si>
    <t>Net Actuarial Loss/Gain – Compr. Inc.</t>
  </si>
  <si>
    <t>Prior Service Cost/Benefit – Compr. Inc.</t>
  </si>
  <si>
    <t>Transition Asset/Obligation – Compr. Inc.</t>
  </si>
  <si>
    <t>Other Misc. Adj. – Compr. Inc.</t>
  </si>
  <si>
    <t>Net Amount Recognized – Compr. Inc.</t>
  </si>
  <si>
    <t>Expected to be recognized as components of net periodic benefit cost in the next year</t>
  </si>
  <si>
    <t>Prior Service Cost/Benefit Recog. Next Period</t>
  </si>
  <si>
    <t>Net Actuarial Loss/Gain Recog. Next Period</t>
  </si>
  <si>
    <t>Transition Asset/Obligation Recog. Next Period</t>
  </si>
  <si>
    <t>Total Amount to be Recognized Next Period</t>
  </si>
  <si>
    <t>Weighted Avg. Assumptions on Def. Benefit Obligation</t>
  </si>
  <si>
    <t>PBO Assumed Rate of Return - Min (%)</t>
  </si>
  <si>
    <t>PBO Assumed Rate of Return - Max (%)</t>
  </si>
  <si>
    <t>Rate of PBO Compensation Increase - Min (%)</t>
  </si>
  <si>
    <t>Rate of PBO Compensation Increase - Max (%)</t>
  </si>
  <si>
    <t>Estimated Future Benefits Paid</t>
  </si>
  <si>
    <t>Est. Future Benefits Paid - 1st Yr</t>
  </si>
  <si>
    <t>Est. Future Benefits Paid - 2nd Yr</t>
  </si>
  <si>
    <t>Est. Future Benefits Paid - 3rd Yr</t>
  </si>
  <si>
    <t>Est. Future Benefits Paid - 4th Yr</t>
  </si>
  <si>
    <t>Est. Future Benefits Paid - 5th Yr</t>
  </si>
  <si>
    <t>Est. Future Benefits Paid - Thereafter</t>
  </si>
  <si>
    <t>Balance Sheet Reconciliation Items</t>
  </si>
  <si>
    <t>Prepaid Benefit Cost</t>
  </si>
  <si>
    <t>Accrued Benefit Liability</t>
  </si>
  <si>
    <t>Intangible Assets</t>
  </si>
  <si>
    <t>Accum. Other Comp. Income</t>
  </si>
  <si>
    <t>Long Term Assets</t>
  </si>
  <si>
    <t>Current Liabilities</t>
  </si>
  <si>
    <t>Long Term Liabilities</t>
  </si>
  <si>
    <t>Other Assets/Liabilities</t>
  </si>
  <si>
    <t>Adj. for Liability Recognized on Balance Sheet</t>
  </si>
  <si>
    <t>Unrecog. Prior Plan Service Cost</t>
  </si>
  <si>
    <t>Other Adj. (Net Benefit Asset/Liab.)</t>
  </si>
  <si>
    <t>Net Asset/Liability Recognized on Balance Sheet</t>
  </si>
  <si>
    <t>Other Pension Related Items</t>
  </si>
  <si>
    <t>Unfunded &amp; Vested Pension Liab.</t>
  </si>
  <si>
    <t>Est. Contributions - Next Year</t>
  </si>
  <si>
    <t>Quarterly Employer Contribution</t>
  </si>
  <si>
    <t>Quarterly Additional Contributions Expected</t>
  </si>
  <si>
    <t>Unfunded Additional Minimum Liab.</t>
  </si>
  <si>
    <t>OPEB</t>
  </si>
  <si>
    <t>Def. Benefit Expected Return on Assets</t>
  </si>
  <si>
    <t>Def. Benefit Benefit Total Cost</t>
  </si>
  <si>
    <t>Total OPEB Expense</t>
  </si>
  <si>
    <t>Projected Benefit Obligation</t>
  </si>
  <si>
    <t>Accumulated Benefit Obligation</t>
  </si>
  <si>
    <t>Benefits Sensitivity Analysis</t>
  </si>
  <si>
    <t>1% Increase - Effect on Service and Interest Cost</t>
  </si>
  <si>
    <t>1% Increase - Effect on PBO</t>
  </si>
  <si>
    <t>1% Decrease - Effect on Service and Interest Cost</t>
  </si>
  <si>
    <t>1% Decrease - Effect on PBO</t>
  </si>
  <si>
    <t>Other Post-Retirement Benefit Related Items</t>
  </si>
  <si>
    <t>Health Care Cost Trend Rate, Initial</t>
  </si>
  <si>
    <t>Health Care Cost Trend Rate, Ultimate</t>
  </si>
  <si>
    <t>Pension - Domestic</t>
  </si>
  <si>
    <t xml:space="preserve">Def. Benefit Interest Cost </t>
  </si>
  <si>
    <t xml:space="preserve">Def. Benefit Return On Assets </t>
  </si>
  <si>
    <t xml:space="preserve">Def. Benefit Other Cost </t>
  </si>
  <si>
    <t xml:space="preserve">Def. Benefit Total Cost </t>
  </si>
  <si>
    <t>Def. Benefit Total Cost Incl. Supple Plans</t>
  </si>
  <si>
    <t xml:space="preserve">Beg. Def. Benefit Obligation </t>
  </si>
  <si>
    <t xml:space="preserve">Def. Benefit Employee Contributions </t>
  </si>
  <si>
    <t xml:space="preserve">Def. Benefit Actuarial Gain/Losses </t>
  </si>
  <si>
    <t xml:space="preserve">Foreign Exchange Adj. </t>
  </si>
  <si>
    <t xml:space="preserve">Acq. Benefit Obligation </t>
  </si>
  <si>
    <t xml:space="preserve">Def. Benefit Settlement/Curtailment </t>
  </si>
  <si>
    <t xml:space="preserve">Other Adj. To Def. Benefit Obligation </t>
  </si>
  <si>
    <t xml:space="preserve">Proj. Benefit Obligation </t>
  </si>
  <si>
    <t xml:space="preserve">Accum. Benefit Obligation (Pension) </t>
  </si>
  <si>
    <t xml:space="preserve">Beg. Plan Assets </t>
  </si>
  <si>
    <t xml:space="preserve">Actual Return on Plan Assets </t>
  </si>
  <si>
    <t xml:space="preserve">Employer Contributions </t>
  </si>
  <si>
    <t xml:space="preserve">Participant Contributions </t>
  </si>
  <si>
    <t xml:space="preserve">Benefits Paid </t>
  </si>
  <si>
    <t xml:space="preserve">Foreign Exchange Adjustments </t>
  </si>
  <si>
    <t xml:space="preserve">Acquired Plan Assets </t>
  </si>
  <si>
    <t xml:space="preserve">Plan Settlement/Curtailment </t>
  </si>
  <si>
    <t xml:space="preserve">Other Plan Adjustments </t>
  </si>
  <si>
    <t xml:space="preserve">Total Plan Assets </t>
  </si>
  <si>
    <t xml:space="preserve">Plan Assets - Equities </t>
  </si>
  <si>
    <t xml:space="preserve">Plan Assets - Fixed Income </t>
  </si>
  <si>
    <t xml:space="preserve">Plan Assets- Real Estate </t>
  </si>
  <si>
    <t xml:space="preserve">Other Plan Assets </t>
  </si>
  <si>
    <t xml:space="preserve">Est. Future Benefits Paid - 1st Yr </t>
  </si>
  <si>
    <t xml:space="preserve">Est. Future Benefits Paid - 2nd Yr </t>
  </si>
  <si>
    <t xml:space="preserve">Est. Future Benefits Paid - 3rd Yr </t>
  </si>
  <si>
    <t xml:space="preserve">Est. Future Benefits Paid - 4th Yr </t>
  </si>
  <si>
    <t xml:space="preserve">Est. Future Benefits Paid - 5th Yr </t>
  </si>
  <si>
    <t xml:space="preserve">Est. Future Benefits Paid - Thereafter </t>
  </si>
  <si>
    <t xml:space="preserve">Prepaid Benefit Cost </t>
  </si>
  <si>
    <t xml:space="preserve">Accrued Benefit Liability </t>
  </si>
  <si>
    <t xml:space="preserve">Intangible Assets </t>
  </si>
  <si>
    <t xml:space="preserve">Accum. Other Comp. Income </t>
  </si>
  <si>
    <t xml:space="preserve">Other Assets/Liabilities </t>
  </si>
  <si>
    <t xml:space="preserve">Unrecog. Prior Plan Service Cost </t>
  </si>
  <si>
    <t xml:space="preserve">Other Adj. (Net Benefit Asset/Liab.) </t>
  </si>
  <si>
    <t xml:space="preserve">Net Asset/Liability Recognized on Balance Sheet </t>
  </si>
  <si>
    <t xml:space="preserve">Est. Contributions - Next Year </t>
  </si>
  <si>
    <t xml:space="preserve">Quarterly Employer Contribution </t>
  </si>
  <si>
    <t xml:space="preserve">Quarterly Additional Contributions Expected </t>
  </si>
  <si>
    <t xml:space="preserve">Unfunded Additional Minimum Liab. </t>
  </si>
  <si>
    <t>OPEB - Domestic</t>
  </si>
  <si>
    <t xml:space="preserve">Def. Benefit Expected Return on Assets </t>
  </si>
  <si>
    <t xml:space="preserve">Accumulated Benefit Obligation </t>
  </si>
  <si>
    <t xml:space="preserve">1% Increase - Effect on Service and Interest Cost </t>
  </si>
  <si>
    <t xml:space="preserve">1% Increase - Effect on PBO </t>
  </si>
  <si>
    <t xml:space="preserve">1% Decrease - Effect on Service and Interest Cost </t>
  </si>
  <si>
    <t xml:space="preserve">1% Decrease - Effect on PBO </t>
  </si>
  <si>
    <t>Health Care Cost Trend Rate, Initial (%)</t>
  </si>
  <si>
    <t>Health Care Cost Trend Rate, Ultimate (%)</t>
  </si>
  <si>
    <t>BENEFIT_INFO_DATE</t>
  </si>
  <si>
    <t>Pension - Foreign</t>
  </si>
  <si>
    <t xml:space="preserve">Def. Benefit Return on Assets  </t>
  </si>
  <si>
    <t xml:space="preserve">Accum. Benefit Obligation (Pension)  </t>
  </si>
  <si>
    <t>OPEB - Foreign</t>
  </si>
  <si>
    <t xml:space="preserve">Health Care Cost Trend Rate, Initial </t>
  </si>
  <si>
    <t xml:space="preserve">Health Care Cost Trend Rate, Ultimate </t>
  </si>
  <si>
    <t>PENSION</t>
  </si>
  <si>
    <t>CAPITALIZED INTEREST DATA</t>
  </si>
  <si>
    <t>Percentage</t>
  </si>
  <si>
    <t>2) Enable macros while opening the template.</t>
  </si>
  <si>
    <t>3) For best performance, save this file to your computer, close and then reopen.</t>
  </si>
  <si>
    <t>Key Stats- Standards</t>
  </si>
  <si>
    <t>W/Average Interest Rate: Long-term Debt (%)</t>
  </si>
  <si>
    <t>W/Average Interest Rate: Total Debt (%)</t>
  </si>
  <si>
    <t>Average Interest Rate + 1 (%)</t>
  </si>
  <si>
    <t>Average Interest Rate + 2 (%)</t>
  </si>
  <si>
    <t>Average Interest Rate + 3 (%)</t>
  </si>
  <si>
    <t>Average Interest Rate + 4 (%)</t>
  </si>
  <si>
    <t>Average Interest Rate + 5 (%)</t>
  </si>
  <si>
    <t>Average Interest Rate, After 5 Yrs (%)</t>
  </si>
  <si>
    <t>*Note: Pricing as of the filing date of the balance sheet period end date (Reporting basis: Originally reported)</t>
  </si>
  <si>
    <t xml:space="preserve">Basic EPS </t>
  </si>
  <si>
    <t xml:space="preserve">Basic EPS Excl. Extra Items </t>
  </si>
  <si>
    <t xml:space="preserve">Diluted EPS </t>
  </si>
  <si>
    <t xml:space="preserve">Diluted EPS Excl Extra Items </t>
  </si>
  <si>
    <t xml:space="preserve">Normalized Basic EPS </t>
  </si>
  <si>
    <t xml:space="preserve">Normalized Diluted EPS </t>
  </si>
  <si>
    <t xml:space="preserve">Distributable Cash per Share </t>
  </si>
  <si>
    <t xml:space="preserve">Dividends per Share </t>
  </si>
  <si>
    <t>Effective Tax Rate (%)</t>
  </si>
  <si>
    <t>IQ_EFFECT_TAX_RATE</t>
  </si>
  <si>
    <t>Payout Ratio (%)</t>
  </si>
  <si>
    <t>IQ_PAYOUT_RATIO</t>
  </si>
  <si>
    <t xml:space="preserve">Interest Income </t>
  </si>
  <si>
    <t xml:space="preserve">Standardized Distributable Cash </t>
  </si>
  <si>
    <t>IQ_DISTRIBUTABLE_CASH_STANDARDIZED</t>
  </si>
  <si>
    <t xml:space="preserve">Book Value/Share </t>
  </si>
  <si>
    <t xml:space="preserve">Book Value/Share (Reported) </t>
  </si>
  <si>
    <t xml:space="preserve">Tangible Book Value Per Share </t>
  </si>
  <si>
    <t xml:space="preserve">Tangible Book Value </t>
  </si>
  <si>
    <t xml:space="preserve">LT Debt (Incl. Cap. Leases) Due +1 </t>
  </si>
  <si>
    <t xml:space="preserve">LT Debt (Incl. Cap. Leases) Due +2 </t>
  </si>
  <si>
    <t xml:space="preserve">LT Debt (Incl. Cap. Leases) Due +3 </t>
  </si>
  <si>
    <t xml:space="preserve">LT Debt (Incl. Cap. Leases) Due +4 </t>
  </si>
  <si>
    <t xml:space="preserve">LT Debt (Incl. Cap. Leases) Due +5 </t>
  </si>
  <si>
    <t xml:space="preserve">LT Debt (Incl. Cap. Leases) Due, Next 5 Yrs </t>
  </si>
  <si>
    <t xml:space="preserve">LT Debt (Incl. Cap. Leases) Due, After 5 Yrs </t>
  </si>
  <si>
    <t xml:space="preserve">Cap. Lease Payment Due +1 </t>
  </si>
  <si>
    <t xml:space="preserve">Cap. Lease Payment Due +2 </t>
  </si>
  <si>
    <t xml:space="preserve">Cap. Lease Payment Due +3 </t>
  </si>
  <si>
    <t xml:space="preserve">Cap. Lease Payment Due +4 </t>
  </si>
  <si>
    <t xml:space="preserve">Cap. Lease Payment Due +5 </t>
  </si>
  <si>
    <t xml:space="preserve">Cap. Lease Payment Due, Next 5 Yrs </t>
  </si>
  <si>
    <t xml:space="preserve">Cap. Lease Payment Due, After 5 Yrs </t>
  </si>
  <si>
    <t xml:space="preserve">Operating Lease Commitment Due +1 </t>
  </si>
  <si>
    <t xml:space="preserve">Operating Lease Commitment Due +2 </t>
  </si>
  <si>
    <t xml:space="preserve">Operating Lease Commitment Due +3 </t>
  </si>
  <si>
    <t xml:space="preserve">Operating Lease Commitment Due +4 </t>
  </si>
  <si>
    <t xml:space="preserve">Operating Lease Commitment Due +5 </t>
  </si>
  <si>
    <t xml:space="preserve">Operating Lease Commitment Due, Next 5 Yrs </t>
  </si>
  <si>
    <t xml:space="preserve">Operating Lease Commitment Due, After 5 Yrs </t>
  </si>
  <si>
    <t xml:space="preserve">Sub-Lease Income +1 </t>
  </si>
  <si>
    <t xml:space="preserve">Sub-Lease Income +2 </t>
  </si>
  <si>
    <t xml:space="preserve">Sub-Lease Income +3 </t>
  </si>
  <si>
    <t xml:space="preserve">Sub-Lease Income +4 </t>
  </si>
  <si>
    <t xml:space="preserve">Sub-Lease Income +5 </t>
  </si>
  <si>
    <t xml:space="preserve">Sub-Lease Income, Next 5 Yrs </t>
  </si>
  <si>
    <t xml:space="preserve">Sub-Lease Income, After 5 Yrs </t>
  </si>
  <si>
    <t xml:space="preserve">Contractual Obligations Due +1 </t>
  </si>
  <si>
    <t xml:space="preserve">Contractual Obligations Due + 2 </t>
  </si>
  <si>
    <t xml:space="preserve">Contractual Obligations Due + 3 </t>
  </si>
  <si>
    <t xml:space="preserve">Contractual Obligations Due + 4 </t>
  </si>
  <si>
    <t xml:space="preserve">Contractual Obligations Due + 5 </t>
  </si>
  <si>
    <t xml:space="preserve">Contractual Obligations Due, Next 5 Yrs </t>
  </si>
  <si>
    <t xml:space="preserve">Contractual Obligations Due, After 5 Yrs </t>
  </si>
  <si>
    <t>IQ_DAILY_AVG_REV_TRADES</t>
  </si>
  <si>
    <t>IQ_NUM_TRADES_EXECUTED</t>
  </si>
  <si>
    <t>Total Contractual Obligations</t>
  </si>
  <si>
    <t>IQ_CONTRACT_OBLIGATION_TOTAL</t>
  </si>
  <si>
    <t>Estimates</t>
  </si>
  <si>
    <t>Total Liability includes Total Debt, Minority Interest and Pref. Equity.</t>
  </si>
  <si>
    <t>Net Liability includes Total Liability, net of Cash and Equivalents.</t>
  </si>
  <si>
    <t>TEV includes Market Cap and Net Liability.</t>
  </si>
  <si>
    <t>Total Capital includes Common Equity and Total Liability.</t>
  </si>
  <si>
    <t>Selling and Marketing Expense</t>
  </si>
  <si>
    <t>R&amp;D Expense</t>
  </si>
  <si>
    <t>Imputed Oper. Lease Interest Exp.</t>
  </si>
  <si>
    <t>Restructuring Charges (Supple)</t>
  </si>
  <si>
    <t>EBT Incl. Unusual Items</t>
  </si>
  <si>
    <t>Salaries and Other Empl. Benefits</t>
  </si>
  <si>
    <t>Total Intangible Assets</t>
  </si>
  <si>
    <t>Trust Preferred</t>
  </si>
  <si>
    <t>Undrawn Securitized Facilities</t>
  </si>
  <si>
    <t>IQ_UNDRAWN_SECURITIZED</t>
  </si>
  <si>
    <t>Capital Lease Payment Due (Incl. Interest)+1</t>
  </si>
  <si>
    <t>IQ_CL_OBLIGATION_IMMEDIATE</t>
  </si>
  <si>
    <t>Capex as Percent of Revenues</t>
  </si>
  <si>
    <t>IQ_CAPEX_PCT_REV</t>
  </si>
  <si>
    <t>Long Term Film Contract and Broadcasting Rights (Reported)</t>
  </si>
  <si>
    <t>IQ_FILM_RIGHTS</t>
  </si>
  <si>
    <t>IQ_AUM_EQUITY</t>
  </si>
  <si>
    <t>IQ_PRIVATE_EQUITY_FUNDS_AUM</t>
  </si>
  <si>
    <t>IQ_RE_FUNDS_AUM</t>
  </si>
  <si>
    <t>IQ_AUM_FIXED_INC</t>
  </si>
  <si>
    <t>IQ_AUM_MONEY_MKT</t>
  </si>
  <si>
    <t>IQ_INST_CLIENTS_AUM</t>
  </si>
  <si>
    <t>IQ_RETAIL_CLIENTS_AUM</t>
  </si>
  <si>
    <t>IQ_HIGH_NET_WORTH_CLIENTS_AUM</t>
  </si>
  <si>
    <t>IQ_OTHER_CLIENTS_AUM</t>
  </si>
  <si>
    <t>IQ_AUM_DOM</t>
  </si>
  <si>
    <t>IQ_AUM_FRGN</t>
  </si>
  <si>
    <t>IQ_FEE_EARN_AUM</t>
  </si>
  <si>
    <t>IQ_NON_FEE_EARN_AUM</t>
  </si>
  <si>
    <t>Number of Retail Customers (AUM) (actual)</t>
  </si>
  <si>
    <t>IQ_NUM_RETAIL_CUSTOMERS_AUM</t>
  </si>
  <si>
    <t>Number of Institutional Customers (AUM) (actual)</t>
  </si>
  <si>
    <t>IQ_NUM_INST_CUSTOMERS_AUM</t>
  </si>
  <si>
    <t>Number of SME Customers (AUM) (actual)</t>
  </si>
  <si>
    <t>IQ_NUM_SME_CUSTOMERS_AUM</t>
  </si>
  <si>
    <t>Number of Other Customers (AUM) (actual)</t>
  </si>
  <si>
    <t>IQ_NUM_OTHER_CUSTOMERS_AUM</t>
  </si>
  <si>
    <t>Number of Total Customers (AUM) (actual)</t>
  </si>
  <si>
    <t>IQ_NUM_TOTAL_CUSTOMERS_AUM</t>
  </si>
  <si>
    <t>IQ_AUM_BEGINNING_OF_PERIOD</t>
  </si>
  <si>
    <t>IQ_AUM_NET_INFLOWS_TO_OUTFLOWS</t>
  </si>
  <si>
    <t>IQ_AUM_CF_AND_DIV</t>
  </si>
  <si>
    <t>IQ_AUM_MKT_APPRECIATION_TO_DEPR</t>
  </si>
  <si>
    <t>IQ_AUM_ACQUISITIONS_AND_TRANSFERS</t>
  </si>
  <si>
    <t>IQ_AUM_OTHER_ADJ</t>
  </si>
  <si>
    <t>IQ_AUM_END_OF_PERIOD</t>
  </si>
  <si>
    <t>IQ_AVG_AUM</t>
  </si>
  <si>
    <t>IQ_NET_CHANGE_IN_AUM</t>
  </si>
  <si>
    <t>IQ_MUTUAL_FUNDS_BEGINNING_OF_PERIOD</t>
  </si>
  <si>
    <t>IQ_MUTUAL_FUND_MKT_APPRECIATION_TO_DEPR</t>
  </si>
  <si>
    <t>IQ_MUTUAL_FUND_ACQUISITIONS_AND_OTHER</t>
  </si>
  <si>
    <t>IQ_MUTUAL_FUND_END_OF_PERIOD</t>
  </si>
  <si>
    <t>Daily Average Revenue Trades (actual)</t>
  </si>
  <si>
    <t>Number of Trades Executed (actual)</t>
  </si>
  <si>
    <t>Organic Growth Rate (AUM) (%)</t>
  </si>
  <si>
    <t>IQ_ORGANIC_GROWTH_RATE_AUM</t>
  </si>
  <si>
    <t>IQ_VALUE_OF_CUSTOMER_ASSETS</t>
  </si>
  <si>
    <t>Asset Managed Growth Rate (%)</t>
  </si>
  <si>
    <t>IQ_ASSET_MNGD_GROWTH_RATE</t>
  </si>
  <si>
    <t>Assets Under Management - Equity</t>
  </si>
  <si>
    <t>Private Equity Funds (AUM)</t>
  </si>
  <si>
    <t>Real Estate Funds (AUM)</t>
  </si>
  <si>
    <t>Assets Under Management - Fixed Income</t>
  </si>
  <si>
    <t>Assets Under Management - Money Market</t>
  </si>
  <si>
    <t>Assets Under Management - Other</t>
  </si>
  <si>
    <t>Assets Under Management</t>
  </si>
  <si>
    <t>Institutional Clients (AUM)</t>
  </si>
  <si>
    <t>Retail Clients (AUM)</t>
  </si>
  <si>
    <t>High Net Worth Clients (AUM)</t>
  </si>
  <si>
    <t>Other Clients (AUM)</t>
  </si>
  <si>
    <t>Assets Under Management - Domestic</t>
  </si>
  <si>
    <t>Assets Under Management - Foreign</t>
  </si>
  <si>
    <t>Fee-Earning Assets Under Management</t>
  </si>
  <si>
    <t>Non-Fee Earning Assets Under Management</t>
  </si>
  <si>
    <t>AUM Beginning of Period</t>
  </si>
  <si>
    <t>AUM Inflows</t>
  </si>
  <si>
    <t>AUM Outflows</t>
  </si>
  <si>
    <t>AUM Net Inflows/(Outflows)</t>
  </si>
  <si>
    <t>AUM Cash Flow &amp; Dividends</t>
  </si>
  <si>
    <t>AUM Market Appreciation/(Depreciation)</t>
  </si>
  <si>
    <t>AUM Acquisitions and Transfers</t>
  </si>
  <si>
    <t>AUM Other Adjustments</t>
  </si>
  <si>
    <t>AUM End of Period</t>
  </si>
  <si>
    <t>Avg. Assets Under Management</t>
  </si>
  <si>
    <t>Net Change in AUM</t>
  </si>
  <si>
    <t>Mutual Funds Beginning of Period</t>
  </si>
  <si>
    <t>Mutual Fund - Market Appreciation / (Depreciation)</t>
  </si>
  <si>
    <t>Mutual Fund - Acquisitions and Other</t>
  </si>
  <si>
    <t>Mutual Fund - End of Period</t>
  </si>
  <si>
    <t>Value of Customer Assets</t>
  </si>
  <si>
    <t>Options Wtd Avg Strike Price of Outstd, Comm Stock</t>
  </si>
  <si>
    <t>Wtd Avg Strike Price of Granted, Comm Stock</t>
  </si>
  <si>
    <t>Warrants Wtd Avg Strike Price of Outstd, Comm Stck (Reported)</t>
  </si>
  <si>
    <t>Warrants W/Average Strike Price of Issued (Reported)</t>
  </si>
  <si>
    <t>Interest Capitalized During the Period</t>
  </si>
  <si>
    <t>Interest and Penalties Recog. on IS - Before Tax</t>
  </si>
  <si>
    <t>IQ_INTEREST_PENALTIES_RECOG_IS_PRE_TAX</t>
  </si>
  <si>
    <t>Interest and Penalties Recog. on IS - After Tax</t>
  </si>
  <si>
    <t>IQ_INTEREST_PENALTIES_RECOG_IS_AFTER_TAX</t>
  </si>
  <si>
    <t>Benefit info Date</t>
  </si>
  <si>
    <t>Total Same Store Sales Growth</t>
  </si>
  <si>
    <t>Dilued Net Income- U.S. GAAP</t>
  </si>
  <si>
    <t>IQ_US_GAAP_DILUT_NI</t>
  </si>
  <si>
    <t>Standardized Distributable Cash</t>
  </si>
  <si>
    <t>Distributable Cash Payout Ratio (Income Trusts) (%)</t>
  </si>
  <si>
    <t>IQ_DISTRIBUTABLE_CASH_PAYOUT</t>
  </si>
  <si>
    <t>Dividends per share</t>
  </si>
  <si>
    <t>Supplemental Operating Expense Items</t>
  </si>
  <si>
    <t>IQ_PENSION_SERVICE_COST</t>
  </si>
  <si>
    <t>IQ_PENSION_INTEREST_COST</t>
  </si>
  <si>
    <t>IQ_PENSION_OBLIGATION_ROA</t>
  </si>
  <si>
    <t>IQ_PENSION_OBLIGATION_OTHER_COST</t>
  </si>
  <si>
    <t>IQ_PENSION_OBLIGATION_TOTAL_COST</t>
  </si>
  <si>
    <t>IQ_PENSION_OBLIGATION_SUPPLE_PLANS_TOTAL_COST</t>
  </si>
  <si>
    <t>IQ_PENSION_CONTRIBUTION_TOTAL_COST</t>
  </si>
  <si>
    <t>IQ_PENSION_TOTAL_EXP</t>
  </si>
  <si>
    <t>IQ_PENSION_OBLIGATION_BEG</t>
  </si>
  <si>
    <t>IQ_PENSION_OBLIGATION_SERVICE_COST</t>
  </si>
  <si>
    <t>IQ_PENSION_OBLIGATION_INTEREST_COST</t>
  </si>
  <si>
    <t>IQ_PENSION_OBLIGATION_EMPLOYEE_CONTRIBUTIONS</t>
  </si>
  <si>
    <t>IQ_PENSION_OBLIGATION_ACTUARIAL_GAIN_LOSS</t>
  </si>
  <si>
    <t>IQ_PENSION_OBLIGATION_PAID</t>
  </si>
  <si>
    <t>IQ_PENSION_OBLIGATION_FX_ADJ</t>
  </si>
  <si>
    <t>IQ_PENSION_OBLIGATION_ACQ</t>
  </si>
  <si>
    <t>IQ_PENSION_OBLIGATION_CURTAIL</t>
  </si>
  <si>
    <t>IQ_PENSION_OBLIGATION_OTHER_PLAN_ADJ</t>
  </si>
  <si>
    <t>IQ_PENSION_OBLIGATION_PROJECTED</t>
  </si>
  <si>
    <t>IQ_PENSION_ACCUMULATED_OBLIGATION</t>
  </si>
  <si>
    <t>IQ_PENSION_ASSETS_BEG</t>
  </si>
  <si>
    <t>IQ_PENSION_ASSETS_ACTUAL_RETURN</t>
  </si>
  <si>
    <t>IQ_PENSION_ASSETS_EMPLOYER_CONTRIBUTIONS</t>
  </si>
  <si>
    <t>IQ_PENSION_ASSETS_PARTICIP_CONTRIBUTIONS</t>
  </si>
  <si>
    <t>IQ_PENSION_ASSETS_BENEFITS_PAID</t>
  </si>
  <si>
    <t>IQ_PENSION_ASSETS_FX_ADJ</t>
  </si>
  <si>
    <t>IQ_PENSION_ASSETS_ACQ</t>
  </si>
  <si>
    <t>IQ_PENSION_ASSETS_CURTAIL</t>
  </si>
  <si>
    <t>IQ_PENSION_ASSETS_OTHER_PLAN_ADJ</t>
  </si>
  <si>
    <t>IQ_PENSION_ASSETS</t>
  </si>
  <si>
    <t>IQ_PENSION_DISC_RATE_MIN</t>
  </si>
  <si>
    <t>IQ_PENSION_DISC_RATE_MAX</t>
  </si>
  <si>
    <t>IQ_PENSION_RATE_COMP_INCREASE_MIN</t>
  </si>
  <si>
    <t>IQ_PENSION_RATE_COMP_INCREASE_MAX</t>
  </si>
  <si>
    <t>IQ_PENSION_EXP_RATE_RETURN_MIN</t>
  </si>
  <si>
    <t>IQ_PENSION_EXP_RATE_RETURN_MAX</t>
  </si>
  <si>
    <t>IQ_PENSION_BREAKDOWN_PCT_EQ</t>
  </si>
  <si>
    <t>IQ_PENSION_BREAKDOWN_PCT_FI</t>
  </si>
  <si>
    <t>IQ_PENSION_BREAKDOWN_PCT_RE</t>
  </si>
  <si>
    <t>IQ_PENSION_BREAKDOWN_PCT_OTHER</t>
  </si>
  <si>
    <t>IQ_PENSION_BREAKDOWN_EQ</t>
  </si>
  <si>
    <t>IQ_PENSION_BREAKDOWN_FI</t>
  </si>
  <si>
    <t>IQ_PENSION_BREAKDOWN_RE</t>
  </si>
  <si>
    <t>IQ_PENSION_BREAKDOWN_OTHER</t>
  </si>
  <si>
    <t>IQ_PENSION_CI_ACT</t>
  </si>
  <si>
    <t>IQ_PENSION_CI_PRIOR_SERVICE</t>
  </si>
  <si>
    <t>IQ_PENSION_CI_TRANSITION</t>
  </si>
  <si>
    <t>IQ_PENSION_CI_OTHER_MISC_ADJ</t>
  </si>
  <si>
    <t>IQ_PENSION_CI_NET_AMT_RECOG</t>
  </si>
  <si>
    <t>IQ_PENSION_PRIOR_SERVICE_NEXT</t>
  </si>
  <si>
    <t>IQ_PENSION_ACT_NEXT</t>
  </si>
  <si>
    <t>IQ_PENSION_TRANSITION_NEXT</t>
  </si>
  <si>
    <t>IQ_PENSION_AMT_RECOG_PERIOD</t>
  </si>
  <si>
    <t>IQ_PENSION_PBO_ASSUMED_RATE_RET_MIN</t>
  </si>
  <si>
    <t>IQ_PENSION_PBO_ASSUMED_RATE_RET_MAX</t>
  </si>
  <si>
    <t>IQ_PENSION_PBO_RATE_COMP_INCREASE_MIN</t>
  </si>
  <si>
    <t>IQ_PENSION_PBO_RATE_COMP_INCREASE_MAX</t>
  </si>
  <si>
    <t>IQ_PENSION_EST_BENEFIT_1YR</t>
  </si>
  <si>
    <t>IQ_PENSION_EST_BENEFIT_2YR</t>
  </si>
  <si>
    <t>IQ_PENSION_EST_BENEFIT_3YR</t>
  </si>
  <si>
    <t>IQ_PENSION_EST_BENEFIT_4YR</t>
  </si>
  <si>
    <t>IQ_PENSION_EST_BENEFIT_5YR</t>
  </si>
  <si>
    <t>IQ_PENSION_EST_BENEFIT_AFTER5</t>
  </si>
  <si>
    <t>IQ_PENSION_PREPAID_COST</t>
  </si>
  <si>
    <t>IQ_PENSION_ACCRUED_LIAB</t>
  </si>
  <si>
    <t>IQ_PENSION_INTAN_ASSETS</t>
  </si>
  <si>
    <t>IQ_PENSION_ACCUM_OTHER_CI</t>
  </si>
  <si>
    <t>IQ_PENSION_LT_ASSETS</t>
  </si>
  <si>
    <t>IQ_PENSION_CL</t>
  </si>
  <si>
    <t>IQ_PENSION_LT_LIAB</t>
  </si>
  <si>
    <t>IQ_PENSION_OTHER</t>
  </si>
  <si>
    <t>IQ_PENSION_UNRECOG_PRIOR</t>
  </si>
  <si>
    <t>IQ_PENSION_OTHER_ADJ</t>
  </si>
  <si>
    <t>IQ_PENSION_NET_ASSET_RECOG</t>
  </si>
  <si>
    <t>IQ_PENSION_UV_LIAB</t>
  </si>
  <si>
    <t>IQ_PENSION_EST_CONTRIBUTIONS_NEXTYR</t>
  </si>
  <si>
    <t>IQ_PENSION_QUART_EMPLOYER_CONTRIBUTIONS</t>
  </si>
  <si>
    <t>IQ_PENSION_QUART_ADDL_CONTRIBUTIONS_EXP</t>
  </si>
  <si>
    <t>IQ_PENSION_UNFUNDED_ADDL_MIN_LIAB</t>
  </si>
  <si>
    <t>IQ_OPEB_SERVICE_COST</t>
  </si>
  <si>
    <t>IQ_OPEB_INTEREST_COST</t>
  </si>
  <si>
    <t>IQ_OPEB_EXP_RETURN</t>
  </si>
  <si>
    <t>IQ_OPEB_OTHER_COST</t>
  </si>
  <si>
    <t>IQ_OPEB_TOTAL_COST</t>
  </si>
  <si>
    <t>IQ_OPEB_SUPPLE_PLANS_TOTAL_COST</t>
  </si>
  <si>
    <t>IQ_POST_RETIRE_EXP</t>
  </si>
  <si>
    <t>IQ_OPEB_OBLIGATION_BEG</t>
  </si>
  <si>
    <t>IQ_OPEB_OBLIGATION_SERVICE_COST</t>
  </si>
  <si>
    <t>IQ_OPEB_OBLIGATION_INTEREST_COST</t>
  </si>
  <si>
    <t>IQ_OPEB_OBLIGATION_EMPLOYEE_CONTRIBUTIONS</t>
  </si>
  <si>
    <t>IQ_OPEB_OBLIGATION_ACTUARIAL_GAIN_LOSS</t>
  </si>
  <si>
    <t>IQ_OPEB_OBLIGATION_PAID</t>
  </si>
  <si>
    <t>IQ_OPEB_OBLIGATION_FX_ADJ</t>
  </si>
  <si>
    <t>IQ_OPEB_OBLIGATION_ACQ</t>
  </si>
  <si>
    <t>IQ_OPEB_OBLIGATION_CURTAIL</t>
  </si>
  <si>
    <t>IQ_OPEB_OBLIGATION_OTHER_PLAN_ADJ</t>
  </si>
  <si>
    <t>IQ_OPEB_OBLIGATION_PROJECTED</t>
  </si>
  <si>
    <t>IQ_OPEB_OBLIGATION_ACCUMULATED</t>
  </si>
  <si>
    <t>IQ_OPEB_ASSETS_BEG</t>
  </si>
  <si>
    <t>IQ_OPEB_ASSETS_ACTUAL_RETURN</t>
  </si>
  <si>
    <t>IQ_OPEB_ASSETS_EMPLOYER_CONTRIBUTIONS</t>
  </si>
  <si>
    <t>IQ_OPEB_ASSETS_PARTICIP_CONTRIBUTIONS</t>
  </si>
  <si>
    <t>IQ_OPEB_ASSETS_BENEFITS_PAID</t>
  </si>
  <si>
    <t>IQ_OPEB_ASSETS_FX_ADJ</t>
  </si>
  <si>
    <t>IQ_OPEB_ASSETS_ACQ</t>
  </si>
  <si>
    <t>IQ_OPEB_ASSETS_CURTAIL</t>
  </si>
  <si>
    <t>IQ_OPEB_ASSETS_OTHER_PLAN_ADJ</t>
  </si>
  <si>
    <t>IQ_OPEB_ASSETS</t>
  </si>
  <si>
    <t>IQ_OPEB_DISC_RATE_MIN</t>
  </si>
  <si>
    <t>IQ_OPEB_DISC_RATE_MAX</t>
  </si>
  <si>
    <t>IQ_OPEB_RATE_COMP_INCREASE_MIN</t>
  </si>
  <si>
    <t>IQ_OPEB_RATE_COMP_INCREASE_MAX</t>
  </si>
  <si>
    <t>IQ_OPEB_EXP_RATE_RETURN_MIN</t>
  </si>
  <si>
    <t>IQ_OPEB_EXP_RATE_RETURN_MAX</t>
  </si>
  <si>
    <t>IQ_OPEB_BREAKDOWN_PCT_EQ</t>
  </si>
  <si>
    <t>IQ_OPEB_BREAKDOWN_PCT_FI</t>
  </si>
  <si>
    <t>IQ_OPEB_BREAKDOWN_PCT_RE</t>
  </si>
  <si>
    <t>IQ_OPEB_BREAKDOWN_PCT_OTHER</t>
  </si>
  <si>
    <t>IQ_OPEB_BREAKDOWN_EQ</t>
  </si>
  <si>
    <t>IQ_OPEB_BREAKDOWN_FI</t>
  </si>
  <si>
    <t>IQ_OPEB_BREAKDOWN_RE</t>
  </si>
  <si>
    <t>IQ_OPEB_BREAKDOWN_OTHER</t>
  </si>
  <si>
    <t>IQ_OPEB_CI_ACT</t>
  </si>
  <si>
    <t>IQ_OPEB_CI_PRIOR_SERVICE</t>
  </si>
  <si>
    <t>IQ_OPEB_CI_TRANSITION</t>
  </si>
  <si>
    <t>IQ_OPEB_CI_OTHER_MISC_ADJ</t>
  </si>
  <si>
    <t>IQ_OPEB_CI_NET_AMT_RECOG</t>
  </si>
  <si>
    <t>IQ_OPEB_PRIOR_SERVICE_NEXT</t>
  </si>
  <si>
    <t>IQ_OPEB_ACT_NEXT</t>
  </si>
  <si>
    <t>IQ_OPEB_TRANSITION_NEXT</t>
  </si>
  <si>
    <t>IQ_OPEB_AMT_RECOG_NEXT</t>
  </si>
  <si>
    <t>IQ_OPEB_PBO_ASSUMED_RATE_RET_MIN</t>
  </si>
  <si>
    <t>IQ_OPEB_PBO_ASSUMED_RATE_RET_MAX</t>
  </si>
  <si>
    <t>IQ_OPEB_PBO_RATE_COMP_INCREASE_MIN</t>
  </si>
  <si>
    <t>IQ_OPEB_PBO_RATE_COMP_INCREASE_MAX</t>
  </si>
  <si>
    <t>IQ_OPEB_EST_BENEFIT_1YR</t>
  </si>
  <si>
    <t>IQ_OPEB_EST_BENEFIT_2YR</t>
  </si>
  <si>
    <t>IQ_OPEB_EST_BENEFIT_3YR</t>
  </si>
  <si>
    <t>IQ_OPEB_EST_BENEFIT_4YR</t>
  </si>
  <si>
    <t>IQ_OPEB_EST_BENEFIT_5YR</t>
  </si>
  <si>
    <t>IQ_OPEB_EST_BENEFIT_AFTER5</t>
  </si>
  <si>
    <t>IQ_OPEB_PREPAID_COST</t>
  </si>
  <si>
    <t>IQ_OPEB_ACCRUED_LIAB</t>
  </si>
  <si>
    <t>IQ_OPEB_INTAN_ASSETS</t>
  </si>
  <si>
    <t>IQ_OPEB_ACCUM_OTHER_CI</t>
  </si>
  <si>
    <t>IQ_OPEB_LT_ASSETS</t>
  </si>
  <si>
    <t>IQ_OPEB_CL</t>
  </si>
  <si>
    <t>IQ_OPEB_LT_LIAB</t>
  </si>
  <si>
    <t>IQ_OPEB_OTHER</t>
  </si>
  <si>
    <t>IQ_OPEB_UNRECOG_PRIOR</t>
  </si>
  <si>
    <t>IQ_OPEB_OTHER_ADJ</t>
  </si>
  <si>
    <t>IQ_OPEB_NET_ASSET_RECOG</t>
  </si>
  <si>
    <t>IQ_OPEB_INCREASE_EFFECT_SERVICE_INT_COST</t>
  </si>
  <si>
    <t>IQ_OPEB_INCREASE_EFFECT_PBO</t>
  </si>
  <si>
    <t>IQ_OPEB_DECREASE_EFFECT_SERVICE_INT_COST</t>
  </si>
  <si>
    <t>IQ_OPEB_DECREASE_EFFECT_PBO</t>
  </si>
  <si>
    <t>IQ_OPEB_HEALTH_COST_TREND_INITIAL</t>
  </si>
  <si>
    <t>IQ_OPEB_HEALTH_COST_TREND_ULTIMATE</t>
  </si>
  <si>
    <t>IQ_PENSION_SERVICE_COST_DOM</t>
  </si>
  <si>
    <t>IQ_PENSION_INTEREST_COST_DOM</t>
  </si>
  <si>
    <t>IQ_PENSION_OBLIGATION_ROA_DOM</t>
  </si>
  <si>
    <t>IQ_PENSION_OBLIGATION_OTHER_COST_DOM</t>
  </si>
  <si>
    <t>IQ_PENSION_OBLIGATION_TOTAL_COST_DOM</t>
  </si>
  <si>
    <t>IQ_PENSION_OBLIGATION_SUPPLE_PLANS_TOTAL_COST_DOM</t>
  </si>
  <si>
    <t>IQ_PENSION_OBLIGATION_TOTAL_COST_INCL_SUPPLE_PLANS_DOM</t>
  </si>
  <si>
    <t>IQ_PENSION_OBLIGATION_BEG_DOM</t>
  </si>
  <si>
    <t>IQ_PENSION_OBLIGATION_SERVICE_COST_DOM</t>
  </si>
  <si>
    <t>IQ_PENSION_OBLIGATION_INTEREST_COST_DOM</t>
  </si>
  <si>
    <t>IQ_PENSION_OBLIGATION_EMPLOYEE_CONTRIBUTIONS_DOM</t>
  </si>
  <si>
    <t>IQ_PENSION_OBLIGATION_ACTUARIAL_GAIN_LOSS_DOM</t>
  </si>
  <si>
    <t>IQ_PENSION_OBLIGATION_PAID_DOM</t>
  </si>
  <si>
    <t>IQ_PENSION_OBLIGATION_FX_ADJ_DOM</t>
  </si>
  <si>
    <t>IQ_PENSION_OBLIGATION_ACQ_DOM</t>
  </si>
  <si>
    <t>IQ_PENSION_OBLIGATION_CURTAIL_DOM</t>
  </si>
  <si>
    <t>IQ_PENSION_OBLIGATION_OTHER_PLAN_ADJ_DOM</t>
  </si>
  <si>
    <t>IQ_PENSION_OBLIGATION_PROJECTED_DOM</t>
  </si>
  <si>
    <t>IQ_PENSION_ACCUMULATED_OBLIGATION_DOMESTIC</t>
  </si>
  <si>
    <t>IQ_PENSION_ASSETS_BEG_DOM</t>
  </si>
  <si>
    <t>IQ_PENSION_ASSETS_ACTUAL_RETURN_DOM</t>
  </si>
  <si>
    <t>IQ_PENSION_ASSETS_EMPLOYER_CONTRIBUTIONS_DOM</t>
  </si>
  <si>
    <t>IQ_PENSION_ASSETS_PARTICIP_CONTRIBUTIONS_DOM</t>
  </si>
  <si>
    <t>IQ_PENSION_ASSETS_BENEFITS_PAID_DOM</t>
  </si>
  <si>
    <t>IQ_PENSION_ASSETS_FX_ADJ_DOM</t>
  </si>
  <si>
    <t>IQ_PENSION_ASSETS_ACQ_DOM</t>
  </si>
  <si>
    <t>IQ_PENSION_ASSETS_CURTAIL_DOM</t>
  </si>
  <si>
    <t>IQ_PENSION_ASSETS_OTHER_PLAN_ADJ_DOM</t>
  </si>
  <si>
    <t>IQ_PENSION_ASSETS_DOM</t>
  </si>
  <si>
    <t>IQ_PENSION_DISC_RATE_MIN_DOM</t>
  </si>
  <si>
    <t>IQ_PENSION_DISC_RATE_MAX_DOM</t>
  </si>
  <si>
    <t>IQ_PENSION_RATE_COMP_INCREASE_MIN_DOM</t>
  </si>
  <si>
    <t>IQ_PENSION_RATE_COMP_INCREASE_MAX_DOM</t>
  </si>
  <si>
    <t>IQ_PENSION_EXP_RATE_RETURN_MIN_DOM</t>
  </si>
  <si>
    <t>IQ_PENSION_EXP_RATE_RETURN_MAX_DOM</t>
  </si>
  <si>
    <t>IQ_PENSION_BREAKDOWN_PCT_EQ_DOM</t>
  </si>
  <si>
    <t>IQ_PENSION_BREAKDOWN_PCT_FI_DOM</t>
  </si>
  <si>
    <t>IQ_PENSION_BREAKDOWN_PCT_RE_DOM</t>
  </si>
  <si>
    <t>IQ_PENSION_BREAKDOWN_PCT_OTHER_DOM</t>
  </si>
  <si>
    <t>IQ_PENSION_BREAKDOWN_EQ_DOM</t>
  </si>
  <si>
    <t>IQ_PENSION_BREAKDOWN_FI_DOM</t>
  </si>
  <si>
    <t>IQ_PENSION_BREAKDOWN_RE_DOM</t>
  </si>
  <si>
    <t>IQ_PENSION_BREAKDOWN_OTHER_DOM</t>
  </si>
  <si>
    <t>IQ_PENSION_CI_ACT_DOM</t>
  </si>
  <si>
    <t>IQ_PENSION_CI_PRIOR_SERVICE_DOM</t>
  </si>
  <si>
    <t>IQ_PENSION_CI_TRANSITION_DOM</t>
  </si>
  <si>
    <t>IQ_PENSION_CI_OTHER_MISC_ADJ_DOM</t>
  </si>
  <si>
    <t>IQ_PENSION_CI_NET_AMT_RECOG_DOM</t>
  </si>
  <si>
    <t>IQ_PENSION_PRIOR_SERVICE_NEXT_DOM</t>
  </si>
  <si>
    <t>IQ_PENSION_ACT_NEXT_DOM</t>
  </si>
  <si>
    <t>IQ_PENSION_TRANSITION_NEXT_DOM</t>
  </si>
  <si>
    <t>IQ_PENSION_AMT_RECOG_NEXT_DOM</t>
  </si>
  <si>
    <t>IQ_PENSION_PBO_ASSUMED_RATE_RET_MIN_DOM</t>
  </si>
  <si>
    <t>IQ_PENSION_PBO_ASSUMED_RATE_RET_MAX_DOM</t>
  </si>
  <si>
    <t>IQ_PENSION_PBO_RATE_COMP_INCREASE_MIN_DOM</t>
  </si>
  <si>
    <t>IQ_PENSION_PBO_RATE_COMP_INCREASE_MAX_DOM</t>
  </si>
  <si>
    <t>IQ_PENSION_EST_BENEFIT_1YR_DOM</t>
  </si>
  <si>
    <t>IQ_PENSION_EST_BENEFIT_2YR_DOM</t>
  </si>
  <si>
    <t>IQ_PENSION_EST_BENEFIT_3YR_DOM</t>
  </si>
  <si>
    <t>IQ_PENSION_EST_BENEFIT_4YR_DOM</t>
  </si>
  <si>
    <t>IQ_PENSION_EST_BENEFIT_5YR_DOM</t>
  </si>
  <si>
    <t>IQ_PENSION_EST_BENEFIT_AFTER5_DOM</t>
  </si>
  <si>
    <t>IQ_PENSION_PREPAID_COST_DOM</t>
  </si>
  <si>
    <t>IQ_PENSION_ACCRUED_LIAB_DOM</t>
  </si>
  <si>
    <t>IQ_PENSION_INTAN_ASSETS_DOM</t>
  </si>
  <si>
    <t>IQ_PENSION_ACCUM_OTHER_CI_DOM</t>
  </si>
  <si>
    <t>IQ_PENSION_LT_ASSETS_DOM</t>
  </si>
  <si>
    <t>IQ_PENSION_CL_DOM</t>
  </si>
  <si>
    <t>IQ_PENSION_LT_LIAB_DOM</t>
  </si>
  <si>
    <t>IQ_PENSION_OTHER_DOM</t>
  </si>
  <si>
    <t>IQ_PENSION_UNRECOG_PRIOR_DOM</t>
  </si>
  <si>
    <t>IQ_PENSION_OTHER_ADJ_DOM</t>
  </si>
  <si>
    <t>IQ_PENSION_NET_ASSET_RECOG_DOM</t>
  </si>
  <si>
    <t>IQ_PENSION_EST_CONTRIBUTIONS_NEXTYR_DOM</t>
  </si>
  <si>
    <t>IQ_PENSION_QUART_EMPLOYER_CONTRIBUTIONS_DOM</t>
  </si>
  <si>
    <t>IQ_PENSION_QUART_ADDL_CONTRIBUTIONS_EXP_DOM</t>
  </si>
  <si>
    <t>IQ_PENSION_UNFUNDED_ADDL_MIN_LIAB_DOM</t>
  </si>
  <si>
    <t>IQ_OPEB_SERVICE_COST_DOM</t>
  </si>
  <si>
    <t>IQ_OPEB_INTEREST_COST_DOM</t>
  </si>
  <si>
    <t>IQ_OPEB_EXP_RETURN_DOM</t>
  </si>
  <si>
    <t>IQ_OPEB_OTHER_COST_DOM</t>
  </si>
  <si>
    <t>IQ_OPEB_TOTAL_COST_DOM</t>
  </si>
  <si>
    <t>IQ_OPEB_SUPPLE_PLANS_TOTAL_COST_DOM</t>
  </si>
  <si>
    <t>IQ_OPEB_TOTAL_COST_INCL_SUPPLE_PLANS_DOM</t>
  </si>
  <si>
    <t>IQ_OPEB_OBLIGATION_INTEREST_COST_DOM</t>
  </si>
  <si>
    <t>IQ_OPEB_OBLIGATION_EMPLOYEE_CONTRIBUTIONS_DOM</t>
  </si>
  <si>
    <t>IQ_OPEB_OBLIGATION_ACTUARIAL_GAIN_LOSS_DOM</t>
  </si>
  <si>
    <t>IQ_OPEB_OBLIGATION_PAID_DOM</t>
  </si>
  <si>
    <t>IQ_OPEB_OBLIGATION_FX_ADJ_DOM</t>
  </si>
  <si>
    <t>IQ_OPEB_OBLIGATION_ACQ_DOM</t>
  </si>
  <si>
    <t>IQ_OPEB_OBLIGATION_CURTAIL_DOM</t>
  </si>
  <si>
    <t>IQ_OPEB_OBLIGATION_OTHER_PLAN_ADJ_DOM</t>
  </si>
  <si>
    <t>IQ_OPEB_OBLIGATION_PROJECTED_DOM</t>
  </si>
  <si>
    <t>IQ_OPEB_OBLIGATION_ACCUMULATED_DOM</t>
  </si>
  <si>
    <t>IQ_OPEB_ASSETS_BEG_DOM</t>
  </si>
  <si>
    <t>IQ_OPEB_ASSETS_ACTUAL_RETURN_DOM</t>
  </si>
  <si>
    <t>IQ_OPEB_ASSETS_EMPLOYER_CONTRIBUTIONS_DOM</t>
  </si>
  <si>
    <t>IQ_OPEB_ASSETS_PARTICIP_CONTRIBUTIONS_DOM</t>
  </si>
  <si>
    <t>IQ_OPEB_ASSETS_BENEFITS_PAID_DOM</t>
  </si>
  <si>
    <t>IQ_OPEB_ASSETS_FX_ADJ_DOM</t>
  </si>
  <si>
    <t>IQ_OPEB_ASSETS_ACQ_DOM</t>
  </si>
  <si>
    <t>IQ_OPEB_ASSETS_CURTAIL_DOM</t>
  </si>
  <si>
    <t>IQ_OPEB_ASSETS_OTHER_PLAN_ADJ_DOM</t>
  </si>
  <si>
    <t>IQ_OPEB_ASSETS_DOM</t>
  </si>
  <si>
    <t>IQ_OPEB_DISC_RATE_MIN_DOM</t>
  </si>
  <si>
    <t>IQ_OPEB_DISC_RATE_MAX_DOM</t>
  </si>
  <si>
    <t>IQ_OPEB_RATE_COMP_INCREASE_MIN_DOM</t>
  </si>
  <si>
    <t>IQ_OPEB_RATE_COMP_INCREASE_MAX_DOM</t>
  </si>
  <si>
    <t>IQ_OPEB_EXP_RATE_RETURN_MIN_DOM</t>
  </si>
  <si>
    <t>IQ_OPEB_EXP_RATE_RETURN_MAX_DOM</t>
  </si>
  <si>
    <t>IQ_OPEB_BREAKDOWN_PCT_EQ_DOM</t>
  </si>
  <si>
    <t>IQ_OPEB_BREAKDOWN_PCT_FI_DOM</t>
  </si>
  <si>
    <t>IQ_OPEB_BREAKDOWN_PCT_RE_DOM</t>
  </si>
  <si>
    <t>IQ_OPEB_BREAKDOWN_PCT_OTHER_DOM</t>
  </si>
  <si>
    <t>IQ_OPEB_BREAKDOWN_EQ_DOM</t>
  </si>
  <si>
    <t>IQ_OPEB_BREAKDOWN_FI_DOM</t>
  </si>
  <si>
    <t>IQ_OPEB_BREAKDOWN_RE_DOM</t>
  </si>
  <si>
    <t>IQ_OPEB_BREAKDOWN_OTHER_DOM</t>
  </si>
  <si>
    <t>IQ_OPEB_CI_ACT_DOM</t>
  </si>
  <si>
    <t>IQ_OPEB_CI_PRIOR_SERVICE_DOM</t>
  </si>
  <si>
    <t>IQ_OPEB_CI_TRANSITION_DOM</t>
  </si>
  <si>
    <t>IQ_OPEB_CI_OTHER_MISC_ADJ_DOM</t>
  </si>
  <si>
    <t>IQ_OPEB_CI_NET_AMT_RECOG_DOM</t>
  </si>
  <si>
    <t>IQ_OPEB_PBO_ASSUMED_RATE_RET_MIN_DOM</t>
  </si>
  <si>
    <t>IQ_OPEB_PBO_ASSUMED_RATE_RET_MAX_DOM</t>
  </si>
  <si>
    <t>IQ_OPEB_PBO_RATE_COMP_INCREASE_MIN_DOM</t>
  </si>
  <si>
    <t>IQ_OPEB_PBO_RATE_COMP_INCREASE_MAX_DOM</t>
  </si>
  <si>
    <t>IQ_OPEB_EST_BENEFIT_1YR_DOM</t>
  </si>
  <si>
    <t>IQ_OPEB_EST_BENEFIT_2YR_DOM</t>
  </si>
  <si>
    <t>IQ_OPEB_EST_BENEFIT_3YR_DOM</t>
  </si>
  <si>
    <t>IQ_OPEB_EST_BENEFIT_4YR_DOM</t>
  </si>
  <si>
    <t>IQ_OPEB_EST_BENEFIT_5YR_DOM</t>
  </si>
  <si>
    <t>IQ_OPEB_EST_BENEFIT_AFTER5_DOM</t>
  </si>
  <si>
    <t>IQ_OPEB_PREPAID_COST_DOM</t>
  </si>
  <si>
    <t>IQ_OPEB_ACCRUED_LIAB_DOM</t>
  </si>
  <si>
    <t>IQ_OPEB_INTAN_ASSETS_DOM</t>
  </si>
  <si>
    <t>IQ_OPEB_ACCUM_OTHER_CI_DOM</t>
  </si>
  <si>
    <t>IQ_OPEB_LT_ASSETS_DOM</t>
  </si>
  <si>
    <t>IQ_OPEB_CL_DOM</t>
  </si>
  <si>
    <t>IQ_OPEB_LT_LIAB_DOM</t>
  </si>
  <si>
    <t>IQ_OPEB_OTHER_DOM</t>
  </si>
  <si>
    <t>IQ_OPEB_UNRECOG_PRIOR_DOM</t>
  </si>
  <si>
    <t>IQ_OPEB_OTHER_ADJ_DOM</t>
  </si>
  <si>
    <t>IQ_OPEB_NET_ASSET_RECOG_DOM</t>
  </si>
  <si>
    <t>IQ_OPEB_INCREASE_EFFECT_SERVICE_INT_COST_DOM</t>
  </si>
  <si>
    <t>IQ_OPEB_INCREASE_EFFECT_PBO_DOM</t>
  </si>
  <si>
    <t>IQ_OPEB_DECREASE_EFFECT_SERVICE_INT_COST_DOM</t>
  </si>
  <si>
    <t>IQ_OPEB_DECREASE_EFFECT_PBO_DOM</t>
  </si>
  <si>
    <t>IQ_OPEB_HEALTH_COST_TREND_INITIAL_DOM</t>
  </si>
  <si>
    <t>IQ_OPEB_HEALTH_COST_TREND_ULTIMATE_DOM</t>
  </si>
  <si>
    <t>IQ_PENSION_SERVICE_COST_FOREIGN</t>
  </si>
  <si>
    <t>IQ_PENSION_INTEREST_COST_FOREIGN</t>
  </si>
  <si>
    <t>IQ_PENSION_OBLIGATION_ROA_FOREIGN</t>
  </si>
  <si>
    <t>IQ_PENSION_OBLIGATION_OTHER_COST_FOREIGN</t>
  </si>
  <si>
    <t>IQ_PENSION_OBLIGATION_TOTAL_COST_FOREIGN</t>
  </si>
  <si>
    <t>IQ_PENSION_OBLIGATION_SUPPLE_PLANS_TOTAL_COST_FOREIGN</t>
  </si>
  <si>
    <t>IQ_PENSION_OBLIGATION_TOTAL_COST_INCL_SUPPLE_PLANS_FOREIGN</t>
  </si>
  <si>
    <t>IQ_PENSION_OBLIGATION_BEG_FOREIGN</t>
  </si>
  <si>
    <t>IQ_PENSION_OBLIGATION_SERVICE_COST_FOREIGN</t>
  </si>
  <si>
    <t>IQ_PENSION_OBLIGATION_INTEREST_COST_FOREIGN</t>
  </si>
  <si>
    <t>IQ_PENSION_OBLIGATION_EMPLOYEE_CONTRIBUTIONS_FOREIGN</t>
  </si>
  <si>
    <t>IQ_PENSION_OBLIGATION_ACTUARIAL_GAIN_LOSS_FOREIGN</t>
  </si>
  <si>
    <t>IQ_PENSION_OBLIGATION_PAID_FOREIGN</t>
  </si>
  <si>
    <t>IQ_PENSION_OBLIGATION_FX_ADJ_FOREIGN</t>
  </si>
  <si>
    <t>IQ_PENSION_OBLIGATION_ACQ_FOREIGN</t>
  </si>
  <si>
    <t>IQ_PENSION_OBLIGATION_CURTAIL_FOREIGN</t>
  </si>
  <si>
    <t>IQ_PENSION_OBLIGATION_OTHER_PLAN_ADJ_FOREIGN</t>
  </si>
  <si>
    <t>IQ_PENSION_OBLIGATION_PROJECTED_FOREIGN</t>
  </si>
  <si>
    <t>IQ_PENSION_ACCUMULATED_OBLIGATION_FOREIGN</t>
  </si>
  <si>
    <t>IQ_PENSION_ASSETS_BEG_FOREIGN</t>
  </si>
  <si>
    <t>IQ_PENSION_ASSETS_ACTUAL_RETURN_FOREIGN</t>
  </si>
  <si>
    <t>IQ_PENSION_ASSETS_EMPLOYER_CONTRIBUTIONS_FOREIGN</t>
  </si>
  <si>
    <t>IQ_PENSION_ASSETS_PARTICIP_CONTRIBUTIONS_FOREIGN</t>
  </si>
  <si>
    <t>IQ_PENSION_ASSETS_BENEFITS_PAID_FOREIGN</t>
  </si>
  <si>
    <t>IQ_PENSION_ASSETS_FX_ADJ_FOREIGN</t>
  </si>
  <si>
    <t>IQ_PENSION_ASSETS_ACQ_FOREIGN</t>
  </si>
  <si>
    <t>IQ_PENSION_ASSETS_CURTAIL_FOREIGN</t>
  </si>
  <si>
    <t>IQ_PENSION_ASSETS_OTHER_PLAN_ADJ_FOREIGN</t>
  </si>
  <si>
    <t>IQ_PENSION_ASSETS_FOREIGN</t>
  </si>
  <si>
    <t>IQ_PENSION_DISC_RATE_MIN_FOREIGN</t>
  </si>
  <si>
    <t>IQ_PENSION_DISC_RATE_MAX_FOREIGN</t>
  </si>
  <si>
    <t>IQ_PENSION_RATE_COMP_INCREASE_MIN_FOREIGN</t>
  </si>
  <si>
    <t>IQ_PENSION_RATE_COMP_INCREASE_MAX_FOREIGN</t>
  </si>
  <si>
    <t>IQ_PENSION_EXP_RATE_RETURN_MIN_FOREIGN</t>
  </si>
  <si>
    <t>IQ_PENSION_EXP_RATE_RETURN_MAX_FOREIGN</t>
  </si>
  <si>
    <t>IQ_PENSION_BREAKDOWN_PCT_EQ_FOREIGN</t>
  </si>
  <si>
    <t>IQ_PENSION_BREAKDOWN_PCT_FI_FOREIGN</t>
  </si>
  <si>
    <t>IQ_PENSION_BREAKDOWN_PCT_RE_FOREIGN</t>
  </si>
  <si>
    <t>IQ_PENSION_BREAKDOWN_PCT_OTHER_FOREIGN</t>
  </si>
  <si>
    <t>IQ_PENSION_BREAKDOWN_EQ_FOREIGN</t>
  </si>
  <si>
    <t>IQ_PENSION_BREAKDOWN_FI_FOREIGN</t>
  </si>
  <si>
    <t>IQ_PENSION_BREAKDOWN_RE_FOREIGN</t>
  </si>
  <si>
    <t>IQ_PENSION_BREAKDOWN_OTHER_FOREIGN</t>
  </si>
  <si>
    <t>IQ_PENSION_CI_ACT_FOREIGN</t>
  </si>
  <si>
    <t>IQ_PENSION_CI_PRIOR_SERVICE_FOREIGN</t>
  </si>
  <si>
    <t>IQ_PENSION_CI_TRANSITION_FOREIGN</t>
  </si>
  <si>
    <t>IQ_PENSION_CI_OTHER_MISC_ADJ_FOREIGN</t>
  </si>
  <si>
    <t>IQ_PENSION_CI_NET_AMT_RECOG_FOREIGN</t>
  </si>
  <si>
    <t>IQ_PENSION_PRIOR_SERVICE_NEXT_FOREIGN</t>
  </si>
  <si>
    <t>IQ_PENSION_ACT_NEXT_FOREIGN</t>
  </si>
  <si>
    <t>IQ_PENSION_TRANSITION_NEXT_FOREIGN</t>
  </si>
  <si>
    <t>IQ_PENSION_AMT_RECOG_NEXT_FOREIGN</t>
  </si>
  <si>
    <t>IQ_PENSION_PBO_ASSUMED_RATE_RET_MIN_FOREIGN</t>
  </si>
  <si>
    <t>IQ_PENSION_PBO_ASSUMED_RATE_RET_MAX_FOREIGN</t>
  </si>
  <si>
    <t>IQ_PENSION_PBO_RATE_COMP_INCREASE_MIN_FOREIGN</t>
  </si>
  <si>
    <t>IQ_PENSION_PBO_RATE_COMP_INCREASE_MAX_FOREIGN</t>
  </si>
  <si>
    <t>IQ_PENSION_EST_BENEFIT_1YR_FOREIGN</t>
  </si>
  <si>
    <t>IQ_PENSION_EST_BENEFIT_2YR_FOREIGN</t>
  </si>
  <si>
    <t>IQ_PENSION_EST_BENEFIT_3YR_FOREIGN</t>
  </si>
  <si>
    <t>IQ_PENSION_EST_BENEFIT_4YR_FOREIGN</t>
  </si>
  <si>
    <t>IQ_PENSION_EST_BENEFIT_5YR_FOREIGN</t>
  </si>
  <si>
    <t>IQ_PENSION_EST_BENEFIT_AFTER5_FOREIGN</t>
  </si>
  <si>
    <t>IQ_PENSION_PREPAID_COST_FOREIGN</t>
  </si>
  <si>
    <t>IQ_PENSION_ACCRUED_LIAB_FOREIGN</t>
  </si>
  <si>
    <t>IQ_PENSION_INTAN_ASSETS_FOREIGN</t>
  </si>
  <si>
    <t>IQ_PENSION_ACCUM_OTHER_CI_FOREIGN</t>
  </si>
  <si>
    <t>IQ_PENSION_LT_ASSETS_FOREIGN</t>
  </si>
  <si>
    <t>IQ_PENSION_CL_FOREIGN</t>
  </si>
  <si>
    <t>IQ_PENSION_LT_LIAB_FOREIGN</t>
  </si>
  <si>
    <t>IQ_PENSION_OTHER_FOREIGN</t>
  </si>
  <si>
    <t>IQ_PENSION_UNRECOG_PRIOR_FOREIGN</t>
  </si>
  <si>
    <t>IQ_PENSION_OTHER_ADJ_FOREIGN</t>
  </si>
  <si>
    <t>IQ_PENSION_NET_ASSET_RECOG_FOREIGN</t>
  </si>
  <si>
    <t>IQ_PENSION_EST_CONTRIBUTIONS_NEXTYR_FOREIGN</t>
  </si>
  <si>
    <t>IQ_PENSION_QUART_EMPLOYER_CONTRIBUTIONS_FOREIGN</t>
  </si>
  <si>
    <t>IQ_PENSION_QUART_ADDL_CONTRIBUTIONS_EXP_FOREIGN</t>
  </si>
  <si>
    <t>IQ_PENSION_UNFUNDED_ADDL_MIN_LIAB_FOREIGN</t>
  </si>
  <si>
    <t>IQ_OPEB_SERVICE_COST_FOREIGN</t>
  </si>
  <si>
    <t>IQ_OPEB_INTEREST_COST_FOREIGN</t>
  </si>
  <si>
    <t>IQ_OPEB_EXP_RETURN_FOREIGN</t>
  </si>
  <si>
    <t>IQ_OPEB_OTHER_COST_FOREIGN</t>
  </si>
  <si>
    <t>IQ_OPEB_TOTAL_COST_FOREIGN</t>
  </si>
  <si>
    <t>IQ_OPEB_SUPPLE_PLANS_TOTAL_COST_FOREIGN</t>
  </si>
  <si>
    <t>IQ_OPEB_TOTAL_COST_INCL_SUPPLE_PLANS_FOREIGN</t>
  </si>
  <si>
    <t>IQ_OPEB_OBLIGATION_BEG_FOREIGN</t>
  </si>
  <si>
    <t>IQ_OPEB_OBLIGATION_SERVICE_COST_FOREIGN</t>
  </si>
  <si>
    <t>IQ_OPEB_OBLIGATION_INTEREST_COST_FOREIGN</t>
  </si>
  <si>
    <t>IQ_OPEB_OBLIGATION_EMPLOYEE_CONTRIBUTIONS_FOREIGN</t>
  </si>
  <si>
    <t>IQ_OPEB_OBLIGATION_ACTUARIAL_GAIN_LOSS_FOREIGN</t>
  </si>
  <si>
    <t>IQ_OPEB_OBLIGATION_PAID_FOREIGN</t>
  </si>
  <si>
    <t>IQ_OPEB_OBLIGATION_FX_ADJ_FOREIGN</t>
  </si>
  <si>
    <t>IQ_OPEB_OBLIGATION_ACQ_FOREIGN</t>
  </si>
  <si>
    <t>IQ_OPEB_OBLIGATION_CURTAIL_FOREIGN</t>
  </si>
  <si>
    <t>IQ_OPEB_OBLIGATION_OTHER_PLAN_ADJ_FOREIGN</t>
  </si>
  <si>
    <t>IQ_OPEB_OBLIGATION_PROJECTED_FOREIGN</t>
  </si>
  <si>
    <t>IQ_OPEB_OBLIGATION_ACCUMULATED_FOREIGN</t>
  </si>
  <si>
    <t>IQ_OPEB_ASSETS_BEG_FOREIGN</t>
  </si>
  <si>
    <t>IQ_OPEB_ASSETS_ACTUAL_RETURN_FOREIGN</t>
  </si>
  <si>
    <t>IQ_OPEB_ASSETS_EMPLOYER_CONTRIBUTIONS_FOREIGN</t>
  </si>
  <si>
    <t>IQ_OPEB_ASSETS_PARTICIP_CONTRIBUTIONS_FOREIGN</t>
  </si>
  <si>
    <t>IQ_OPEB_ASSETS_BENEFITS_PAID_FOREIGN</t>
  </si>
  <si>
    <t>IQ_OPEB_ASSETS_FX_ADJ_FOREIGN</t>
  </si>
  <si>
    <t>IQ_OPEB_ASSETS_ACQ_FOREIGN</t>
  </si>
  <si>
    <t>IQ_OPEB_ASSETS_CURTAIL_FOREIGN</t>
  </si>
  <si>
    <t>IQ_OPEB_ASSETS_OTHER_PLAN_ADJ_FOREIGN</t>
  </si>
  <si>
    <t>IQ_OPEB_ASSETS_FOREIGN</t>
  </si>
  <si>
    <t>IQ_OPEB_DISC_RATE_MIN_FOREIGN</t>
  </si>
  <si>
    <t>IQ_OPEB_DISC_RATE_MAX_FOREIGN</t>
  </si>
  <si>
    <t>IQ_OPEB_RATE_COMP_INCREASE_MIN_FOREIGN</t>
  </si>
  <si>
    <t>IQ_OPEB_RATE_COMP_INCREASE_MAX_FOREIGN</t>
  </si>
  <si>
    <t>IQ_OPEB_EXP_RATE_RETURN_MIN_FOREIGN</t>
  </si>
  <si>
    <t>IQ_OPEB_EXP_RATE_RETURN_MAX_FOREIGN</t>
  </si>
  <si>
    <t>IQ_OPEB_BREAKDOWN_PCT_EQ_FOREIGN</t>
  </si>
  <si>
    <t>IQ_OPEB_BREAKDOWN_PCT_FI_FOREIGN</t>
  </si>
  <si>
    <t>IQ_OPEB_BREAKDOWN_PCT_RE_FOREIGN</t>
  </si>
  <si>
    <t>IQ_OPEB_BREAKDOWN_PCT_OTHER_FOREIGN</t>
  </si>
  <si>
    <t>IQ_OPEB_BREAKDOWN_EQ_FOREIGN</t>
  </si>
  <si>
    <t>IQ_OPEB_BREAKDOWN_FI_FOREIGN</t>
  </si>
  <si>
    <t>IQ_OPEB_BREAKDOWN_RE_FOREIGN</t>
  </si>
  <si>
    <t>IQ_OPEB_BREAKDOWN_OTHER_FOREIGN</t>
  </si>
  <si>
    <t>IQ_OPEB_CI_ACT_FOREIGN</t>
  </si>
  <si>
    <t>IQ_OPEB_CI_PRIOR_SERVICE_FOREIGN</t>
  </si>
  <si>
    <t>IQ_OPEB_CI_TRANSITION_FOREIGN</t>
  </si>
  <si>
    <t>IQ_OPEB_CI_OTHER_MISC_ADJ_FOREIGN</t>
  </si>
  <si>
    <t>IQ_OPEB_CI_NET_AMT_RECOG_FOREIGN</t>
  </si>
  <si>
    <t>IQ_OPEB_PRIOR_SERVICE_NEXT_FOREIGN</t>
  </si>
  <si>
    <t>IQ_OPEB_ACT_NEXT_FOREIGN</t>
  </si>
  <si>
    <t>IQ_OPEB_TRANSITION_NEXT_FOREIGN</t>
  </si>
  <si>
    <t>IQ_OPEB_AMT_RECOG_NEXT_FOREIGN</t>
  </si>
  <si>
    <t>IQ_OPEB_PBO_ASSUMED_RATE_RET_MIN_FOREIGN</t>
  </si>
  <si>
    <t>IQ_OPEB_PBO_ASSUMED_RATE_RET_MAX_FOREIGN</t>
  </si>
  <si>
    <t>IQ_OPEB_PBO_RATE_COMP_INCREASE_MIN_FOREIGN</t>
  </si>
  <si>
    <t>IQ_OPEB_PBO_RATE_COMP_INCREASE_MAX_FOREIGN</t>
  </si>
  <si>
    <t>IQ_OPEB_EST_BENEFIT_1YR_FOREIGN</t>
  </si>
  <si>
    <t>IQ_OPEB_EST_BENEFIT_2YR_FOREIGN</t>
  </si>
  <si>
    <t>IQ_OPEB_EST_BENEFIT_3YR_FOREIGN</t>
  </si>
  <si>
    <t>IQ_OPEB_EST_BENEFIT_4YR_FOREIGN</t>
  </si>
  <si>
    <t>IQ_OPEB_EST_BENEFIT_5YR_FOREIGN</t>
  </si>
  <si>
    <t>IQ_OPEB_EST_BENEFIT_AFTER5_FOREIGN</t>
  </si>
  <si>
    <t>IQ_OPEB_PREPAID_COST_FOREIGN</t>
  </si>
  <si>
    <t>IQ_OPEB_ACCRUED_LIAB_FOREIGN</t>
  </si>
  <si>
    <t>IQ_OPEB_INTAN_ASSETS_FOREIGN</t>
  </si>
  <si>
    <t>IQ_OPEB_ACCUM_OTHER_CI_FOREIGN</t>
  </si>
  <si>
    <t>IQ_OPEB_LT_ASSETS_FOREIGN</t>
  </si>
  <si>
    <t>IQ_OPEB_CL_FOREIGN</t>
  </si>
  <si>
    <t>IQ_OPEB_LT_LIAB_FOREIGN</t>
  </si>
  <si>
    <t>IQ_OPEB_OTHER_FOREIGN</t>
  </si>
  <si>
    <t>IQ_OPEB_UNRECOG_PRIOR_FOREIGN</t>
  </si>
  <si>
    <t>IQ_OPEB_OTHER_ADJ_FOREIGN</t>
  </si>
  <si>
    <t>IQ_OPEB_NET_ASSET_RECOG_FOREIGN</t>
  </si>
  <si>
    <t>IQ_OPEB_INCREASE_EFFECT_SERVICE_INT_COST_FOREIGN</t>
  </si>
  <si>
    <t>IQ_OPEB_INCREASE_EFFECT_PBO_FOREIGN</t>
  </si>
  <si>
    <t>IQ_OPEB_DECREASE_EFFECT_SERVICE_INT_COST_FOREIGN</t>
  </si>
  <si>
    <t>IQ_OPEB_DECREASE_EFFECT_PBO_FOREIGN</t>
  </si>
  <si>
    <t>IQ_OPEB_HEALTH_COST_TREND_INITIAL_FOREIGN</t>
  </si>
  <si>
    <t>IQ_OPEB_HEALTH_COST_TREND_ULTIMATE_FOREIGN</t>
  </si>
  <si>
    <t>Disclaimer:</t>
  </si>
  <si>
    <t>Intelligence LLC governing the subscription service to which this model is applied.</t>
  </si>
  <si>
    <t xml:space="preserve">This model and/or any data in it are provided subject to the written agreement of S&amp;P Global Market </t>
  </si>
  <si>
    <t>Divisor</t>
  </si>
  <si>
    <r>
      <rPr>
        <b/>
        <sz val="8"/>
        <rFont val="Arial"/>
        <family val="2"/>
      </rPr>
      <t>Step 3:</t>
    </r>
    <r>
      <rPr>
        <sz val="8"/>
        <rFont val="Arial"/>
        <family val="2"/>
      </rPr>
      <t xml:space="preserve"> Enter Valuation Date.</t>
    </r>
  </si>
  <si>
    <t>Format: mm/dd/yyyy</t>
  </si>
  <si>
    <t>FY0</t>
  </si>
  <si>
    <t>LTM</t>
  </si>
  <si>
    <t>Fiscal Year</t>
  </si>
  <si>
    <t>Fiscal Quarter</t>
  </si>
  <si>
    <t>Last Twelve Months</t>
  </si>
  <si>
    <t>Period Format</t>
  </si>
  <si>
    <t>Current</t>
  </si>
  <si>
    <t>Previous</t>
  </si>
  <si>
    <t>Next</t>
  </si>
  <si>
    <t>FY-1</t>
  </si>
  <si>
    <t>FQ-1</t>
  </si>
  <si>
    <t>LTM-1</t>
  </si>
  <si>
    <t>FY+1</t>
  </si>
  <si>
    <t>FQ+1</t>
  </si>
  <si>
    <t>FY+2</t>
  </si>
  <si>
    <t>FY+3</t>
  </si>
  <si>
    <r>
      <rPr>
        <b/>
        <sz val="8"/>
        <rFont val="Arial"/>
        <family val="2"/>
      </rPr>
      <t>Step 2:</t>
    </r>
    <r>
      <rPr>
        <sz val="8"/>
        <rFont val="Arial"/>
        <family val="2"/>
      </rPr>
      <t xml:space="preserve"> Enter required Period Format.</t>
    </r>
  </si>
  <si>
    <t>Format: FY0, FQ0, LTM</t>
  </si>
  <si>
    <t>IQ_INT_INC_TOTAL</t>
  </si>
  <si>
    <t>Capitalization</t>
  </si>
  <si>
    <t>Shares Outstanding (actual)</t>
  </si>
  <si>
    <t>Ticker-Exchange Format: AKR-US or NYSE:AKR</t>
  </si>
  <si>
    <t>FQ-5</t>
  </si>
  <si>
    <t>FQ-4</t>
  </si>
  <si>
    <t>FQ-3</t>
  </si>
  <si>
    <t>FQ-2</t>
  </si>
  <si>
    <t>Logic for hide null macro</t>
  </si>
  <si>
    <r>
      <rPr>
        <b/>
        <sz val="8"/>
        <color theme="1"/>
        <rFont val="Arial"/>
        <family val="2"/>
      </rPr>
      <t>Step 1)</t>
    </r>
    <r>
      <rPr>
        <sz val="8"/>
        <color theme="1"/>
        <rFont val="Arial"/>
        <family val="2"/>
      </rPr>
      <t xml:space="preserve"> Hit 'HIDE' to hide rows with "NA" throughout. Hit 'UNHIDE' to undo.</t>
    </r>
  </si>
  <si>
    <t>Original</t>
  </si>
  <si>
    <t>Please contact S&amp;P Capital IQ Pro support with any questions or comments:</t>
  </si>
  <si>
    <t>support.CapIQPro@spglobal.com</t>
  </si>
  <si>
    <r>
      <rPr>
        <b/>
        <sz val="8"/>
        <rFont val="Arial"/>
        <family val="2"/>
      </rPr>
      <t>Step 1:</t>
    </r>
    <r>
      <rPr>
        <sz val="8"/>
        <rFont val="Arial"/>
        <family val="2"/>
      </rPr>
      <t xml:space="preserve"> Enter Ticker-Exchange or Entity ID.</t>
    </r>
  </si>
  <si>
    <t>Source: S&amp;P Capital IQ Pro</t>
  </si>
  <si>
    <t>1) Select S&amp;P Capital IQ Pro Add-In manual refresh option.</t>
  </si>
  <si>
    <t>䕁䅣杕䉂䕁䄴䅖䙂䕁䅑䅁ぁ睁䅁䅑䅁䕁䅫兕時䕁䄸䅕啂䕁䅫睔佂䙁䅍睘呂䙁䅑杕䩂䕁䅳兒時䙁䅁杕䩂䕁䅍兒時䕁䅣杕䉂䕁䄴䅖䙂䕁䅑䅁祁睁䅁李䅁䕁䅫兕時䕁䄸䅕啂䕁䅫睔佂䙁䅍睘呂䙁䅑杕䩂䕁䅳兒時䙁䅁杕䩂䕁䅍兒時䕁䄸睕䅁䑁䑷䅁歁䅁䅁兓剂䙁䄸睔啂䕁䅧兒卂䙁䄸䅒䙂䕁䅉䅖時䙁䅁睑啂䅁䅁䄸䅁䉁䅷䅁䩂䙁䅅睘偂䙁䅑䅓䙂䙁䅉睘偂䙁䅁兒卂䅁䅁杴䅁䍁䅉䅁䩂䙁䅅睘偂䙁䅑䅓䙂䙁䅉睘噂䕁䄴䅒卂䕁䅅睖佂䅁䅁权䅅䍁䅉䅁䩂䙁䅅睘兂䙁䅉兒時䕁䄸䅕䙂䕁䄴睘䑂䕁䄸睕啂䅁䅁杲䅁䍁䅑䅁䩂䙁䅅睘兂䙁䅉睔坂䙁䄸村䉂䕁䅑睘䕂䕁䅕村啂䙁䅍䅁煃䅁䅁䅆䅁䕁䅫兕時䙁䅉睑時䙁䅁睑啂䅁䅁䄹䅁䉁䅑䅁䩂䙁䅅睘卂䕁䅑睘䙂䙁䅧䅕䅁䱁䅉䅁䭂䅁䅁兓剂䙁䄸杕䙂䕁䅑兖䑂䙁䅑兓偂䕁䄴睘啂䕁䅅䅗時䙁䅁睔呂䕁䅫䅖䩂䕁䄸杔時䕁䅍兖卂䙁䅉兒佂䙁䅑睘婂䙁䅉䅁䥁睁䅁䅓䅁䕁䅫兕時䙁䅉兒䕂䙁䅕睑啂䕁䅫睔佂䙁䄸䅖䉂䙁䅧睘兂䕁䄸睕䩂䙁䅑兓偂䕁䄴睘兂䙁䅉兓偂䙁䅉睘婂䙁䅉睕䅁乁䍙䅁畁䅁䅁兓剂䙁䄸杕䙂䙁䅍䅖䉂䙁䅑兒乂䕁䅕杔啂䙁䄸䅖婂䙁䅁兒時䕁䅉睕䅁䍁䑯䅁佁䅁䅁兓剂䙁䄸杕偂䕁䅅䅁㍄允䅁杄䅁䕁䅫兕時䙁䅉睔䑂䅁䅁眫䅅䉁䅁䅁䩂䙁䅅睘卂䕁䄸睑䙂䅁䅁儯䅅䅁䄴䅁䩂䙁䅅睘卂䕁䄸兒䅁偁䈸䅁㉁䅁䅁兓剂䙁䄸睕䙂䕁䅍睔佂䕁䅑睘䵂䕁䅫兒佂䙁䄸村偂䕁䄴䅒呂䙁䄸杔偂䙁䅑兒呂䅁䅁䅒䅅䑁䄴䅁䩂䙁䅅睘呂䕁䅕睑偂䕁䄴䅒時䕁䅷兓䙂䕁䄴睘䍂䕁䄸杔䕂䙁䅍睘佂䕁䄸䅖䙂䙁䅍睘兂䕁䅍䅖䅁䡁䉁䅁潁䅁䅁兓剂䙁䄸睕䙂䕁䅍睔佂䕁䅑睘䵂䕁䅫兒佂䙁䄸䅒䙂䕁䅉䅖䅁䕁䉙䅁睁䅁䅁兓剂䙁䄸睕䙂䕁䅍睔佂䕁䅑睘䵂䕁䅫兒佂䙁䄸䅒䙂䕁䅉䅖時䙁䅁睑啂䅁䅁杣䅅䍁䅯䅁䩂䙁䅅睘呂䕁䅕睑偂䕁䄴䅒時䕁䅷兓䙂䕁䄴睘䵂䕁䄸兑佂䙁䅍䅁䍂允䅁杍䅁䕁䅫兕時䙁䅍兒䑂䕁䄸杔䕂䙁䄸䅔䩂䕁䅕杔時䕁䅷睔䉂䕁䄴睕時䙁䅁睑啂䅁䅁杚䅅䍁䅁䅁䩂䙁䅅睘呂䕁䅕睑噂䙁䅉兒䕂䙁䄸䅒䙂䕁䅉䅖䅁䑁䉧䅁潁䅁䅁兓剂䙁䄸睕䙂䕁䅍兖卂䕁䅕䅒時䕁䅑兒䍂䙁䅑睘兂䕁䅍䅖䅁䙁䉷䅁潁䅁䅁兓剂䙁䄸睕䙂䕁䅍兖卂䕁䅫䅖䩂䙁䅯兒䕂䙁䄸䅒䙂䕁䅉䅖䅁䕁䉁䅁睁䅁䅁兓剂䙁䄸睕䙂䕁䅍兖卂䕁䅫䅖䩂䙁䅯兒䕂䙁䄸䅒䙂䕁䅉䅖時䙁䅁睑啂䅁䅁䅚䅅䑁䄴䅁䩂䙁䅅睘呂䕁䅕䅖啂䕁䅷兒乂䕁䅕杔啂䙁䅍睘啂䕁䅅䅗時䕁䅅兖啂䕁䅧睔卂䕁䅫䅖䩂䕁䅕睕䅁䅁䑷䅁捁䅁䅁兓剂䙁䄸睕䡂䕁䅅睘乂䕁䅅杕䡂䕁䅫杔䅁䅁䍍䅁慁䅁䅁兓剂䙁䄸睕䡂䕁䅅睘呂䙁䅕䅕兂䕁䅷䅁歃䅁䅁䅌䅁䕁䅫兕時䙁䅍杕時䕁䅉睔佂䕁䅑睕時䕁䄴睔啂䕁䅕睕時䙁䅁睑啂䅁䅁朹䅁䉁䅙䅁䩂䙁䅅睘呂䙁䅉睘䕂䕁䅕村啂䅁䅁䅇䅅䍁䅑䅁䩂䙁䅅睘呂䙁䅉睘䕂䕁䅕村啂䙁䄸兒䍂䕁䅫䅖䕂䕁䅅䅁䱃允䅁䅍䅁䕁䅫兕時䙁䅍杕時䕁䅑兒䍂䙁䅑睘䙂䕁䅉兓啂䕁䅑兑時䕁䅍兑兂䕁䅕䅗䅁䡁䈸䅁敁䅁䅁兓剂䙁䄸睕卂䙁䄸䅒䙂䕁䅉䅖時䙁䅁睑啂䅁䅁杈䅅䑁䅑䅁䩂䙁䅅睘呂䙁䅉睘呂䕁䅕睑噂䙁䅉兒䕂䙁䄸村偂䕁䄴䅒呂䙁䄸杔偂䙁䅑兒呂䅁䅁䅐䅅䑁䅷䅁䩂䙁䅅睘呂䙁䅉睘呂䕁䅕睑噂䙁䅉兒䕂䙁䄸村偂䕁䄴䅒呂䙁䄸杔偂䙁䅑兒呂䙁䄸䅕䑂䙁䅑䅁敂允䅁䅋䅁䕁䅫兕時䙁䅍杕時䙁䅍兒䑂䙁䅕杕䙂䕁䅑睘䵂䕁䄸兑佂䙁䅍䅁㙁允䅁䅍䅁䕁䅫兕時䙁䅍杕時䙁䅍兒䑂䙁䅕杕䙂䕁䅑睘䵂䕁䄸兑佂䙁䅍睘兂䕁䅍䅖䅁䙁䉙䅁敁䅁䅁兓剂䙁䄸睕卂䙁䄸睕噂䕁䅉睘䕂䕁䅕村啂䅁䅁䅆䅅䍁䅷䅁䩂䙁䅅睘呂䙁䅉睘呂䙁䅕村時䕁䅑兒䍂䙁䅑睘䙂䕁䅉兓啂䕁䅑兑䅁䩁䉍䅁㑁䅁䅁兓剂䙁䄸睕卂䙁䄸睕噂䕁䅉睘䕂䕁䅕村啂䙁䄸兒䍂䕁䅫䅖䕂䕁䅅睘䑂䕁䅅䅕䙂䙁䅧䅁䩃允䅁杊䅁䕁䅫兕時䙁䅍杕時䙁䅍兖䍂䙁䄸䅒䙂䕁䅉䅖時䙁䅁睑啂䅁䅁杊䅅䑁䅧䅁䩂䙁䅅睘呂䙁䅉睘噂䕁䄴睕䙂䕁䅍兖卂䕁䅕䅒時䕁䅉睔佂䕁䅑睕時䕁䄴睔啂䕁䅕睕䅁䑁䈴䅁䅂䅁䅁兓剂䙁䄸睕卂䙁䄸兖佂䙁䅍兒䑂䙁䅕杕䙂䕁䅑睘䍂䕁䄸杔䕂䙁䅍睘佂䕁䄸䅖䙂䙁䅍睘兂䕁䅍䅖䅁䝁䉁䅁敁䅁䅁兓剂䙁䄸睕啂䕁䄸睑䱂䙁䄸村䉂䙁䅍兒䕂䅁䅁䅲䅁䉁䅙䅁䩂䙁䅅睘呂䙁䅑睘䕂䕁䅕村啂䅁䅁杄䅅䉁䄴䅁䩂䙁䅅睘呂䙁䅑睘䕂䕁䅕村啂䙁䄸䅕䑂䙁䅑䅁杁允䅁杌䅁䕁䅫兕時䙁䅍兖䍂䙁䄸村偂䕁䄴䅒呂䙁䄸杔偂䙁䅑兒呂䙁䄸䅕䑂䙁䅑䅁㡄䅁䅁䅇䅁䕁䅫兕時䙁䅍兖䍂䙁䄸䅒䙂䕁䅉䅖䅁䉁䉙䅁流䅁䅁兓剂䙁䄸睕噂䕁䅉睘䕂䕁䅕村啂䙁䄸兒䍂䕁䅫䅖䕂䕁䅅䅁噃允䅁杍䅁䕁䅫兕時䙁䅍兖䍂䙁䄸䅒䙂䕁䅉䅖時䕁䅕村䩂䙁䅑䅒䉂䙁䄸睑䉂䙁䅁兒奂䅁䅁睬䅅䍁䅁䅁䩂䙁䅅睘呂䙁䅕村時䕁䅑兒䍂䙁䅑睘兂䕁䅍䅖䅁䍁䉧䅁睁䅁䅁兓剂䙁䄸睕噂䕁䅉睘䵂䕁䅕兑呂䕁䅕睘䉂䕁䅙䅖䙂䙁䅉睘䝂䕁䅫杖䙂䅁䅁儰䅅䍁䅧䅁䩂䙁䅅睘呂䙁䅕村時䕁䅷兒䉂䙁䅍兒時䕁䅫杔䑂䙁䄸睑婂䅁䅁典䅅䍁䅯䅁䩂䙁䅅睘呂䙁䅕村時䕁䅷兒䉂䙁䅍兒時䕁䅫杔䑂䙁䄸睑婂䑁䅅䅁䡄允䅁杋䅁䕁䅫兕時䙁䅍兖䍂䙁䄸䅔䙂䕁䅅睕䙂䙁䄸兓佂䕁䅍睘䑂䙁䅫杍䅁䵁䉫䅁煁䅁䅁兓剂䙁䄸睕噂䕁䅉睘䵂䕁䅕兑呂䕁䅕睘䩂䕁䄴睑時䕁䅍兗穁䅁䅁睹䅅䍁䅯䅁䩂䙁䅅睘呂䙁䅕村時䕁䅷兒䉂䙁䅍兒時䕁䅫杔䑂䙁䄸睑婂䑁䅑䅁乄允䅁杌䅁䕁䅫兕時䙁䅍兖䍂䙁䄸䅔䙂䕁䅅睕䙂䙁䄸杔䙂䙁䅧䅖時䕁䅙兓坂䕁䅕䅁偄允䅁䅌䅁䕁䅫兕時䙁䅑兑奂䙁䄸村䙂䕁䄴兒䝂䕁䅫䅖時䕁䅍杒時䑁䅅兗卂䅁䅁杹䅉䍁䅷䅁䩂䙁䅅睘啂䕁䅅䅗時䕁䅉兒佂䕁䅕杒䩂䙁䅑睘䑂䕁䅙睘祁䙁䅫杕䅁偁䍑䅁獁䅁䅁兓剂䙁䄸䅖䉂䙁䅧睘䍂䕁䅕杔䙂䕁䅙兓啂䙁䄸睑䝂䙁䄸睍婂䙁䅉䅁㑄杁䅁䅌䅁䕁䅫兕時䙁䅑兑奂䙁䄸村䙂䕁䄴兒䝂䕁䅫䅖時䕁䅍杒時䑁䅑兗卂䅁䅁末䅉䍁䅷䅁䩂䙁䅅睘啂䕁䅅䅗時䕁䅉兒佂䕁䅕杒䩂䙁䅑睘䑂䕁䅙睘ㅁ䙁䅫杕䅁偁䍷䅁㙁䅁䅁兓剂䙁䄸䅖䉂䙁䅧睘䍂䕁䅕杔䙂䕁䅙兓啂䙁䄸睑䝂䙁䄸兑䝂䙁䅑兒卂䙁䄸杒䩂䙁䅙兒䅁偁䌴䅁祁䅁䅁兓剂䙁䄸䅖䉂䙁䅧睘䍂䕁䅕杔䙂䕁䅙兓啂䙁䄸睑䝂䙁䄸杔偂䙁䄸兒奂䙁䅁䅁⭃杁䅁䅍䅁䕁䅫兕時䙁䅑兑奂䙁䄸村䙂䕁䄴兒䝂䕁䅫䅖時䕁䅍杒時䙁䅑睔啂䕁䅅䅔䅁䅁䑉䅁獁䅁䅁兓剂䙁䄸䅖䍂䙁䅙睘硁䙁䅫杕時䕁䅅杔佂䙁䄸睒卂䕁䄸睖啂䕁䅧䅁瑁杁䅁䅌䅁䕁䅫兕時䙁䅑村坂䙁䄸杍婂䙁䅉睘䉂䕁䄴杔時䕁䅣杕偂䙁䅣䅖䥂䅁䅁睖䅉䍁䅷䅁䩂䙁䅅睘啂䕁䅉杖時䑁䅍兗卂䙁䄸兑佂䕁䄴睘䡂䙁䅉睔塂䙁䅑䅓䅁䡁䍳䅁獁䅁䅁兓剂䙁䄸䅖䍂䙁䅙睘ㅁ䙁䅫杕時䕁䅅杔佂䙁䄸睒卂䕁䄸睖啂䕁䅧䅁桃杁䅁䅊䅁䕁䅫兕時䙁䅑兒卂䕁䄰睘䵂䕁䄸兑佂䙁䅍睘兂䕁䅍䅖䅁偁䅧䅁⭁䅁䅁兓剂䙁䄸䅖偂䙁䅑兑䵂䙁䄸兑呂䙁䅍兒啂䙁䅍睘硁䙁䅫杕時䕁䅅杔佂䙁䄸睒卂䕁䄸睖啂䕁䅧䅁牁杁䅁材䅁䕁䅫兕時䙁䅑睔啂䕁䅅䅔時䕁䅅睕呂䕁䅕䅖呂䙁䄸杍婂䙁䅉睘䉂䕁䄴杔時䕁䅣杕偂䙁䅣䅖䥂䅁䅁兖䅉䑁䄴䅁䩂䙁䅅睘啂䕁䄸䅖䉂䕁䅷睘䉂䙁䅍睕䙂䙁䅑睕時䑁䅍兗卂䙁䄸兑佂䕁䄴睘䡂䙁䅉睔塂䙁䅑䅓䅁䡁䍫䅁⭁䅁䅁兓剂䙁䄸䅖偂䙁䅑兑䵂䙁䄸兑呂䙁䅍兒啂䙁䅍睘ㅁ䙁䅫杕時䕁䅅杔佂䙁䄸睒卂䕁䄸睖啂䕁䅧䅁晃杁䅁杌䅁䕁䅫兕時䙁䅑睔啂䕁䅅䅔時䕁䅍睔乂䕁䄰睔佂䙁䄸兒剂䙁䅕兓啂䙁䅫䅁睂䅁䅁䅈䅁䕁䅫兕時䙁䅑睔啂䕁䅅䅔時䕁䅑兒䍂䙁䅑䅁奁䅁䅁李䅁䕁䅫兕時䙁䅑睔啂䕁䅅䅔時䕁䅑兒䍂䙁䅑睘䙂䕁䅉兓啂䕁䅑兑時䕁䅍兑兂䕁䅕䅗䅁䥁䉍䅁㡁䅁䅁兓剂䙁䄸䅖偂䙁䅑兑䵂䙁䄸䅔䩂䕁䅅村時䙁䅑睔時䙁䅑睔啂䕁䅅䅔時䕁䅅睕呂䕁䅕䅖呂䅁䅁睳䅉䑁䅁䅁䩂䙁䅅睘啂䕁䄸䅖䉂䕁䅷睘偂䙁䅁䅖䩂䕁䄸杔呂䙁䄸村䙂䕁䅣睘偂䙁䅍䅁⭁睁䅁李䅁䕁䅫兕時䙁䅑睔啂䕁䅅䅔時䕁䄸䅕啂䕁䅫睔佂䙁䅍睘䑂䕁䅅杔䑂䕁䅕䅔䵂䕁䅕䅒䅁䕁䑙䅁睁䅁䅁兓剂䙁䄸䅖偂䙁䅑兑䵂䙁䄸睔兂䙁䅑兓偂䕁䄴睕時䕁䅕杔䕂䙁䄸睔呂䅁䅁䅓䅍䑁䅙䅁䩂䙁䅅睘啂䕁䄸䅖䉂䕁䅷睘偂䙁䅁䅖䩂䕁䄸杔呂䙁䄸兒奂䕁䅕杕䑂䕁䅫睕䙂䕁䅑䅁䍂睁䅁杍䅁䕁䅫兕時䙁䅑睔啂䕁䅅䅔時䕁䄸䅕啂䕁䅫睔佂䙁䅍睘䡂䙁䅉兑佂䙁䅑兒䕂䅁䅁䅑䅍䍁䅯䅁䩂䙁䅅睘啂䕁䄸䅖䉂䕁䅷睘兂䙁䅉兒䝂䙁䄸兒剂䙁䅕兓啂䙁䅫䅁慁䅁䅁杌䅁䕁䅫兕時䙁䅑睔啂䕁䅅䅔時䙁䅁杕䩂䕁䄴睑䩂䙁䅁兑䵂䙁䄸䅕䑂䙁䅑䅁祄䅁䅁杇䅁䕁䅫兕時䙁䅑睔啂䕁䅅䅔時䙁䅉兒坂䅁䅁兂䅁䑁䅧䅁䩂䙁䅅睘啂䕁䄸䅖䉂䕁䅷睘卂䕁䅕杖時䑁䅅兗卂䙁䄸兑佂䕁䄴睘䡂䙁䅉睔塂䙁䅑䅓䅁䅁䅁䅁㑁䅁䅁兓剂䙁䄸䅖偂䙁䅑兑䵂䙁䄸杕䙂䙁䅙睘祁䙁䅫杕時䕁䅅杔佂䙁䄸睒卂䕁䄸睖啂䕁䅧䅁㥁杁䅁䅏䅁䕁䅫兕時䙁䅑睔啂䕁䅅䅔時䙁䅉兒坂䙁䄸睍婂䙁䅉睘䉂䕁䄴杔時䕁䅣杕偂䙁䅣䅖䥂䅁䅁睚䅉䑁䅧䅁䩂䙁䅅睘啂䕁䄸䅖䉂䕁䅷睘卂䕁䅕杖時䑁䅕兗卂䙁䄸兑佂䕁䄴睘䡂䙁䅉睔塂䙁䅑䅓䅁䭁䌸䅁潁䅁䅁兓剂䙁䄸䅖偂䙁䅑兑䵂䙁䄸睕卂䙁䄸睕䙂䕁䅍兖卂䕁䅕䅒䅁䑁䉑䅁㉁䅁䅁兓剂䙁䄸䅖偂䙁䅑兑䵂䙁䄸睕卂䙁䄸睕䙂䕁䅍兖卂䕁䅕䅒時䕁䅕村䩂䙁䅑䅒䉂䅁䅁兦䅅䕁䅉䅁䩂䙁䅅睘啂䕁䄸䅖䉂䕁䅷睘呂䙁䅉睘呂䕁䅕睑噂䙁䅉兒䕂䙁䄸兒䍂䕁䅫䅖䕂䕁䅅睘䑂䕁䅅䅕䙂䙁䅧䅁剃允䅁䅍䅁䕁䅫兕時䙁䅑睔啂䕁䅅䅔時䙁䅍杕時䙁䅍兒䑂䙁䅕杕䙂䕁䅑睘兂䕁䅍䅖䅁䙁䉯䅁歁䅁䅁兓剂䙁䄸䅖偂䙁䅑兑䵂䙁䄸睕噂䕁䅉睘䕂䕁䅕村啂䅁䅁杇䅅䑁䅉䅁䩂䙁䅅睘啂䕁䄸䅖䉂䕁䅷睘呂䙁䅕村時䕁䅑兒䍂䙁䅑睘䙂䕁䅉兓啂䕁䅑兑䅁䥁䈰䅁⭁䅁䅁兓剂䙁䄸䅖偂䙁䅑兑䵂䙁䄸睕噂䕁䅉睘䕂䕁䅕村啂䙁䄸兒䍂䕁䅫䅖䕂䕁䅅睘䑂䕁䅅䅕䙂䙁䅧䅁䉃允䅁䅌䅁䕁䅫兕時䙁䅑睔啂䕁䅅䅔時䙁䅍兖䍂䙁䄸䅒䙂䕁䅉䅖時䙁䅁睑啂䅁䅁杉䅅䑁䅉䅁䩂䙁䅅睘啂䕁䄸䅖䉂䕁䅷睘塂䕁䅅杕卂䕁䅅杔啂䙁䅍睘䍂䕁䅕睒時䕁䄸睕䅁䙁䑙䅁㑁䅁䅁兓剂䙁䄸䅖偂䙁䅑兑䵂䙁䄸睖䉂䙁䅉杕䉂䕁䄴䅖呂䙁䄸睑䉂䕁䄴睑䙂䕁䅷䅔䙂䕁䅑䅁䕂睁䅁杍䅁䕁䅫兕時䙁䅑睔啂䕁䅅䅔時䙁䅣兑卂䙁䅉兑佂䙁䅑睕時䕁䅕杔䕂䙁䄸睔呂䅁䅁䅘䅍䑁䅧䅁䩂䙁䅅睘啂䕁䄸䅖䉂䕁䅷睘塂䕁䅅杕卂䕁䅅杔啂䙁䅍睘䙂䙁䅧兒卂䕁䅍兓呂䕁䅕䅒䅁䙁䑯䅁祁䅁䅁兓剂䙁䄸䅖偂䙁䅑兑䵂䙁䄸睖䉂䙁䅉杕䉂䕁䄴䅖呂䙁䄸兓呂䙁䅍兖䙂䕁䅑䅁奂睁䅁杊䅁䕁䅫兕時䙁䅑杕噂䙁䅍䅖時䙁䅁杕䙂䕁䅙兒卂䙁䅉兒䕂䅁䅁杓䅅䍁䄴䅁䩂䙁䅅睘啂䙁䅉兖呂䙁䅑睘兂䙁䅉兒䝂䕁䅕杕卂䕁䅕䅒時䙁䅁睑啂䅁䅁䅡䅅䍁䄴䅁䩂䙁䅅睘噂䕁䅙睑䝂䙁䄸免婂䙁䅉睘䉂䕁䄴杔時䕁䅣杕偂䙁䅣䅖䥂䅁䅁兎䅉䍁䄴䅁䩂䙁䅅睘噂䕁䅙睑䝂䙁䄸杍婂䙁䅉睘䉂䕁䄴杔時䕁䅣杕偂䙁䅣䅖䥂䅁䅁睓䅉䍁䄴䅁䩂䙁䅅睘噂䕁䅙睑䝂䙁䄸睍婂䙁䅉睘䉂䕁䄴杔時䕁䅣杕偂䙁䅣䅖䥂䅁䅁全䅉䍁䄴䅁䩂䙁䅅睘噂䕁䅙睑䝂䙁䄸兎婂䙁䅉睘䉂䕁䄴杔時䕁䅣杕偂䙁䅣䅖䥂䅁䅁睱䅉䉁䄴䅁䩂䙁䅅睘噂䕁䅙睑䝂䙁䄸兔䉂䙁䅉睒䩂䕁䄴䅁呁杁䅁䅋䅁䕁䅫兕時䙁䅕杔䉂䕁䄰睔卂䙁䅑睘䕂䕁䅫睕䑂䙁䄸䅕䑂䙁䅑䅁䅁允䅁杌䅁䕁䅫兕時䙁䅕杔䉂䕁䄰睔卂䙁䅑睘兂䙁䅉兒乂䕁䅫兖乂䙁䄸䅕䑂䙁䅑䅁⭄䅁䅁䅈䅁䕁䅫兕時䙁䅕杔䕂䙁䅉兑塂䕁䄴睘䑂䙁䅁䅁䝁允䅁䅊䅁䕁䅫兕時䙁䅕杔䕂䙁䅉兑塂䕁䄴睘䑂䙁䅉兒䕂䕁䅫䅖䅁䅁䉷䅁捁䅁䅁兓剂䙁䄸兖佂䕁䅑杕䉂䙁䅣杔時䙁䅉睑䅁䅁䉑䅁捁䅁䅁兓剂䙁䄸兖佂䕁䅑杕䉂䙁䅣杔時䙁䅑䅔䅁䅁䉧䅁䕂䅁䅁兓剂䙁䄸兖佂䙁䅉兒䑂䕁䄸睒時䙁䅑兑奂䙁䄸村䙂䕁䄴兒䝂䕁䅫䅖時䕁䅉兒䡂䙁䄸䅕䙂䙁䅉兓偂䕁䅑䅁䕁睁䅁䅒䅁䕁䅫兕時䙁䅕杔卂䕁䅕睑偂䕁䅣睘啂䕁䅅䅗時䕁䅉兒佂䕁䅕杒䩂䙁䅑睘䙂䕁䄴䅒時䙁䅁兒卂䕁䅫睔䕂䅁䅁䅅䅍䕁䅉䅁䩂䙁䅅睘噂䕁䄴杕䙂䕁䅍睔䡂䙁䄸䅖䉂䙁䅧睘䍂䕁䅕杔䙂䕁䅙兓啂䙁䄸睔啂䕁䅧兒卂䙁䄸兑䕂䕁䅯䅁佁睁䅁䅊䅁䕁䅫兕時䙁䅕杔呂䕁䅕睑噂䙁䅉兒䕂䙁䄸䅒䙂䕁䅉䅖䅁䑁䉙䅁獁䅁䅁兓剂䙁䄸兖佂䙁䅍兒䑂䙁䅕杕䙂䕁䅑睘䕂䕁䅕村啂䙁䄸䅕䑂䙁䅑䅁楂允䅁李䅁䕁䅫兕時䙁䅕睕時䕁䅣兑䉂䙁䅁睘䵂䕁䅫兑䍂䙁䄸䅖偂䙁䅑兑䵂䙁䄸䅔䩂䕁䅅村䅁䵁䍑䅁睁䅁䅁兓剂䙁䄸兖呂䙁䄸睒䉂䕁䅅䅕時䙁䅑睔啂䕁䅅䅔時䕁䅕兕噂䕁䅫䅖婂䅁䅁杸䅉䍁䅷䅁䩂䙁䅅睘坂䕁䅅杕䩂䕁䅅村䵂䕁䅕睘卂䕁䅅䅖䙂䙁䄸䅒䙂䕁䅉䅖䅁䙁䉁䅁ぁ䅁䅁兓剂䙁䄸杖䉂䙁䅉兓䉂䕁䅉䅔䙂䙁䄸杕䉂䙁䅑兒時䕁䅑兒䍂䙁䅑睘兂䕁䅍䅖䅁䝁䉯䅁流䅁䅁兓剂䙁䄸睖䉂䙁䅉杕䉂䕁䄴䅖呂䙁䄸村䙂䕁䅣睘偂䙁䅍䅁䭂睁䅁䅌䅁䕁䅫兕時䙁䅣兑卂䙁䅉兑佂䙁䅑睕時䕁䅍兑佂䕁䅍兒䵂䕁䅷兒䕂䅁䅁䅕䅍䍁䅙䅁䩂䙁䅅睘塂䕁䅅杕卂䕁䅅杔啂䙁䅍睘䙂䕁䄴䅒時䕁䄸睕䅁䙁䑉䅁獁䅁䅁兓剂䙁䄸睖䉂䙁䅉杕䉂䕁䄴䅖呂䙁䄸兒奂䕁䅕杕䑂䕁䅫睕䙂䕁䅑䅁佂睁䅁杊䅁䕁䅫兕時䙁䅣兑卂䙁䅉兑佂䙁䅑睕時䕁䅫睕呂䙁䅕兒䕂䅁䅁䅔䅍䕁䅁䅁䩂䙁䅅睘塂䕁䅅杕卂䕁䅅杔啂䙁䅍睘呂䙁䅑杕䩂䕁䅳兒時䙁䅁杕䩂䕁䅍兒時䕁䅫睕呂䙁䅕兒䕂䅁䅁䅍䅍䑁䅧䅁䩂䙁䅅睘塂䕁䅅杕卂䕁䅅杔啂䙁䅍睘呂䙁䅑杕䩂䕁䅳兒時䙁䅁杕䩂䕁䅍兒時䕁䄸睕䅁䙁䑑䅁祁䅁䅁兓剂䙁䄸睖啂䕁䅑睘䉂䙁䅙睒時䕁䅫杕時䕁䅅杒啂䕁䅕杕時䕁䅙兓坂䕁䅕䅁橄允䅁杉䅁䕁䅫兕時䙁䅣䅖䕂䙁䄸兑坂䕁䅣睘䩂䙁䅉睘䑂䙁䅫䅁灄允䅁䅊䅁䕁䅫兕時䙁䅣䅖䕂䙁䄸兑坂䕁䅣睘䩂䙁䅉睘䑂䙁䅫免䅁佁䈰䅁歁䅁䅁兓剂䙁䄸睖啂䕁䅑睘䉂䙁䅙睒時䕁䅫杕時䕁䅍兗祁䅁䅁眶䅅䍁䅑䅁䩂䙁䅅睘塂䙁䅑䅒時䕁䅅杖䡂䙁䄸兓卂䙁䄸睑婂䑁䅍䅁汄允䅁䅊䅁䕁䅫兕時䙁䅣䅖䕂䙁䄸兑坂䕁䅣睘䩂䙁䅉睘䑂䙁䅫䅎䅁佁䈸䅁獁䅁䅁兓剂䙁䄸睖啂䕁䅑睘䉂䙁䅙睒時䕁䅫杕時䕁䅷䅖時䕁䅑兒䍂䙁䅑䅁桄允䅁杍䅁䕁䅫兕時䙁䅣䅖䕂䙁䄸兑坂䕁䅣睘䩂䙁䅉睘啂䕁䄸䅖䉂䕁䅷睘䕂䕁䅕村啂䅁䅁眵䅅䍁䅧䅁䩂䙁䅅睘慂䕁䅕杕偂䙁䄸睑偂䙁䅕䅕偂䕁䄴睘䕂䕁䅕村啂䅁䅁䅔䅅䑁䅁䅁䩂䙁䅅睘慂䕁䅕杕偂䙁䄸睑偂䙁䅕䅕偂䕁䄴睘䕂䕁䅕村啂䙁䄸䅕䑂䙁䅑䅁獂允䅁杘䅁䕁䅫兢睂䝁䅅兡祂䍁䄴䅉療䝁䅙䅉偂䝁䅫䅢獁䍁䅁睒桂䡁䅍䅉流䍁䅁兔灂䝁䄴党祂䝁䅅䅢杁䙁䅁杣療䡁䅁杌杁䍁䅧杕求䡁䅁睢祂䡁䅑党歂䍁䅫䅁ㅃ䅁䅁杤䅁䕁䅫杢あ䝁䅕杣求䡁䅍䅤杁䝁䅅杢歂䍁䅁䅕求䝁䄴兙獂䡁䅑兡求䡁䅍䅉卂䝁䅕睙療䝁䅣杌杁䝁䄸杢杁䕁䅉睕杁䍁䄰䅉䉂䝁䅙䅤求䡁䅉䅉啂䝁䅅䅥杁䍁䅧杕求䡁䅁睢祂䡁䅑党歂䍁䅫䅁噁睁䅁䅥䅁䕁䅫杢あ䝁䅕杣求䡁䅍䅤杁䝁䅅杢歂䍁䅁䅕求䝁䄴兙獂䡁䅑兡求䡁䅍䅉卂䝁䅕睙療䝁䅣杌杁䝁䄸杢杁䕁䅉睕杁䍁䄰䅉䍂䝁䅕杚療䡁䅉党杁䙁䅑兙㑂䍁䅁䅋卂䝁䅕䅣療䡁䅉䅤求䝁䅑克䅁䉁䑍䅁㑁䅁䅁兓畂䡁䅙党畂䡁䅑睢祂䡁䅫䅌杁䑁䅅䅉婂䡁䅉杌杁䕁䅣杣療䡁䅣䅤潂䍁䅁䅋汁䍁䅫䅁潁杁䅁䅎䅁䕁䅫杢㉂䝁䅕杢あ䝁䄸杣㕂䍁䅷䅉祁䍁䅁兗祂䍁䄴䅉䑂䕁䅅睒卂䍁䅁䅋汁䍁䅫䅁卂杁䅁䅎䅁䕁䅫杢㉂䝁䅕杢あ䝁䄸杣㕂䍁䅷䅉穁䍁䅁兗祂䍁䄴䅉䑂䕁䅅睒卂䍁䅁䅋汁䍁䅫䅁㑂杁䅁䅎䅁䕁䅫杢㉂䝁䅕杢あ䝁䄸杣㕂䍁䅷䅉ㅁ䍁䅁兗祂䍁䄴䅉䑂䕁䅅睒卂䍁䅁䅋汁䍁䅫䅁奃杁䅁䅓䅁䕁䅯杣畁䍁䅁睕ㅂ䝁䅉䅉䕂䝁䅕杙あ䍁䅁睌杁䍁䅧兒䍂䕁䅫䅖䕂䕁䅅䅉瑁䍁䅁睑桂䡁䅁党㑂䍁䅫䅉潁䡁䅧克䅁䩁䉯䅁ぁ䅁䅁杓祂䍁䄴䅉呂䡁䅕杙杁䕁䅑党楂䡁䅑䅉癁䍁䅁兒䍂䕁䅫䅖䕂䕁䅅䅉潁䡁䅧克䅁䩁䉁䅁祁䅁䅁杓祂䍁䄴䅉呂䡁䅕杙畁䍁䅁䅒求䝁䅉䅤杁䍁䅧杕求䡁䅁睢祂䡁䅑党歂䍁䅫䅁呁允䅁䅐䅁䕁䅯杣畁䍁䅁睕ㅂ䝁䅉杌杁䕁䅑党楂䡁䅑睌杁䙁䅑睢あ䝁䅅䅢杁䕁䅑党楂䡁䅑䅉潁䍁䅕克䅁䍁䉕䅁捂䅁䅁䅔啂䍁䅁䅒求䝁䅉䅤杁䍁䅧兓畂䝁䅍䅢畁䍁䅁睑桂䡁䅁杌杁䕁䅷党桂䡁䅍党穂䍁䅫䅉䕂䡁䅕党杁䍁䅳免杁䍁䅧杕求䡁䅁睢祂䡁䅑党歂䍁䅫䅁捃允䅁䅘䅁䕁䅷䅖杁䕁䅑党楂䡁䅑䅉潁䕁䅫杢橂䝁䅷杌杁䕁䅍兙睂䍁䄴䅉䵂䝁䅕兙穂䝁䅕督灁䍁䅁䅒ㅂ䝁䅕䅉牁䑁䅉䅉潁䙁䅉党睂䝁䄸杣あ䝁䅕䅚灁䅁䅁杮䅅䙁䅷䅁䵂䙁䅑䅉䕂䝁䅕杙あ䍁䅁䅋䩂䝁䄴睙獂䍁䄴䅉䑂䝁䅅䅣畁䍁䅁䅔求䝁䅅督求䡁䅍克杁䕁䅑兤求䍁䅁睋穁䍁䅁䅋卂䝁䅕䅣療䡁䅉䅤求䝁䅑克䅁䭁䉁䅁捂䅁䅁䅔啂䍁䅁䅒求䝁䅉䅤杁䍁䅧兓畂䝁䅍䅢畁䍁䅁睑桂䡁䅁杌杁䕁䅷党桂䡁䅍党穂䍁䅫䅉䕂䡁䅕党杁䍁䅳䅎杁䍁䅧杕求䡁䅁睢祂䡁䅑党歂䍁䅫䅁楃允䅁䅘䅁䕁䅷䅖杁䕁䅑党楂䡁䅑䅉潁䕁䅫杢橂䝁䅷杌杁䕁䅍兙睂䍁䄴䅉䵂䝁䅕兙穂䝁䅕督灁䍁䅁䅒ㅂ䝁䅕䅉牁䑁䅕䅉潁䙁䅉党睂䝁䄸杣あ䝁䅕䅚灁䅁䅁䅰䅅䡁䅁䅁䵂䙁䅑䅉䕂䝁䅕杙あ䍁䅁䅋䩂䝁䄴睙獂䍁䄴䅉䑂䝁䅅䅣畁䍁䅁䅔求䝁䅅督求䡁䅍克杁䕁䅑兤求䍁䅷䅉䉂䝁䅙䅤求䡁䅉䅉ㅁ䍁䅁兗祂䡁䅍䅉潁䙁䅉党睂䝁䄸杣あ䝁䅕䅚灁䅁䅁杰䅅䝁䄴䅁䵂䙁䅑䅉䕂䝁䅕杙あ䍁䅁䅋䩂䝁䄴睙獂䍁䄴䅉䑂䝁䅅䅣畁䍁䅁䅔求䝁䅅督求䡁䅍克杁䕁䅑兤求䍁䅷䅉佂䝁䅕䅥あ䍁䅁兎杁䙁䅫杣穂䍁䅁䅋卂䝁䅕䅣療䡁䅉䅤求䝁䅑克䅁䭁䉧䅁流䅁䅁䅔啂䍁䅁䅒求䝁䅉䅤癁䕁䅕兣ㅂ䝁䅫䅤㕂䍁䅁䅋汁䍁䅫䅁ㅃ杁䅁䅃䅁䕁䅷䅖乂䅁䅁允䅁䙁䅙䅁䵂䝁䅅䅣穂䝁䅕䅉療䝁䅙䅉呂䡁䅑兙あ䡁䅕䅤求䍁䅁睢浂䍁䅁䅔灂䝁䄰兡あ䝁䅅䅤灂䝁䄸杢穂䍁䅁䅋卂䝁䅕䅣療䡁䅉䅤求䝁䅑克䅁䵁䍅䅁啂䅁䅁䅔求䡁䅙党獂䍁䅁免杁䕁䅅督穂䝁䅕䅤穂䍁䅁兌杁䙁䅅兤療䡁䅑党歂䍁䅁䅕祂䝁䅫睙求䡁䅍䅉潁䙁䅉党睂䝁䄸杣あ䝁䅕䅚灁䅁䅁兇䅍䙁䄴䅁䵂䝁䅕杤求䝁䅷䅉硁䍁䅁䅔灂䝁䅅杙灂䝁䅷兡あ䝁䅫党穂䍁䅁兌杁䙁䅅兤療䡁䅑党歂䍁䅁䅕祂䝁䅫睙求䡁䅍䅉潁䙁䅉党睂䝁䄸杣あ䝁䅕䅚灁䅁䅁睈䅍䙁䅷䅁䵂䝁䅕杤求䝁䅷䅉祁䍁䅁兑穂䡁䅍党あ䡁䅍䅉瑁䍁䅁睔楂䡁䅍党祂䡁䅙兙楂䝁䅷党杁䙁䅁杣灂䝁䅍党穂䍁䅁䅋卂䝁䅕䅣療䡁䅉䅤求䝁䅑克䅁佁䍳䅁浂䅁䅁䅔求䡁䅙党獂䍁䅁杍杁䕁䅷兡桂䝁䅉兡獂䝁䅫䅤灂䝁䅕督杁䍁䄰䅉偂䝁䅉督求䡁䅉杤桂䝁䅉䅢求䍁䅁䅕祂䝁䅫睙求䡁䅍䅉潁䙁䅉党睂䝁䄸杣あ䝁䅕䅚灁䅁䅁光䅍䝁䅁䅁䵂䝁䅕杤求䝁䅷䅉穁䍁䅁兑穂䡁䅍党あ䡁䅍䅉瑁䍁䅁兖畂䝁䄸杙穂䝁䅕杣㉂䝁䅅杙獂䝁䅕䅉兂䡁䅉兡橂䝁䅕督杁䍁䅧杕求䡁䅁睢祂䡁䅑党歂䍁䅫䅁扁睁䅁条䅁䕁䅷党㉂䝁䅕䅢杁䑁䅍䅉䵂䝁䅫兙楂䝁䅫䅢灂䡁䅑兡求䡁䅍䅉瑁䍁䅁兖畂䝁䄸杙穂䝁䅕杣㉂䝁䅅杙獂䝁䅕䅉兂䡁䅉兡橂䝁䅕督杁䍁䅧杕求䡁䅁睢祂䡁䅑党歂䍁䅫䅁橁睁䅁䅒䅁䕁䅷党㉂䝁䅕杣求䝁䅑䅉䝂䡁䅉党求䍁䅁睑桂䡁䅍䅡杁䕁䅙䅢療䡁䅣䅉乂䝁䅅杣湂䝁䅫杢杁䍁䅧兊灁䅁䅁杅䅉䙁䅉䅁䵂䝁䅕杤求䡁䅉党歂䍁䅁杒祂䝁䅕党杁䕁䅍兙穂䝁䅧䅉䝂䝁䅷睢㍂䍁䅷䅉硁䍁䅁兗祂䍁䄴䅉䡂䡁䅉睢㍂䡁䅑䅡杁䍁䅧兊灁䅁䅁杋䅉䕁䄴䅁䵂䝁䅕杤求䡁䅉党歂䍁䅁杒祂䝁䅕党杁䕁䅍兙穂䝁䅧䅉䝂䝁䅷睢㍂䍁䅷䅉祁䍁䅁兗祂䍁䄴䅉䑂䕁䅅睒卂䍁䅁䅋汁䍁䅫䅁敂杁䅁杔䅁䕁䅷党㉂䝁䅕杣求䝁䅑䅉䝂䡁䅉党求䍁䅁睑桂䡁䅍䅡杁䕁䅙䅢療䡁䅣䅌杁䑁䅍䅉婂䡁䅉杌杁䕁䅍兑䡂䙁䅉䅉潁䍁䅕克䅁䥁䍑䅁佂䅁䅁䅔求䡁䅙党祂䝁䅕䅚杁䕁䅙杣求䝁䅕䅉䑂䝁䅅督潂䍁䅁杒獂䝁䄸睤獁䍁䅁兎杁䙁䅫杣畁䍁䅁睑䉂䕁䅣杕杁䍁䅧兊灁䅁䅁東䅉䙁䅷䅁䵂䝁䄸杢湂䍁䄰䅖求䡁䅉兢杁䕁䅑党楂䡁䅑䅉潁䕁䅫杢橂䝁䅷杌杁䕁䅍兙睂䍁䄴䅉䵂䝁䅕兙穂䝁䅕督灁䍁䅁䅋卂䝁䅕䅣療䡁䅉䅤求䝁䅑克䅁䍁䈸䅁浂䅁䅁䅔療䝁䄴睚瑁䙁䅑党祂䝁䄰䅉䕂䝁䅕杙あ䍁䅁䅋䩂䝁䄴睙獂䍁䄴䅉䑂䝁䅅䅣畁䍁䅁䅔求䝁䅅督求䡁䅍克癁䍁䅁䅖療䡁䅑兙獂䍁䅁䅒求䝁䅉䅤杁䍁䅧兊灁䅁䅁兖䅅䕁䅙䅁䵂䝁䄸杢湂䍁䄰䅖求䡁䅉兢杁䕁䅑党楂䡁䅑䅉癁䍁䅁䅖療䡁䅑兙獂䍁䅁睑桂䡁䅁兡あ䝁䅅䅢杁䍁䅧兊灁䅁䅁睴䅉䑁䅙䅁乂䝁䅅杣牂䝁䅕䅤杁䕁䅍兙睂䝁䅫䅤桂䝁䅷兡㙂䝁䅅䅤灂䝁䄸杢杁䍁䅧䅊乂䍁䅫䅁牃兂䅁䅈䅁䕁䄰兙祂䝁䅳党あ䡁䅍杌卂䝁䅅杢湂䝁䅕䅁塃兂䅁䅖䅁䕁䄰兙㑂䍁䄴䅉婂䝁䅕兙祂䍁䅁杚療䡁䅉䅉䑂䝁䅅䅣灂䡁䅑兙獂䍁䅁䅔療䡁䅍督杁䕁䅍兙祂䡁䅉入杁䕁䅙睢祂䡁䅣兙祂䝁䅑䅉䅁偁䍍䅁䍂䅁䅁兔桂䡁䅧杌杁䙁䅫党桂䡁䅉䅉浂䝁䄸杣杁䕁䄴睔䵂䍁䅁睑桂䡁䅉杣㕂䍁䅁杒療䡁䅉睤桂䡁䅉䅚杁䅁䅁儶䅉䙁䅉䅁乂䝁䅅䅥畁䍁䅁兗求䝁䅅杣杁䝁䅙睢祂䍁䅁䅖桂䡁䅧䅉䍂䝁䅕杢求䝁䅙兡あ䍁䅁睑桂䡁䅉杣㕂䍁䅁杒療䡁䅉睤桂䡁䅉䅚杁䅁䅁允䅍䅁䅙䅁佂䕁䅅䅁硁䅁䅁杏䅁䕁䄴兑卂䕁䅕兓啂䙁䄸睕桂䝁䄰党呂䡁䅑睢祂䝁䅕睘䑂䝁䄸兢睂䝁䅅杢㕂䕁䅷兡穂䡁䅑䅁婄睁䅁䅘䅁䕁䄴睔䵂䍁䅁睑桂䡁䅉杣㕂䝁䅙睢祂䡁䅣兙祂䝁䅑䅌杁䕁䅅杚あ䝁䅕杣杁䕁䅙兡㉂䝁䅕䅉婂䝁䅕兙祂䡁䅍䅉潁䙁䅉党睂䝁䄸杣あ䝁䅕䅚灁䅁䅁兺䅉䙁䅑䅁佂䕁䄸䅔杁䕁䅍兙祂䡁䅉入浂䝁䄸杣㍂䝁䅅杣歂䍁䅷䅉䑂䡁䅕杣祂䝁䅕杢あ䍁䅁兗求䝁䅅杣杁䍁䅧杕求䡁䅁睢祂䡁䅑党歂䍁䅫䅁䩄杁䅁䅘䅁䕁䄴睔䵂䍁䅁睑桂䡁䅉杣㕂䝁䅙睢祂䡁䅣兙祂䝁䅑䅌杁䕁䅍兤祂䡁䅉党畂䡁䅑䅉婂䝁䅕兙祂䍁䅁睋杁䑁䅅䅉潁䙁䅉党睂䝁䄸杣あ䝁䅕䅚灁䅁䅁儰䅉䙁䅷䅁佂䕁䄸䅔杁䕁䅍兙祂䡁䅉入浂䝁䄸杣㍂䝁䅅杣歂䍁䅷䅉䑂䡁䅕杣祂䝁䅕杢あ䍁䅁兗求䝁䅅杣杁䍁䅳䅉祁䍁䅁䅋卂䝁䅕䅣療䡁䅉䅤求䝁䅑克䅁乁䍍䅁捂䅁䅁杔偂䕁䅷䅉䑂䝁䅅杣祂䡁䅫杚療䡁䅉睤桂䡁䅉䅚獁䍁䅁睑ㅂ䡁䅉杣求䝁䄴䅤杁䙁䅫党桂䡁䅉䅉牁䍁䅁睍杁䍁䅧杕求䡁䅁睢祂䡁䅑党歂䍁䅫䅁噄杁䅁䅘䅁䕁䄴睔䵂䍁䅁睑桂䡁䅉杣㕂䝁䅙睢祂䡁䅣兙祂䝁䅑䅌杁䕁䅍兤祂䡁䅉党畂䡁䅑䅉婂䝁䅕兙祂䍁䅁睋杁䑁䅑䅉潁䙁䅉党睂䝁䄸杣あ䝁䅕䅚灁䅁䅁睷䅉䙁䅙䅁佂䕁䄸䅔杁䕁䅍兙祂䡁䅉入浂䝁䄸杣㍂䝁䅅杣歂䍁䅷䅉佂䝁䄸䅉䙂䡁䅧䅣灂䡁䅉兙あ䝁䅫睢畂䍁䅁䅋卂䝁䅕䅣療䡁䅉䅤求䝁䅑克䅁䵁䌸䅁潁䅁䅁杔求䡁䅑䅉䕂䝁䅕杙あ䍁䅁䅋卂䝁䅕䅣療䡁䅉䅤求䝁䅑克䅁䉁䉅䅁獁䅁䅁杔求䡁䅑䅉䕂䝁䅕杙あ䍁䅁睌杁䕁䅕村䩂䙁䅑䅒䉂䍁䅁䅋㑂䍁䅫䅁䝃允䅁䅏䅁䕁䄴党あ䍁䅁䅒求䝁䅉䅤癁䍁䅧兒䍂䕁䅫䅖䕂䕁䅅兌䑂䕁䅅䅕䙂䙁䅧克杁䍁䅧䅥灁䅁䅁䅩䅅䕁䅷䅁佂䝁䅕䅤杁䕁䅫杢橂䍁䄴䅉䉂䡁䅙兙灂䝁䅷杌杁䝁䅙睢祂䍁䅁睑療䝁䄰兢療䝁䄴䅉乂䝁䅅杣湂䝁䅫杢杁䍁䅧兊灁䅁䅁杄䅉䍁䅑䅁佂䝁䅕䅤杁䕁䅫杢橂䝁䄸兢求䍁䅁䅋歁䑁䅁䅍睁䍁䅫䅁牂䅁䅁䅌䅁䕁䄴党あ䍁䅁兓畂䝁䅍睢瑂䝁䅕䅉潁䙁䅉党睂䝁䄸杣あ䝁䅕䅚灁䅁䅁睄䅁䍁䅷䅁佂䝁䅕䅤杁䕁䅫杢橂䝁䄸兢求䍁䅁兔桂䡁䅉睚灂䝁䄴䅉潁䍁䅕克䅁䅁䍷䅁㙁䅁䅁杔求䡁䅑䅉䩂䝁䄴睙療䝁䄰党獁䍁䅁免杁䙁䅫杣畁䍁䅁睒祂䝁䄸睤あ䝁䅧䅉潁䍁䅕克䅁䉁䌴䅁㉁䅁䅁杔求䡁䅑䅉䩂䝁䄴睙療䝁䄰党獁䍁䅁杍杁䙁䅫杣畁䍁䅁睑䉂䕁䅣杕杁䍁䅧兊灁䅁䅁杏䅉䑁䅙䅁佂䝁䅕䅤杁䕁䅫杢橂䝁䄸兢求䍁䅷䅉穁䍁䅁兗祂䍁䄴䅉䑂䕁䅅睒卂䍁䅁䅋汁䍁䅫䅁睂杁䅁李䅁䕁䄴党あ䍁䅁兓畂䝁䅍睢瑂䝁䅕䅌杁䑁䅕䅉婂䡁䅉杌杁䕁䅍兑䡂䙁䅉䅉潁䍁䅕克䅁䩁䍷䅁楂䅁䅁杔求䡁䅑䅉兂䡁䅉睢睂䝁䅕杣あ䡁䅫䅌杁䙁䅁䅢桂䝁䄴䅤杁䝁䅅杢歂䍁䅁兒硂䡁䅕兡睂䍁䄴䅌杁䑁䅅䅉婂䡁䅉杌杁䕁䅣杣療䡁䅣䅤潂䍁䅁䅋汁䍁䅫䅁慁杁䅁杘䅁䕁䄴党あ䍁䅁䅕祂䝁䄸䅣求䡁䅉䅤㕂䍁䅷䅉兂䝁䅷兙畂䡁䅑䅉桂䝁䄴䅚杁䕁䅕兣ㅂ䝁䅫䅣畁䍁䅷䅉祁䍁䅁兗祂䍁䄴䅉䑂䕁䅅睒卂䍁䅁䅋汁䍁䅫䅁㡁杁䅁杘䅁䕁䄴党あ䍁䅁䅕祂䝁䄸䅣求䡁䅉䅤㕂䍁䅷䅉兂䝁䅷兙畂䡁䅑䅉桂䝁䄴䅚杁䕁䅕兣ㅂ䝁䅫䅣畁䍁䅷䅉穁䍁䅁兗祂䍁䄴䅉䑂䕁䅅睒卂䍁䅁䅋汁䍁䅫䅁浂杁䅁杘䅁䕁䄴党あ䍁䅁䅕祂䝁䄸䅣求䡁䅉䅤㕂䍁䅷䅉兂䝁䅷兙畂䡁䅑䅉桂䝁䄴䅚杁䕁䅕兣ㅂ䝁䅫䅣畁䍁䅷䅉ㅁ䍁䅁兗祂䍁䄴䅉䑂䕁䅅睒卂䍁䅁䅋汁䍁䅫䅁敃杁䅁杚䅁䕁䄴党あ䡁䅑兡畂䝁䅣䅉桂䝁䄴䅚杁䕁䄸䅤潂䝁䅕杣杁䕁䅅䅚煂䡁䅕督あ䝁䄰党畂䡁䅑督杁䡁䅑睢杁䕁䅅督穂䝁䅕䅤穂䍁䅁䅋卂䝁䅕䅣療䡁䅉䅤求䝁䅑克䅁䉁䐰䅁睂䅁䅁杔求䡁䅑䅤灂䝁䄴睚杁䝁䅅杢歂䍁䅁睔あ䝁䅧党祂䍁䅁兑歂䝁䅯兤穂䡁䅑兢求䝁䄴䅤穂䍁䅁䅤療䍁䅁䅔灂䝁䅅杙灂䝁䅷兡あ䝁䅫党穂䍁䅁䅋卂䝁䅕䅣療䡁䅉䅤求䝁䅑克䅁䍁䑕䅁奂䅁䅁杔療䝁䄴䅉瑁䍁䅁睑ㅂ䡁䅉杣求䝁䄴䅤杁䕁䅅督穂䝁䅕䅤穂䍁䅁兌杁䙁䅕杌呂䍁䄴䅉䡂䕁䅅兑兂䍁䅁䅋卂䝁䅕䅣療䡁䅉䅤求䝁䅑克䅁䱁䌰䅁⭁䅁䅁杔療䝁䄴䅉瑁䍁䅁杕求䝁䅍睢ㅂ䡁䅉督求䍁䅁䅒求䝁䅉䅤杁䍁䅧杕求䡁䅁睢祂䡁䅑党歂䍁䅫䅁䩂允䅁村䅁䕁䄴睢祂䝁䄰兙獂䝁䅫来求䝁䅑䅉佂䝁䅕䅤杁䕁䅫杢橂䝁䄸兢求䍁䅁兔桂䡁䅉睚灂䝁䄴䅉潁䍁䅕克䅁䉁䍁䅁兂䅁䅁杔療䡁䅉兢桂䝁䅷兡㙂䝁䅕䅚杁䕁䄴党あ䍁䅁兓畂䝁䅍睢瑂䝁䅕䅌杁䑁䅅䅉婂䡁䅉杌杁䕁䅣杣療䡁䅣䅤潂䍁䅁䅋汁䍁䅫䅁奁杁䅁䅔䅁䕁䄴睢祂䝁䄰兙獂䝁䅫来求䝁䅑䅉佂䝁䅕䅤杁䕁䅫杢橂䝁䄸兢求䍁䅷䅉祁䍁䅁兗祂䍁䄴䅉䑂䕁䅅睒卂䍁䅁䅋汁䍁䅫䅁䍂杁䅁䅔䅁䕁䄴睢祂䝁䄰兙獂䝁䅫来求䝁䅑䅉佂䝁䅕䅤杁䕁䅫杢橂䝁䄸兢求䍁䅷䅉穁䍁䅁兗祂䍁䄴䅉䑂䕁䅅睒卂䍁䅁䅋汁䍁䅫䅁歂杁䅁䅔䅁䕁䄴睢祂䝁䄰兙獂䝁䅫来求䝁䅑䅉佂䝁䅕䅤杁䕁䅫杢橂䝁䄸兢求䍁䅷䅉ㅁ䍁䅁兗祂䍁䄴䅉䑂䕁䅅睒卂䍁䅁䅋汁䍁䅫䅁啃杁䅁杒䅁䕁䄴兤瑂䝁䅉党祂䍁䅁睢浂䍁䅁䅖祂䝁䅅䅚求䡁䅍䅉䙂䡁䅧党橂䡁䅕䅤求䝁䅑䅉潁䝁䅅睙あ䡁䅕兙獂䍁䅫䅁䵃睁䅁杗䅁䕁䄸䅣求䡁䅉兙あ䝁䅫杢湂䍁䅁䅔求䝁䅅督求䍁䅁睑療䝁䄰兢灂䡁䅑兢求䝁䄴䅤杁䕁䅑兤求䍁䅁睋硁䍁䅁䅋卂䝁䅕䅣療䡁䅉䅤求䝁䅑克䅁䱁䉧䅁慂䅁䅁睔睂䝁䅕杣桂䡁䅑兡畂䝁䅣䅉䵂䝁䅕兙穂䝁䅕䅉䑂䝁䄸兢瑂䝁䅫䅤瑂䝁䅕杢あ䍁䅁䅒ㅂ䝁䅕䅉牁䑁䅉䅉潁䙁䅉党睂䝁䄸杣あ䝁䅕䅚灁䅁䅁杵䅅䙁䅯䅁偂䡁䅁党祂䝁䅅䅤灂䝁䄴睚杁䕁䅷党桂䡁䅍党杁䕁䅍睢瑂䝁䄰兡あ䝁䄰党畂䡁䅑䅉䕂䡁䅕党杁䍁䅳睍杁䍁䅧杕求䡁䅁睢祂䡁䅑党歂䍁䅫䅁㡃允䅁杗䅁䕁䄸䅣求䡁䅉兙あ䝁䅫杢湂䍁䅁䅔求䝁䅅督求䍁䅁睑療䝁䄰兢灂䡁䅑兢求䝁䄴䅤杁䕁䅑兤求䍁䅁睋ぁ䍁䅁䅋卂䝁䅕䅣療䡁䅉䅤求䝁䅑克䅁䱁䈴䅁慂䅁䅁睔睂䝁䅕杣桂䡁䅑兡畂䝁䅣䅉䵂䝁䅕兙穂䝁䅕䅉䑂䝁䄸兢瑂䝁䅫䅤瑂䝁䅕杢あ䍁䅁䅒ㅂ䝁䅕䅉牁䑁䅕䅉潁䙁䅉党睂䝁䄸杣あ䝁䅕䅚灁䅁䅁䅷䅅䝁䄴䅁偂䡁䅁党祂䝁䅅䅤灂䝁䄴睚杁䕁䅷党桂䡁䅍党杁䕁䅍睢瑂䝁䄰兡あ䝁䄰党畂䡁䅑䅉䕂䡁䅕党獁䍁䅁兑浂䡁䅑党祂䍁䅁兎杁䙁䅫杣穂䍁䅁䅋卂䝁䅕䅣療䡁䅉䅤求䝁䅑克䅁䵁䉑䅁獂䅁䅁睔睂䝁䅕杣桂䡁䅑兡畂䝁䅣䅉䵂䝁䅕兙穂䝁䅕䅉䑂䝁䄸兢瑂䝁䅫䅤瑂䝁䅕杢あ䍁䅁䅒ㅂ䝁䅕䅌杁䕁䄴党㑂䡁䅑䅉ㅁ䍁䅁兗祂䡁䅍䅉潁䙁䅉党睂䝁䄸杣あ䝁䅕䅚灁䅁䅁杷䅅䡁䅙䅁偂䡁䅁䅤灂䝁䄸杢穂䍁䅁睑桂䝁䄴睙求䝁䅷䅢求䝁䅑䅉䕂䡁䅕杣灂䝁䄴睚杁䡁䅑䅡求䍁䅁䅕求䡁䅉兡療䝁䅑䅌杁䕁䅍睢瑂䝁䄰睢畂䍁䅁睕あ䝁䄸睙牂䍁䅁䅋桂䝁䅍䅤ㅂ䝁䅅䅢灁䅁䅁兏䅍䝁䅧䅁偂䡁䅁䅤灂䝁䄸杢穂䍁䅁睑桂䝁䄴睙求䝁䅷䅢求䝁䅑䅉䕂䡁䅕杣灂䝁䄴睚杁䡁䅑䅡求䍁䅁䅕求䡁䅉兡療䝁䅑䅌杁䙁䅑睢あ䝁䅅䅢杁䍁䅧兙橂䡁䅑兤桂䝁䅷克䅁䕁䑣䅁㉂䅁䅁睔睂䡁䅑兡療䝁䄴督杁䕁䅕䅥求䡁䅉睙灂䡁䅍党歂䍁䅁䅒ㅂ䡁䅉兡畂䝁䅣䅉あ䝁䅧党杁䙁䅁党祂䝁䅫睢歂䍁䅷䅉䑂䝁䄸兢瑂䝁䄸杢杁䙁䅍䅤療䝁䅍睡杁䍁䅧兙橂䡁䅑兤桂䝁䅷克䅁䑁䑣䅁潂䅁䅁睔睂䡁䅑兡療䝁䄴督杁䕁䅕䅥求䡁䅉睙灂䡁䅍党歂䍁䅁䅒ㅂ䡁䅉兡畂䝁䅣䅉あ䝁䅧党杁䙁䅁党祂䝁䅫睢歂䍁䅷䅉啂䝁䄸䅤桂䝁䅷䅉潁䝁䅅睙あ䡁䅕兙獂䍁䅫䅁䑂睁䅁杣䅁䕁䄸䅣あ䝁䅫睢畂䡁䅍䅉䡂䡁䅉兙畂䡁䅑党歂䍁䅁䅒ㅂ䡁䅉兡畂䝁䅣䅉あ䝁䅧党杁䙁䅁党祂䝁䅫睢歂䍁䅷䅉䑂䝁䄸兢瑂䝁䄸杢杁䙁䅍䅤療䝁䅍睡杁䍁䅧兙橂䡁䅑兤桂䝁䅷克䅁䑁䑕䅁歂䅁䅁睔睂䡁䅑兡療䝁䄴督杁䕁䅣杣桂䝁䄴䅤求䝁䅑䅉䕂䡁䅕杣灂䝁䄴睚杁䡁䅑䅡求䍁䅁䅕求䡁䅉兡療䝁䅑䅌杁䙁䅑睢あ䝁䅅䅢杁䍁䅧兙橂䡁䅑兤桂䝁䅷克䅁䕁䑅䅁㉂䅁䅁睔睂䡁䅑兡療䝁䄴督杁䕁䄸兤あ䍁䄴䅉桂䡁䅑䅉あ䝁䅧党杁䕁䅉党湂䝁䅫杢杁䝁䄸杚杁䙁䅁党祂䝁䅫睢歂䍁䅷䅉䑂䝁䄸兢瑂䝁䄸杢杁䙁䅍䅤療䝁䅍睡杁䍁䅧兙橂䡁䅑兤桂䝁䅷克䅁䍁䐸䅁㑂䅁䅁睔睂䡁䅑兡療䝁䄴督杁䕁䄸兤あ䍁䄴䅉桂䡁䅑䅉あ䝁䅧党杁䕁䅉党湂䝁䅫杢畂䝁䅫杢湂䍁䅁睢浂䍁䅁䅤潂䝁䅕䅉兂䝁䅕杣灂䝁䄸䅚獁䍁䅁䅖療䡁䅑兙獂䍁䅁䅋桂䝁䅍䅤ㅂ䝁䅅䅢灁䅁䅁睐䅍䡁䅉䅁偂䡁䅁䅤灂䝁䄸杢穂䍁䅁睔ㅂ䡁䅑杌杁䝁䅅䅤杁䡁䅑䅡求䍁䅁兒畂䝁䅑䅉療䝁䅙䅉兂䝁䅕杣灂䝁䄸䅚獁䍁䅁睑療䝁䄰兢療䝁䄴䅉呂䡁䅑睢橂䝁䅳䅉潁䝁䅅睙あ䡁䅕兙獂䍁䅫䅁㝁睁䅁䅢䅁䕁䄸䅣あ䝁䅫睢畂䡁䅍䅉偂䡁䅕䅤畁䍁䅁兙あ䍁䅁䅤潂䝁䅕䅉䙂䝁䄴䅚杁䝁䄸杚杁䡁䅑䅡求䍁䅁䅕求䡁䅉兡療䝁䅑䅌杁䙁䅑睢あ䝁䅅䅢杁䍁䅧兙橂䡁䅑兤桂䝁䅷克䅁䕁䑫䅁㡂䅁䅁睔睂䡁䅑兡療䝁䄴督杁䙁䅣䅤歂䍁䅁兑㉂䝁䅣䅉呂䡁䅑杣灂䝁䅳党杁䙁䅁杣灂䝁䅍党杁䝁䄸杚杁䕁䄸兤あ䡁䅍䅤歂䍁䅷䅉䑂䝁䄸兢瑂䍁䅁睕あ䝁䄸睙牂䍁䅁䅋卂䝁䅕䅣療䡁䅉䅤求䝁䅑克䅁䑁䐰䅁千䅁䅁睔睂䡁䅑兡療䝁䄴督㙁䍁䅁睑ㅂ䡁䅉杣㥁䕁䅣村兂䍁䅷䅉乂䝁䅅睚㥁䕁䅅睙あ䡁䅕兙獂䡁䅍䅌䑂䝁䄸杢㉂䕁䄰党あ䝁䅧睢歂䑁䄰兔䩂䡁䅉党橂䝁䄸兢瑂䝁䅕杢歂䝁䅕䅚獁䍁䅁杔䉂䑁䄰䅌杁䙁䅑党祂䝁䄰児求䝁䄴兌噂䙁䅍䅁㕁䅁䅁䅬䅁䕁䄸䅣あ䝁䅫睢畂䡁䅍杏杁䕁䅍兤祂䡁䅉児䡂䕁䅉䅕獁䍁䅁兔桂䝁䅣児䍂䝁䅫䅢獂䝁䅫睢畂䡁䅍䅌䑂䝁䄸杢㉂䕁䄰党あ䝁䅧睢歂䑁䄰兔䩂䡁䅉党橂䝁䄸兢瑂䝁䅕杢歂䝁䅕䅚獁䍁䅁杔䉂䑁䄰䅌杁䙁䅑党祂䝁䄰児求䝁䄴兌噂䙁䅍䅁㙁䅁䅁杬䅁䕁䄸䅣あ䝁䅫睢畂䡁䅍杏杁䕁䅍兤祂䡁䅉児䡂䕁䅉䅕獁䍁䅁兔桂䝁䅣児啂䝁䅧睢ㅂ䡁䅍兙畂䝁䅑督獁䕁䅍睢畂䡁䅙兔求䡁䅑䅡療䝁䅑児乂䕁䅫杣求䝁䅍睢瑂䝁䄰党畂䝁䅑党歂䍁䅷䅉佂䕁䅅児獁䍁䅁䅖求䡁䅉兢㥁䝁䅕杢瑁䙁䅕睕䅁䑁䅳䅁元䅁䅁睔睂䡁䅑兡療䝁䄴督㙁䍁䅁睑ㅂ䡁䅉杣㥁䕁䅣村兂䍁䅷兔桂䝁䅣児䉂䝁䅍䅤ㅂ䝁䅅䅢穂䍁䅷睑療䝁䄴杤乂䝁䅕䅤潂䝁䄸䅚㥁䕁䄰兓祂䝁䅕睙療䝁䄰兢求䝁䄴䅚求䝁䅑䅌杁䕁䄴兑㥁䍁䅷䅉啂䝁䅕杣瑂䑁䄰党畂䍁䄰兖呂䅁䅁李䅁䩁䅙䅁偂䡁䅁䅤灂䝁䄸杢穂䑁䅯䅉䑂䡁䅕杣祂䑁䄰杓兂䙁䅫䅌杁䕁䄰兙湂䑁䄰兑橂䡁䅑兤桂䝁䅷督獁䕁䅍睢畂䡁䅙兔求䡁䅑䅡療䝁䅑児乂䕁䅫杣求䝁䅍睢瑂䝁䄰党畂䝁䅑党歂䍁䅷䅉佂䕁䅅児佂䕁䅅䅌杁䙁䅑党祂䝁䄰児求䝁䄴兌噂䙁䅍䅁㕃䅂䅁䅭䅁䕁䄸䅣あ䝁䅫睢畂䡁䅍杏杁䕁䅍兤祂䡁䅉児䭂䙁䅁兗獁䍁䅁兔桂䝁䅣児乂䝁䅫䅢獂䝁䅫睢畂䡁䅍䅌䑂䝁䄸杢㉂䕁䄰党あ䝁䅧睢歂䑁䄰兔䩂䡁䅉党橂䝁䄸兢瑂䝁䅕杢歂䝁䅕䅚獁䍁䅁杔䉂䑁䄰杔䉂䍁䅷䅉啂䝁䅕杣瑂䑁䄰党畂䍁䄰兖呂䅁䅁䅵䅑䩁䅉䅁偂䡁䅁䅤灂䝁䄸杢穂䑁䅯䅉䑂䡁䅕杣祂䑁䄰兖呂䕁䅑䅌杁䕁䄰兙湂䑁䄰兑橂䡁䅑兤桂䝁䅷督獁䕁䅍睢畂䡁䅙兔求䡁䅑䅡療䝁䅑児乂䕁䅫杣求䝁䅍睢瑂䝁䄰党畂䝁䅑党歂䍁䅷䅉佂䕁䅅児獁䍁䅁䅖求䡁䅉兢㥁䝁䅕杢瑁䙁䅕睕䅁䙁䅙䅁坃䅁䅁睔睂䡁䅑兡療䝁䄴督㙁䍁䅁睑ㅂ䡁䅉杣㥁䙁䅕睕䕂䍁䅷䅉乂䝁䅅睚㥁䕁䅅睙あ䡁䅕兙獂䡁䅍䅌䑂䝁䄸杢㉂䕁䄰党あ䝁䅧睢歂䑁䄰兔䩂䡁䅉党橂䝁䄸兢瑂䝁䅕杢歂䝁䅕䅚獁䍁䅁杔䉂䑁䄰杔䉂䍁䅷䅉啂䝁䅕杣瑂䑁䄰党畂䍁䄰兖呂䅁䅁睴䅑䩁䅑䅁偂䡁䅁䅤灂䝁䄸杢穂䑁䅯䅉䑂䡁䅕杣祂䑁䄰兖呂䕁䅑䅌杁䕁䄰兙湂䑁䄰兔灂䝁䅷䅢灂䝁䄸杢穂䍁䅷睑療䝁䄴杤乂䝁䅕䅤潂䝁䄸䅚㥁䕁䄰兓祂䝁䅕睙療䝁䄰兢求䝁䄴䅚求䝁䅑䅌杁䕁䄴兑㥁䍁䅷䅉啂䝁䅕杣瑂䑁䄰党畂䍁䄰兖呂䅁䅁杒䅁䩁䅙䅁偂䡁䅁䅤灂䝁䄸杢穂䑁䅯䅉䑂䡁䅕杣祂䑁䄰兖呂䕁䅑䅌杁䕁䄰兙湂䑁䄰兔灂䝁䅷䅢灂䝁䄸杢穂䍁䅷睑療䝁䄴杤乂䝁䅕䅤潂䝁䄸䅚㥁䕁䄰兓祂䝁䅕睙療䝁䄰兢求䝁䄴䅚求䝁䅑䅌杁䕁䄴兑㥁䍁䄰䅌杁䙁䅑党祂䝁䄰児求䝁䄴兌噂䙁䅍䅁㕂䅁䅁䅭䅁䕁䄸䅣あ䝁䅫睢畂䡁䅍杏杁䕁䅍兤祂䡁䅉児噂䙁䅍䅒獁䍁䅁兔桂䝁䅣児乂䝁䅫䅢獂䝁䅫睢畂䡁䅍䅌䑂䝁䄸杢㉂䕁䄰党あ䝁䅧睢歂䑁䄰兔䩂䡁䅉党橂䝁䄸兢瑂䝁䅕杢歂䝁䅕䅚獁䍁䅁杔䉂䑁䄰杔䉂䍁䅷䅉啂䝁䅕杣瑂䑁䄰党畂䍁䄰兖呂䅁䅁兩䅁乁䅑䅁偂䡁䅁䅤灂䝁䄸杢穂䑁䅯䅉䑂䡁䅕杣祂䑁䄰兖呂䕁䅑䅌杁䕁䄰兙湂䑁䄰兔灂䝁䅷䅢灂䝁䄸杢穂䍁䅷睑療䝁䄴杤乂䝁䅕䅤潂䝁䄸䅚㥁䕁䄰兓祂䝁䅕睙療䝁䄰兢求䝁䄴䅚求䝁䅑䅌杁䕁䄴兑㥁䕁䄴兑獁䍁䅁䅖求䡁䅉兢㥁䝁䅕杢瑁䙁䅕睕獁䕁䅙兡獂䝁䅫杢湂䙁䅙党祂䑁䄰睔祂䝁䅫睚灂䝁䄴兙獂䝁䅷入杁䙁䅉党睂䝁䄸杣あ䝁䅕䅚䅁䩁䙑䅁坃䅁䅁睔睂䡁䅑兡療䝁䄴督㙁䍁䅁睑ㅂ䡁䅉杣㥁䙁䅕睕䕂䍁䅷䅉乂䝁䅅睚㥁䙁䅑䅡療䡁䅕督桂䝁䄴䅚穂䍁䅷睑療䝁䄴杤乂䝁䅕䅤潂䝁䄸䅚㥁䕁䄰兓祂䝁䅕睙療䝁䄰兢求䝁䄴䅚求䝁䅑䅌杁䕁䄴兑㥁䍁䅷䅉啂䝁䅕杣瑂䑁䄰党畂䍁䄰兖呂䅁䅁兒䅁䩁䅯䅁偂䡁䅁䅤灂䝁䄸杢穂䑁䅯䅉䑂䡁䅕杣祂䑁䄰兖呂䕁䅑䅌杁䕁䄰兙湂䑁䄰䅖潂䝁䄸兤穂䝁䅅杢歂䡁䅍䅌䑂䝁䄸杢㉂䕁䄰党あ䝁䅧睢歂䑁䄰兔䩂䡁䅉党橂䝁䄸兢瑂䝁䅕杢歂䝁䅕䅚獁䍁䅁杔䉂䑁䄰杔䉂䍁䅷䅉啂䝁䅕杣瑂䑁䄰党畂䍁䄰兖呂䅁䅁䅯䅑䥁䄴䅁偂䡁䅁䅤灂䝁䄸杢穂䑁䅯睑ㅂ䡁䅉杣㥁䙁䅉党睂䝁䄸杣あ䝁䅕䅚杁䝁䅍兤祂䡁䅉党畂䝁䅍入獁䕁䄰兙湂䑁䄰兔䩂䡁䅍䅤桂䝁䄴䅚桂䡁䅉䅚獁䕁䅍睢畂䡁䅙兔求䡁䅑䅡療䝁䅑児乂䕁䅫杣求䝁䅍睢瑂䝁䄰党畂䝁䅑党歂䅁䅁兩䅍䥁䅁䅁偂䡁䅁䅤灂䝁䄸杢穂䑁䅯睑ㅂ䡁䅉杣㥁䙁䅉党睂䝁䄸杣あ䝁䅕䅚杁䝁䅍兤祂䡁䅉党畂䝁䅍入獁䕁䄰兙湂䑁䄰兔䩂䡁䅍䅤桂䝁䄴䅚桂䡁䅉䅚獁䕁䅍睢畂䡁䅙兔求䡁䅑䅡療䝁䅑児乂䙁䅉督睂䝁䄸䅤䅁䅁䅍䅁潃䅁䅁睔睂䡁䅑兡療䝁䄴督㙁䕁䅍兤祂䡁䅉児噂䙁䅍䅒獁䕁䄰兙湂䑁䄰兔䩂䡁䅍䅤桂䝁䄴䅚桂䡁䅉䅚獁䕁䅍睢畂䡁䅙兔求䡁䅑䅡療䝁䅑児乂䕁䅫杣求䝁䅍睢瑂䝁䄰党畂䝁䅑党歂䍁䅷杒灂䝁䅷兡畂䝁䅣杖求䡁䅉児䑂䡁䅕杣祂䝁䅕杢あ䍁䄸杕求䡁䅍䅤桂䡁䅑党歂䅁䅁杬䅕䭁䄴䅁偂䡁䅁䅤灂䝁䄸杢穂䑁䅯睑ㅂ䡁䅉杣㥁䙁䅕睕䕂䍁䅷兔桂䝁䅣児乂䕁䅫督あ䝁䅅杢歂䝁䅅杣歂䍁䅷睑療䝁䄴杤乂䝁䅕䅤潂䝁䄸䅚㥁䕁䄰兓祂䝁䅕睙療䝁䄰兢求䝁䄴䅚求䝁䅑䅌兂䝁䅅䅚㥁䕁䄸杚浂䍁䅷䅒桂䡁䅑党穂䑁䄰村求䝁䅙睢祂䝁䅕䅌呂䝁䄸杣あ䑁䄰兑穂䝁䅍䅁慃兂䅁村䅁䕁䄸䅣あ䝁䅫睢畂䡁䅍杏䑂䡁䅕杣祂䑁䄰兖呂䕁䅑䅌乂䝁䅅睚㥁䙁䅍杔䵂䙁䅍䅤桂䝁䄴䅚桂䡁䅉䅚䅁乁䑣䅁䝂䅁䅁睔あ䝁䅧党祂䍁䅁睔睂䝁䅕杣桂䡁䅑兡畂䝁䅣䅉䙂䡁䅧䅣求䝁䄴督求䍁䅁䅋卂䝁䅕䅣療䡁䅉䅤求䝁䅑克䅁䱁䅣䅁坁䅁䅁䅕卂䕁䅫睑䙂䕁䅍䅔偂䙁䅍兒䅁䩁䙫䅁ぁ䅁䅁䅕求䡁䅉兡療䝁䅑䅉䙂䝁䄴䅚求䝁䅑䅉潁䝁䄰兢癁䝁䅑䅚癁䡁䅫入㕂䡁䅫克䅁䙁䅉䅁㙁䅁䅁䅕祂䝁䅕兌偂䡁䅁党畂䝁䅫杢湂䍁䅁睑療䡁䅍䅤穂䍁䅁䅋卂䝁䅕䅣療䡁䅉䅤求䝁䅑克䅁䭁䄸䅁䝂䅁䅁䅕祂䝁䄸杤灂䡁䅍兡療䝁䄴䅉浂䝁䄸杣杁䕁䅉兙歂䍁䅁䅒求䝁䅉䅤穂䍁䅁䅋卂䝁䅕䅣療䡁䅉䅤求䝁䅑克䅁䭁䅳䅁獁䅁䅁杕杁䍁䅙䅉䕂䍁䅁兒㑂䡁䅁杌杁䍁䅧杕求䡁䅁睢祂䡁䅑党歂䍁䅫䅁穃䅁䅁杤䅁䙁䅉党歂䡁䅕睙あ䝁䅫睢畂䡁䅍䅉䍂䝁䅅督求䝁䅑䅉療䝁䄴䅉啂䝁䅅䅥杁䙁䅁睢穂䝁䅫䅤灂䝁䄸杢穂䍁䅁兌杁䕁䅍兤祂䡁䅉党畂䡁䅑䅉婂䡁䅉杌杁䍁䅧杕求䡁䅁睢祂䡁䅑党歂䍁䅫䅁䩁睁䅁䅡䅁䙁䅉党歂䡁䅕睙あ䝁䅫睢畂䡁䅍䅉浂䝁䄸杣杁䙁䅑兙㑂䍁䅁䅕療䡁䅍兡あ䝁䅫睢畂䡁䅍䅉瑁䍁䅁䅕祂䝁䅫睢祂䍁䅁兗祂䡁䅍䅉潁䙁䅉党睂䝁䄸杣あ䝁䅕䅚灁䅁䅁眱䅉䍁䅯䅁卂䝁䅕䅤ㅂ䡁䅉杢杁䝁䄸杢杁䕁䅅督穂䝁䅕䅤穂䍁䅁䅋汁䍁䅫䅁㑄允䅁䅌䅁䙁䅉党あ䡁䅕杣畂䍁䅁睢畂䍁䅁睑桂䡁䅁兡あ䝁䅅䅢杁䍁䅧兊灁䅁䅁䄯䅅䑁䅧䅁卂䝁䅕䅤ㅂ䡁䅉杢杁䝁䄸杢杁䕁䅍睢瑂䝁䄰睢畂䍁䅁兒硂䡁䅕兡あ䡁䅫䅉潁䍁䅕克䅁偁䈴䅁煁䅁䅁杕求䡁䅑兤祂䝁䄴䅉療䝁䄴䅉䙂䡁䅅兤灂䡁䅑入杁䍁䅧兊灁䅁䅁䅁䅉䍁䅁䅁呂䕁䅣杊䉂䍁䅁兔桂䡁䅉睚灂䝁䄴䅉潁䍁䅕克䅁䅁䍑䅁䥁䅁䅁睕佂䕁䅷䅁扃兂䅁杅䅁䙁䅍杔䵂䙁䅅兤求䡁䅉入䅁乁䑯䅁十䅁䅁睕佂䕁䅷䅖桂䝁䅉䅢求䅁䅁克䅁䉁䅉䅁呂䙁䅁睒啂䝁䅅杙獂䝁䅕䅁捂䅁䅁杇䅁䙁䅍䅕時䕁䅕杔啂䕁䅫䅖婂䙁䄸兓䕂䅁䅁䅉䅁䉁䄴䅁呂䙁䅁睘䙂䕁䄴䅖䩂䙁䅑兗時䕁䄴兑乂䕁䅕䅁橁䅁䅁杇䅁䙁䅍䅕時䕁䄰兑卂䕁䅳兒啂䕁䅍兑兂䅁䅁東䅕䉁䅙䅁呂䙁䅁睘佂䕁䅕䅖時䕁䅫杔䑂䅁䅁杄䅁䉁䅷䅁呂䙁䅁睘兂䕁䅕杕䩂䕁䄸䅒時䕁䅕杔䕂䅁䅁兕䅁䉁䄴䅁呂䙁䅁睘兂䙁䅉兓䑂䕁䅕睘䑂䕁䅷睔呂䕁䅕䅁十䅁䅁䅉䅁䙁䅍䅕時䙁䅉兒坂䙁䄸䅒䉂䙁䅑兒時䕁䅕睕啂䅁䅁睒䅁䉁䅙䅁呂䙁䅁睘卂䕁䅕杖時䕁䅕睕啂䅁䅁䅐䅁䉁䅷䅁呂䙁䅁睘呂䕁䅧兑卂䕁䅕睕時䕁䄸兖啂䅁䅁杆䅁䕁䄴䅁呂䝁䅕睙療䝁䄴䅚杁䕁䅷兡求䝁䄴䅉䍂䝁䄸杢歂䡁䅍䅉桂䝁䄴䅚杁䕁䄴睢あ䝁䅕督杁䍁䅧杕求䡁䅁睢祂䡁䅑党歂䍁䅫䅁䙂允䅁䅗䅁䙁䅍党橂䝁䄸杢歂䍁䅁䅔灂䝁䅕杢杁䕁䅉睢畂䝁䅑督杁䝁䅅杢歂䍁䅁杔療䡁䅑党穂䍁䄸䅉啂䝁䄸䅤桂䝁䅷䅉䕂䝁䅕杙あ䍁䅁䅋汁䍁䅫䅁硂允䅁䅏䅁䙁䅍党橂䝁䄸杢歂䍁䅁䅔灂䝁䅕杢杁䕁䅑党楂䡁䅑䅉潁䙁䅉党睂䝁䄸杣あ䝁䅕䅚灁䅁䅁睒䅅䕁䅉䅁呂䝁䅕睙療䝁䄴䅚杁䕁䅷兡求䝁䄴䅉䕂䝁䅕杙あ䍁䄸䅉啂䝁䄸䅤桂䝁䅷䅉䕂䝁䅕杙あ䍁䅁䅋汁䍁䅫䅁穂允䅁杏䅁䙁䅍党橂䝁䄸杢歂䍁䅁䅔灂䝁䅕杢杁䕁䅷睢桂䝁䄴督杁䍁䅧杕求䡁䅁睢祂䡁䅑党歂䍁䅫䅁䑂允䅁䅒䅁䙁䅍党橂䝁䄸杢歂䍁䅁䅔灂䝁䅕杢杁䕁䅷睢桂䝁䄴督癁䍁䅁䅖療䡁䅑兙獂䍁䅁䅒求䝁䅉䅤杁䍁䅧兊灁䅁䅁睚䅅䑁䅁䅁呂䝁䅕睙ㅂ䡁䅉党歂䍁䅁䅒求䝁䅉䅤杁䍁䅧杕求䡁䅁睢祂䡁䅑党歂䍁䅫䅁㕁允䅁䅏䅁䙁䅍党橂䡁䅕杣灂䡁䅑兡㙂䝁䅕䅚杁䕁䅑党楂䡁䅑䅉潁䙁䅉党睂䝁䄸杣あ䝁䅕䅚灁䅁䅁兑䅅䕁䅉䅁呂䝁䅕睙ㅂ䡁䅉兡あ䝁䅫来求䝁䅑䅉䕂䝁䅕杙あ䍁䄸䅉啂䝁䄸䅤桂䝁䅷䅉䕂䝁䅕杙あ䍁䅁䅋汁䍁䅫䅁求允䅁䅕䅁䙁䅍党獂䝁䅷兡畂䝁䅣䅉䡂䝁䅕杢求䡁䅉兙獂䍁䅁杊杁䕁䅅䅚瑂䝁䅫杢杁䕁䅕䅥睂䍁䄴䅉潁䙁䅉党睂䝁䄸杣あ䝁䅕䅚灁䅁䅁兰䅁䕁䅙䅁呂䝁䅕杢灂䝁䄸杣杁䕁䅑党楂䡁䅑䅉癁䍁䅁䅋䙂䕁䅉兓啂䕁䅑兑杁䍁䄰䅉䑂䝁䅅䅣求䡁䅧克杁䍁䅧䅥灁䅁䅁䅧䅅䑁䅉䅁呂䝁䅕杢灂䝁䄸杣杁䕁䅑党楂䡁䅑䅉癁䍁䅁兒䍂䕁䅫䅖䕂䕁䅅䅉潁䡁䅧克䅁䥁䉷䅁啂䅁䅁睕求䝁䄴兡療䡁䅉䅉呂䝁䅕睙ㅂ䡁䅉党歂䍁䅁村療䝁䄴䅚穂䍁䅁兙畂䝁䅑䅉佂䝁䄸䅤求䡁䅍䅉潁䙁䅉党睂䝁䄸杣あ䝁䅕䅚灁䅁䅁児䅅䙁䄴䅁呂䝁䅕杢灂䝁䄸杣杁䙁䅍党橂䡁䅕杣求䝁䅑䅉䍂䝁䄸杢歂䡁䅍䅉桂䝁䄴䅚杁䕁䄴睢あ䝁䅕督癁䍁䅁䅖療䡁䅑兙獂䍁䅁䅒求䝁䅉䅤杁䍁䅧兊灁䅁䅁睘䅅䕁䅁䅁呂䝁䅕杢灂䝁䄸杣杁䙁䅍党橂䡁䅕杣求䝁䅑䅉䵂䝁䄸兙畂䡁䅍䅉潁䙁䅉党睂䝁䄸杣あ䝁䅕䅚灁䅁䅁睏䅅䕁䅯䅁呂䝁䅕杢灂䝁䄸杣杁䙁䅍党橂䡁䅕杣求䝁䅑䅉䵂䝁䄸兙畂䡁䅍睌杁䙁䅑睢あ䝁䅅䅢杁䕁䅑党楂䡁䅑䅉潁䍁䅕克䅁䙁䉣䅁奂䅁䅁睕求䝁䄴兡療䡁䅉䅉噂䝁䄴督求䝁䅍兤祂䝁䅕䅚杁䕁䅉睢畂䝁䅑督杁䝁䅅杢歂䍁䅁杔療䡁䅑党穂䍁䅁䅋卂䝁䅕䅣療䡁䅉䅤求䝁䅑克䅁䑁䈸䅁楂䅁䅁睕求䝁䄴兡療䡁䅉䅉噂䝁䄴督求䝁䅍兤祂䝁䅕䅚杁䕁䅉睢畂䝁䅑督杁䝁䅅杢歂䍁䅁杔療䡁䅑党穂䍁䄸䅉啂䝁䄸䅤桂䝁䅷䅉䕂䝁䅕杙あ䍁䅁䅋汁䍁䅫䅁桂允䅁䅗䅁䙁䅍党あ䡁䅑䅢求䝁䄰党畂䡁䅑督杁䡁䅣兡あ䝁䅧䅉啂䝁䅅䅥杁䕁䅅兤あ䝁䅧睢祂䝁䅫䅤灂䝁䅕督杁䍁䅧杕求䡁䅁睢祂䡁䅑党歂䍁䅫䅁乁睁䅁杖䅁䙁䅍䅡桂䡁䅉党潂䝁䄸䅢歂䝁䅕杣穂䍁䅁兒硂䡁䅕兡あ䡁䅫䅉瑁䍁䅁兖畁䙁䅍杌杁䕁䅣兑䉂䙁䅁䅉潁䙁䅉党睂䝁䄸杣あ䝁䅕䅚灁䅁䅁睸䅉䑁䅧䅁呂䝁䅧兙祂䝁䅕督杁䕁䄸兤あ䡁䅍䅤桂䝁䄴䅚灂䝁䄴睚杁䍁䅧兙橂䡁䅑兤桂䝁䅷克䅁䉁䅣䅁䍂䅁䅁睕潂䝁䄸杣あ䍁䄰䅤求䡁䅉兢杁䕁䅉睢祂䡁䅉睢㍂䝁䅫杢湂䡁䅍䅉潁䙁䅉党睂䝁䄸杣あ䝁䅕䅚灁䅁䅁睄䅅䑁䅉䅁呂䡁䅉杌杁䙁䅍兤楂䍁䄴䅉䕂䝁䅕杙あ䍁䅁䅋卂䝁䅕䅣療䡁䅉䅤求䝁䅑克䅁䉁䉕䅁䭂䅁䅁睕祂䍁䄴䅉呂䡁䅕杙畁䍁䅁䅒求䝁䅉䅤杁䍁䄸䅉潁䕁䅕村䩂䙁䅑䅒䉂䍁䅁兌杁䕁䅍兙睂䝁䅕䅥灁䍁䅁䅋㑂䍁䅫䅁䭃允䅁李䅁䙁䅍杣畁䍁䅁睕ㅂ䝁䅉杌杁䕁䅑党楂䡁䅑䅉癁䍁䅁兒䍂䕁䅫䅖䕂䕁䅅䅉潁䡁䅧克䅁䩁䉑䅁㡁䅁䅁睕祂䍁䄴䅉呂䡁䅕杙畁䍁䅁䅒求䝁䅉䅤癁䍁䅁䅖療䡁䅑兙獂䍁䅁䅒求䝁䅉䅤杁䍁䅧兊灁䅁䅁睊䅅䕁䅧䅁呂䡁䅑睢橂䝁䅳兌䍂䝁䅅督求䝁䅑䅉䑂䝁䄸兢睂䝁䅕杢穂䝁䅅䅤灂䝁䄸杢杁䍁䅧杕求䡁䅁睢祂䡁䅑党歂䍁䅫䅁瑃䅁䅁材䅁䙁䅍兤楂䍁䄰䅔求䝁䅅督求䍁䅁兓畂䝁䅍睢瑂䝁䅕䅉牁䑁䅅䅉潁䙁䅉党睂䝁䄸杣あ䝁䅕䅚灁䅁䅁杸䅅䑁䄴䅁呂䡁䅕杙瑁䕁䅷党桂䡁䅍党杁䕁䅫杢橂䝁䄸兢求䍁䅁睋祁䍁䅁䅋卂䝁䅕䅣療䡁䅉䅤求䝁䅑克䅁䵁䉧䅁⭁䅁䅁睕ㅂ䝁䅉兌䵂䝁䅕兙穂䝁䅕䅉䩂䝁䄴睙療䝁䄰党杁䍁䅳睍杁䍁䅧杕求䡁䅁睢祂䡁䅑党歂䍁䅫䅁䭄允䅁材䅁䙁䅍兤楂䍁䄰䅔求䝁䅅督求䍁䅁兓畂䝁䅍睢瑂䝁䅕䅉牁䑁䅑䅉潁䙁䅉党睂䝁䄸杣あ䝁䅕䅚灁䅁䅁䅺䅅䑁䄴䅁呂䡁䅕杙瑁䕁䅷党桂䡁䅍党杁䕁䅫杢橂䝁䄸兢求䍁䅁睋ㅁ䍁䅁䅋卂䝁䅕䅣療䡁䅉䅤求䝁䅑克䅁䵁䈴䅁卂䅁䅁睕ㅂ䝁䅉兌䵂䝁䅕兙穂䝁䅕䅉䩂䝁䄴睙療䝁䄰党獁䍁䅁兑浂䡁䅑党祂䍁䅁兎杁䙁䅫杣穂䍁䅁䅋卂䝁䅕䅣療䡁䅉䅤求䝁䅑克䅁乁䉉䅁兂䅁䅁睕ㅂ䝁䅉兌䵂䝁䅕兙穂䝁䅕䅉䩂䝁䄴睙療䝁䄰党獁䍁䅁杔求䡁䅧䅤杁䑁䅕䅉婂䡁䅉督杁䍁䅧杕求䡁䅁睢祂䡁䅑党歂䍁䅫䅁兄允䅁䅈䅁䙁䅍兤楂䍁䄴䅉䕂䝁䅕杙あ䍁䅁䅋汁䍁䅫䅁灁允䅁杋䅁䙁䅍兤楂䍁䄴䅉䕂䝁䅕杙あ䍁䅁䅋卂䝁䅕䅣療䡁䅉䅤求䝁䅑克䅁䉁䉣䅁䍂䅁䅁睕ㅂ䝁䅉杌杁䕁䅑党楂䡁䅑䅉癁䍁䅁䅋䙂䕁䅉兓啂䕁䅑兑杁䍁䄰䅉䑂䝁䅅䅣求䡁䅧克杁䍁䅧䅥灁䅁䅁䅭䅅䍁䄴䅁呂䡁䅕杙畁䍁䅁䅒求䝁䅉䅤杁䍁䄸䅉䙂䕁䅉兓啂䕁䅑兑杁䍁䅧䅥灁䅁䅁杬䅅䕁䅷䅁啂䝁䅅杢湂䝁䅫杙獂䝁䅕䅉䍂䝁䄸睢牂䍁䅁杖桂䝁䅷兤求䍁䅷䅉硁䍁䅁兗祂䍁䄴䅉䡂䡁䅉睢㍂䡁䅑䅡杁䍁䅧兊灁䅁䅁杌䅉䕁䅧䅁啂䝁䅅杢湂䝁䅫杙獂䝁䅕䅉䍂䝁䄸睢牂䍁䅁杖桂䝁䅷兤求䍁䅷䅉祁䍁䅁兗祂䍁䄴䅉䑂䕁䅅睒卂䍁䅁䅋汁䍁䅫䅁奂杁䅁䅓䅁䙁䅑兙畂䝁䅣兡楂䝁䅷党杁䕁䅉睢療䝁䅳䅉坂䝁䅅䅢ㅂ䝁䅕䅌杁䑁䅍䅉婂䡁䅉杌杁䕁䅍兑䡂䙁䅉䅉潁䍁䅕克䅁䡁䍷䅁䥂䅁䅁䅖桂䝁䄴睚灂䝁䅉䅢求䍁䅁村療䝁䄸睡杁䙁䅙兙獂䡁䅕党獁䍁䅁兎杁䙁䅫杣畁䍁䅁睑䉂䕁䅣杕杁䍁䅧兊灁䅁䅁杯䅉䝁䅷䅁啂䝁䅅䅥杁䕁䅉党畂䝁䅕杚灂䡁䅑䅉䑂䝁䅅杣祂䡁䅫杚療䡁䅉睤桂䡁䅉䅚獁䍁䅁兑浂䡁䅑党祂䍁䅁杒灂䡁䅙党杁䙁䅫党桂䡁䅉督杁䍁䅧杕求䡁䅁睢祂䡁䅑党歂䍁䅫䅁⽄杁䅁䅚䅁䙁䅑兙㑂䍁䅁村求䝁䄴党浂䝁䅫䅤杁䕁䅍兙祂䡁䅉入浂䝁䄸杣㍂䝁䅅杣歂䍁䅷䅉䑂䡁䅕杣祂䝁䅕杢あ䍁䅁兗求䝁䅅杣杁䍁䅧杕求䡁䅁睢祂䡁䅑党歂䍁䅫䅁䱄杁䅁䅢䅁䙁䅑兙㑂䍁䅁村求䝁䄴党浂䝁䅫䅤杁䕁䅍兙祂䡁䅉入浂䝁䄸杣㍂䝁䅅杣歂䍁䅷䅉䑂䡁䅕杣祂䝁䅕杢あ䍁䅁兗求䝁䅅杣杁䍁䅳䅉硁䍁䅁䅋卂䝁䅕䅣療䡁䅉䅤求䝁䅑克䅁偁䍕䅁獂䅁䅁䅖桂䡁䅧䅉䍂䝁䅕杢求䝁䅙兡あ䍁䅁睑桂䡁䅉杣㕂䝁䅙睢祂䡁䅣兙祂䝁䅑䅌杁䕁䅍兤祂䡁䅉党畂䡁䅑䅉婂䝁䅕兙祂䍁䅁睋杁䑁䅉䅉潁䙁䅉党睂䝁䄸杣あ䝁䅕䅚灁䅁䅁儫䅉䝁䅷䅁啂䝁䅅䅥杁䕁䅉党畂䝁䅕杚灂䡁䅑䅉䑂䝁䅅杣祂䡁䅫杚療䡁䅉睤桂䡁䅉䅚獁䍁䅁睑ㅂ䡁䅉杣求䝁䄴䅤杁䙁䅫党桂䡁䅉䅉牁䍁䅁睍杁䍁䅧杕求䡁䅁睢祂䡁䅑党歂䍁䅫䅁㝄杁䅁䅢䅁䙁䅑兙㑂䍁䅁村求䝁䄴党浂䝁䅫䅤杁䕁䅍兙祂䡁䅉入浂䝁䄸杣㍂䝁䅅杣歂䍁䅷䅉䑂䡁䅕杣祂䝁䅕杢あ䍁䅁兗求䝁䅅杣杁䍁䅳䅉ぁ䍁䅁䅋卂䝁䅕䅣療䡁䅉䅤求䝁䅑克䅁偁䌰䅁浂䅁䅁䅖桂䡁䅧䅉䍂䝁䅕杢求䝁䅙兡あ䍁䅁睑桂䡁䅉杣㕂䝁䅙睢祂䡁䅣兙祂䝁䅑䅌杁䕁䄴睢杁䕁䅕䅥睂䝁䅫杣桂䡁䅑兡療䝁䄴䅉潁䙁䅉党睂䝁䄸杣あ䝁䅕䅚灁䅁䅁睶䅉䕁䅁䅁啂䝁䄸䅤桂䝁䅷䅉䉂䡁䅍督求䡁䅑督獁䍁䅁免杁䙁䅫党桂䡁䅉䅉䡂䡁䅉睢㍂䡁䅑䅡杁䍁䅧兊灁䅁䅁䅌䅉䑁䅯䅁啂䝁䄸䅤桂䝁䅷䅉䉂䡁䅍督求䡁䅑督獁䍁䅁杍杁䙁䅫杣畁䍁䅁睑䉂䕁䅣杕杁䍁䅧兊灁䅁䅁杖䅉䑁䅯䅁啂䝁䄸䅤桂䝁䅷䅉䉂䡁䅍督求䡁䅑督獁䍁䅁睍杁䙁䅫杣畁䍁䅁睑䉂䕁䅣杕杁䍁䅧兊灁䅁䅁来䅉䑁䅯䅁啂䝁䄸䅤桂䝁䅷䅉䉂䡁䅍督求䡁䅑督獁䍁䅁兎杁䙁䅫杣畁䍁䅁睑䉂䕁䅣杕杁䍁䅧兊灁䅁䅁䅯䅉䑁䅙䅁啂䝁䄸䅤桂䝁䅷䅉䍂䝁䅅杢牂䍁䅁䅒求䝁䅉䅤杁䍁䅧杕求䡁䅁睢祂䡁䅑党歂䍁䅫䅁硁允䅁䅑䅁䙁䅑睢あ䝁䅅䅢杁䕁䅉兙畂䝁䅳䅉䕂䝁䅕杙あ䍁䄸䅉啂䝁䄸䅤桂䝁䅷䅉䕂䝁䅕杙あ䍁䅁䅋汁䍁䅫䅁婂允䅁杖䅁䙁䅑睢あ䝁䅅䅢杁䕁䅍兙睂䝁䅫䅤桂䝁䅷䅉䵂䝁䄸督穂䍁䅁睑桂䡁䅉杣㕂䝁䅙睢祂䡁䅣兙祂䝁䅑䅉潁䙁䅉党睂䝁䄸杣あ䝁䅕䅚灁䅁䅁眷䅉䕁䄴䅁啂䝁䄸䅤桂䝁䅷䅉䑂䝁䄸兢瑂䝁䅕杣橂䝁䅫兙獂䍁䅁䅕桂䡁䅁党祂䍁䄸䅉啂䝁䄸䅤桂䝁䅷䅉䕂䝁䅕杙あ䍁䅁䅋汁䍁䅫䅁癄䅁䅁李䅁䙁䅑睢あ䝁䅅䅢杁䕁䅍睢瑂䝁䄰睢畂䍁䅁兒硂䡁䅕兡あ䡁䅫䅉潁䍁䅑䅍睁䑁䅁克䅁䡁䅅䅁佂䅁䅁䅖療䡁䅑兙獂䍁䅁睑療䝁䄴杤求䡁䅉䅤灂䝁䅉䅢求䍁䅁䅒求䝁䅉䅤癁䍁䅁䅖療䡁䅑兙獂䍁䅁䅒求䝁䅉䅤杁䍁䅧兊灁䅁䅁睋䅅䍁䅑䅁啂䝁䄸䅤桂䝁䅷䅉䕂䝁䅕杙あ䍁䅁䅋歁䑁䅁䅍睁䍁䅫䅁瑂䅁䅁䅌䅁䙁䅑睢あ䝁䅅䅢杁䕁䅑党楂䡁䅑䅉潁䙁䅉党睂䝁䄸杣あ䝁䅕䅚灁䅁䅁兇䅁䑁䅁䅁啂䝁䄸䅤桂䝁䅷䅉䕂䝁䅕杙あ䍁䅁睌杁䕁䅕村䩂䙁䅑䅒䉂䍁䅁䅋㑂䍁䅫䅁㡂允䅁䅐䅁䙁䅑睢あ䝁䅅䅢杁䕁䅑党楂䡁䅑睌潁䕁䅕村䩂䙁䅑䅒䉂䍁䄰睑䉂䙁䅁兒奂䍁䅫䅉潁䡁䅧克䅁䥁䉑䅁卂䅁䅁䅖療䡁䅑兙獂䍁䅁䅔灂䝁䅅杙灂䝁䅷兡あ䝁䅫党穂䍁䅁兌杁䙁䅕杌呂䍁䄴䅉䡂䕁䅅兑兂䍁䅁䅋卂䝁䅕䅣療䡁䅉䅤求䝁䅑克䅁䵁䍕䅁䭂䅁䅁䅖療䡁䅑兙獂䍁䅁䅔灂䝁䅅杙灂䝁䅷兡あ䝁䅫党穂䍁䅁睌杁䙁䅑睢あ䝁䅅䅢杁䕁䅅督穂䝁䅕䅤穂䍁䅁䅋汁䍁䅫䅁㉃杁䅁材䅁䙁䅑睢あ䝁䅅䅢杁䕁䄰兡畂䝁䄸杣灂䡁䅑入杁䕁䅫杢あ䝁䅕杣求䡁䅍䅤杁䍁䅧䅊睁䑁䅁䅍灁䅁䅁睢䅁䕁䅙䅁啂䝁䄸䅤桂䝁䅷䅉乂䝁䅫杢療䡁䅉兡あ䡁䅫䅉䩂䝁䄴䅤求䡁䅉党穂䡁䅑䅉潁䙁䅉党睂䝁䄸杣あ䝁䅕䅚灁䅁䅁先䅁䕁䅑䅁啂䝁䄸䅤桂䝁䅷䅉佂䕁䄸䅔杁䕁䅍兙祂䡁䅉入浂䝁䄸杣㍂䝁䅅杣歂䍁䅁䅋卂䝁䅕䅣療䡁䅉䅤求䝁䅑克䅁乁䍳䅁啂䅁䅁䅖療䡁䅑兙獂䍁䅁杔療䝁䄴䅉瑁䍁䅁杕求䝁䅍睢ㅂ䡁䅉督求䍁䅁䅒求䝁䅉䅤癁䍁䅁䅖療䡁䅑兙獂䍁䅁䅒求䝁䅉䅤杁䍁䅧兊灁䅁䅁兤䅅䑁䅷䅁啂䝁䄸䅤桂䝁䅷䅉兂䡁䅉党浂䝁䅕杣祂䝁䅕䅚杁䕁䅕兣ㅂ䝁䅫䅤㕂䍁䅁䅋歁䑁䅁䅍睁䍁䅫䅁畂䅁䅁䅒䅁䙁䅑睢あ䝁䅅䅢杁䙁䅁杣求䝁䅙党祂䡁䅉党歂䍁䅁兒硂䡁䅕兡あ䡁䅫䅉潁䙁䅉党睂䝁䄸杣あ䝁䅕䅚灁䅁䅁睇䅁䕁䅧䅁啂䝁䄸䅤桂䝁䅷䅉兂䡁䅉兡畂䝁䅍兡睂䝁䅅䅢杁䕁䅑兤求䍁䄸䅉啂䝁䄸䅤桂䝁䅷䅉䕂䝁䅕杙あ䍁䅁䅋汁䍁䅫䅁穄䅁䅁杋䅁䙁䅑睢あ䝁䅅䅢杁䙁䅉党㉂䝁䅕杢ㅂ䝁䅕䅉潁䍁䅑䅍睁䑁䅁克䅁䝁䅕䅁祁䅁䅁䅖療䡁䅑兙獂䍁䅁杕求䡁䅙党畂䡁䅕党杁䍁䅧杕求䡁䅁睢祂䡁䅑党歂䍁䅫䅁䝁䅁䅁䅒䅁䙁䅑睢あ䝁䅅䅢杁䙁䅉党㉂䝁䅕杢ㅂ䝁䅕督獁䍁䅁免杁䙁䅫党桂䡁䅉䅉䡂䡁䅉睢㍂䡁䅑䅡杁䍁䅧兊灁䅁䅁䅂䅁䑁䄴䅁啂䝁䄸䅤桂䝁䅷䅉卂䝁䅕杤求䝁䄴兤求䡁䅍䅌杁䑁䅉䅉婂䡁䅉杌杁䕁䅍兑䡂䙁䅉䅉潁䍁䅕克䅁䑁䌴䅁⭁䅁䅁䅖療䡁䅑兙獂䍁䅁杕求䡁䅙党畂䡁䅕党穂䍁䅷䅉穁䍁䅁兗祂䍁䄴䅉䑂䕁䅅睒卂䍁䅁䅋汁䍁䅫䅁潂杁䅁材䅁䙁䅑睢あ䝁䅅䅢杁䙁䅉党㉂䝁䅕杢ㅂ䝁䅕督獁䍁䅁兎杁䙁䅫杣畁䍁䅁睑䉂䕁䅣杕杁䍁䅧兊灁䅁䅁䅳䅉䕁䄴䅁啂䝁䄸䅤桂䝁䅷䅉卂䝁䅕杤療䝁䅷杤灂䝁䄴睚杁䕁䅍杣求䝁䅑兡あ䍁䄸䅉啂䝁䄸䅤桂䝁䅷䅉䕂䝁䅕杙あ䍁䅁䅋汁䍁䅫䅁ㅄ䅁䅁杒䅁䙁䅑睢あ䝁䅅䅢杁䙁䅍党橂䡁䅕杣求䝁䅑䅉䕂䝁䅕杙あ䍁䄸䅉啂䝁䄸䅤桂䝁䅷䅉䕂䝁䅕杙あ䍁䅁䅋汁䍁䅫䅁摂允䅁杏䅁䙁䅑睢あ䝁䅅䅢杁䙁䅍党畂䝁䅫睢祂䍁䅁䅒求䝁䅉䅤杁䍁䅧杕求䡁䅁睢祂䡁䅑党歂䍁䅫䅁婁允䅁䅒䅁䙁䅑睢あ䝁䅅䅢杁䙁䅍党畂䝁䅫睢祂䍁䅁䅒求䝁䅉䅤癁䍁䅁䅖療䡁䅑兙獂䍁䅁䅒求䝁䅉䅤杁䍁䅧兊灁䅁䅁睈䅅䕁䅯䅁啂䝁䄸䅤桂䝁䅷䅉呂䝁䅕杢灂䝁䄸杣杁䙁䅍党橂䡁䅕杣求䝁䅑䅉䕂䝁䅕杙あ䍁䅁䅋卂䝁䅕䅣療䡁䅉䅤求䝁䅑克䅁䑁䉕䅁啂䅁䅁䅖療䡁䅑兙獂䍁䅁睕求䝁䄴兡療䡁䅉䅉呂䝁䅕睙ㅂ䡁䅉党歂䍁䅁䅒求䝁䅉䅤癁䍁䅁䅖療䡁䅑兙獂䍁䅁䅒求䝁䅉䅤杁䍁䅧兊灁䅁䅁睗䅅䙁䅁䅁啂䝁䄸䅤桂䝁䅷䅉呂䝁䅕杢灂䝁䄸杣杁䙁䅍党橂䡁䅕杣求䝁䅑睌潁䕁䅕村䩂䙁䅑䅒䉂䍁䄰睑䉂䙁䅁兒奂䍁䅫䅉潁䡁䅧克䅁䩁䉉䅁䅂䅁䅁䅖療䡁䅑兙獂䍁䅁睕求䝁䄴兡療䡁䅉䅉呂䝁䅕睙ㅂ䡁䅉党歂䍁䄸兒䍂䕁䅫䅖䕂䕁䅅䅉潁䡁䅧克䅁䡁䈴䅁歂䅁䅁䅖療䡁䅑兙獂䍁䅁睕潂䝁䄸杣あ䍁䅁䅖求䡁䅉兢杁䕁䅉睢祂䡁䅉睢㍂䝁䅫杢湂䡁䅍䅉潁䙁䅁党祂䝁䅍党畂䡁䅑䅉療䝁䅙䅉䕂䝁䅕杙あ䍁䅫䅉潁䍁䅕克䅁䍁䉅䅁啂䅁䅁䅖療䡁䅑兙獂䍁䅁睕祂䍁䄴䅉䍂䝁䄸杢歂䡁䅍䅉桂䝁䄴䅚杁䕁䄴睢あ䝁䅕督癁䍁䅁䅖療䡁䅑兙獂䍁䅁䅒求䝁䅉䅤杁䍁䅧兊灁䅁䅁眹䅁䙁䅙䅁啂䝁䄸䅤桂䝁䅷䅉呂䡁䅕杙畁䍁䅁村療䝁䄴䅚穂䍁䅁兙畂䝁䅑䅉佂䝁䄸䅤求䡁䅍睌杁䙁䅑睢あ䝁䅅䅢杁䕁䅑党楂䡁䅑䅉潁䍁䅕克䅁偁䄰䅁㉁䅁䅁䅖療䡁䅑兙獂䍁䅁睕ㅂ䝁䅉杌杁䕁䅑党楂䡁䅑䅉潁䙁䅉党睂䝁䄸杣あ䝁䅕䅚灁䅁䅁睇䅅䕁䄴䅁啂䝁䄸䅤桂䝁䅷䅉呂䡁䅕杙畁䍁䅁䅒求䝁䅉䅤杁䍁䄸䅉潁䕁䅕村䩂䙁䅑䅒䉂䍁䅁兌杁䕁䅍兙睂䝁䅕䅥灁䍁䅁䅋㑂䍁䅫䅁䍃允䅁杏䅁䙁䅑睢あ䝁䅅䅢杁䙁䅍兤楂䍁䄴䅉䕂䝁䅕杙あ䍁䅁睌杁䕁䅕村䩂䙁䅑䅒䉂䍁䅁䅋㑂䍁䅫䅁佃允䅁䅑䅁䙁䅑睢あ䝁䅅䅢杁䙁䅍兤楂䍁䄴䅉䕂䝁䅕杙あ䍁䄸䅉啂䝁䄸䅤桂䝁䅷䅉䕂䝁䅕杙あ䍁䅁䅋汁䍁䅫䅁橁允䅁䅖䅁䙁䅑睢あ䝁䅅䅢杁䙁䅑兙㑂䍁䅁村求䝁䄴党浂䝁䅫䅤杁䕁䅍兙祂䡁䅉入浂䝁䄸杣㍂䝁䅅杣歂䍁䅁䅋卂䝁䅕䅣療䡁䅉䅤求䝁䅑克䅁䅁䑍䅁䍂䅁䅁䅖療䡁䅑兙獂䍁䅁䅖求䡁䅉兢杁䕁䅷睢桂䝁䄴督癁䍁䅁䅖療䡁䅑兙獂䍁䅁䅒求䝁䅉䅤杁䍁䅧兊灁䅁䅁儫䅁䕁䅉䅁啂䝁䄸䅤桂䝁䅷䅉啂䡁䅉兤穂䡁䅑䅉兂䡁䅉党浂䝁䅕杣祂䝁䅕䅚杁䍁䅧杕求䡁䅁睢祂䡁䅑党歂䍁䅫䅁䱂允䅁䅔䅁䙁䅑睢あ䝁䅅䅢杁䙁䅑杣ㅂ䡁䅍䅤杁䙁䅁杣求䝁䅙党祂䡁䅉党歂䍁䄸䅉啂䝁䄸䅤桂䝁䅷䅉䕂䝁䅕杙あ䍁䅁䅋汁䍁䅫䅁灂允䅁杖䅁䙁䅑睢あ䝁䅅䅢杁䙁䅕杢桂䝁䄰睢祂䡁䅑兡㙂䝁䅕䅚杁䕁䅑兡穂䝁䅍睢ㅂ䝁䄴䅤癁䍁䅁䅖療䡁䅑兙獂䍁䅁䅒求䝁䅉䅤杁䍁䅧兊灁䅁䅁允䅅䙁䅑䅁啂䝁䄸䅤桂䝁䅷䅉噂䝁䄴兙瑂䝁䄸杣あ䝁䅫来求䝁䅑䅉兂䡁䅉党瑂䝁䅫兤瑂䍁䄸䅉啂䝁䄸䅤桂䝁䅷䅉䕂䝁䅕杙あ䍁䅁䅋汁䍁䅫䅁⽄䅁䅁䅑䅁䙁䅑睢あ䝁䅅䅢杁䙁䅕杢歂䡁䅉兙㍂䝁䄴䅉䑂䡁䅉党歂䝁䅫䅤杁䍁䅧杕求䡁䅁睢祂䡁䅑党歂䍁䅫䅁乁允䅁杓䅁䙁䅑睢あ䝁䅅䅢杁䙁䅕杢穂䝁䅕睙ㅂ䡁䅉党歂䍁䅁䅒求䝁䅉䅤癁䍁䅁䅖療䡁䅑兙獂䍁䅁䅒求䝁䅉䅤杁䍁䅧兊灁䅁䅁睙䅅䙁䅁䅁噂䝁䄴䅚祂䝁䅅睤畂䍁䅁睑祂䝁䅕䅚灂䡁䅑䅉兂䝁䄸杣あ䝁䅫睢畂䍁䅁睢浂䍁䅁睑兂䍁䅁䅋卂䝁䅕䅣療䡁䅉䅤求䝁䅑克䅁䅁䉣䅁あ䅁䅁兖畂䝁䅑杣桂䡁䅣杢杁䕁䅍杣求䝁䅑兡あ䍁䅁䅕療䡁䅉䅤灂䝁䄸杢杁䝁䄸杚杁䕁䄸䅤潂䝁䅕杣杁䍁䅧杕求䡁䅍兡歂䡁䅕兙獂䍁䅁䅖桂䝁䅣克杁䍁䅧杕求䡁䅁睢祂䡁䅑党歂䍁䅫䅁䱁允䅁䅢䅁䙁䅕杢歂䡁䅉兙㍂䝁䄴䅉䑂䡁䅉党歂䝁䅫䅤杁䙁䅁睢祂䡁䅑兡療䝁䄴䅉療䝁䅙䅉卂䝁䅕杤療䝁䅷杤灂䝁䄴睚杁䕁䅍杣求䝁䅑兡あ䍁䅁䅋卂䝁䅕䅣療䡁䅉䅤求䝁䅑克䅁䅁䉕䅁杂䅁䅁兖畂䝁䅑杣桂䡁䅣杢杁䕁䅍杣求䝁䅑兡あ䍁䅁䅕療䡁䅉䅤灂䝁䄸杢杁䝁䄸杚杁䙁䅑党祂䝁䄰䅉䵂䝁䄸兙畂䡁䅍䅉潁䙁䅉党睂䝁䄸杣あ䝁䅕䅚灁䅁䅁元䅅䕁䅧䅁噂䝁䄴䅢求䡁䅙党祂䝁䅕䅚杁䕁䅙杣求䝁䅕䅉䑂䝁䅅督潂䍁䅁杒獂䝁䄸睤杁䕁䄰兙祂䝁䅣兡畂䍁䅁䅋汁䍁䅫䅁啁杁䅁杖䅁䙁䅕杢獂䝁䅕杤求䡁䅉党歂䍁䅁杒祂䝁䅕党杁䕁䅍兙穂䝁䅧䅉䝂䝁䅷睢㍂䍁䅷䅉硁䍁䅁兗祂䍁䄴䅉䡂䡁䅉睢㍂䡁䅑䅡杁䍁䅧兊灁䅁䅁李䅉䙁䅉䅁噂䝁䄴䅢求䡁䅙党祂䝁䅕䅚杁䕁䅙杣求䝁䅕䅉䑂䝁䅅督潂䍁䅁杒獂䝁䄸睤獁䍁䅁杍杁䙁䅫杣畁䍁䅁睑䉂䕁䅣杕杁䍁䅧兊灁䅁䅁䅔䅉䙁䅉䅁噂䝁䄴䅢求䡁䅙党祂䝁䅕䅚杁䕁䅙杣求䝁䅕䅉䑂䝁䅅督潂䍁䅁杒獂䝁䄸睤獁䍁䅁睍杁䙁䅫杣畁䍁䅁睑䉂䕁䅣杕杁䍁䅧兊灁䅁䅁杨䅉䙁䅉䅁噂䝁䄴䅢求䡁䅙党祂䝁䅕䅚杁䕁䅙杣求䝁䅕䅉䑂䝁䅅督潂䍁䅁杒獂䝁䄸睤獁䍁䅁兎杁䙁䅫杣畁䍁䅁睑䉂䕁䅣杕杁䍁䅧兊灁䅁䅁䅲䅉䡁䅯䅁噂䝁䄴杣求䝁䅍睢湂䍁䄴䅉啂䝁䅅䅥杁䕁䅉党畂䝁䅕杚灂䡁䅑䅉䩂䝁䄰䅣桂䝁䅍䅤灂䝁䄴睚杁䕁䅕杚浂䝁䅕睙あ䝁䅫杤求䍁䅁䅖桂䡁䅧䅉卂䝁䅅䅤求䍁䅁䅋卂䝁䅕䅣療䡁䅉䅤求䝁䅑克䅁佁䍣䅁捂䅁䅁兖畂䡁䅉党橂䝁䄸睚畁䍁䅁䅖桂䡁䅧䅉䍂䝁䅕杢求䝁䅙兡あ䡁䅍䅉瑁䍁䅁睔あ䝁䅧党祂䍁䅁兑歂䝁䅯杌杁䍁䅧杕求䡁䅁睢祂䡁䅑党歂䍁䅫䅁偁睁䅁䅤䅁䙁䅕杢祂䝁䅕睙療䝁䅣杌杁䙁䅑兙㑂䍁䅁村求䝁䄴党浂䝁䅫䅤穂䍁䅷䅉䍂䝁䅕睚灂䝁䄴杢灂䝁䄴睚杁䝁䄸杚杁䡁䅑䅡求䍁䅁䅕求䡁䅉兡療䝁䅑䅉潁䙁䅉党睂䝁䄸杣あ䝁䅕䅚灁䅁䅁兂䅍䝁䅧䅁噂䝁䄴杣求䝁䅍睢湂䍁䄴䅉啂䝁䅅䅥杁䕁䅉党畂䝁䅕杚灂䡁䅑督獁䍁䅁兒畂䝁䅑䅉療䝁䅙䅉あ䝁䅧党杁䙁䅁党祂䝁䅫睢歂䍁䅁䅋卂䝁䅕䅣療䡁䅉䅤求䝁䅑克䅁䉁䑅䅁ぁ䅁䅁兖畂䡁䅍党橂䡁䅕杣求䝁䅑䅉䕂䝁䅕杙あ䍁䅁䅋卂䝁䅕䅣療䡁䅉䅤求䝁䅑克䅁䑁䉣䅁㡁䅁䅁杖桂䡁䅉兡桂䝁䅉䅢求䍁䅁杕桂䡁䅑党杁䕁䅑党楂䡁䅑䅉潁䙁䅉党睂䝁䄸杣あ䝁䅕䅚灁䅁䅁兕䅅䕁䅙䅁坂䝁䅅杣灂䝁䅅杙獂䝁䅕䅉卂䝁䅅䅤求䍁䅁䅒求䝁䅉䅤癁䍁䅁䅖療䡁䅑兙獂䍁䅁䅒求䝁䅉䅤杁䍁䅧兊灁䅁䅁睡䅅䙁䅧䅁塂䍁䄸兑㉂䝁䅕杣桂䝁䅣党杁䕁䅫杢あ䝁䅕杣求䡁䅍䅤杁䙁䅉兙あ䝁䅕杏杁䕁䅷睢畂䝁䅣兌あ䝁䅕杣瑂䍁䅁䅒求䝁䅉䅤杁䍁䅧兊灁䅁䅁朴䅅䙁䅁䅁塂䍁䄸兑㉂䝁䅕杣桂䝁䅣党杁䕁䅫杢あ䝁䅕杣求䡁䅍䅤杁䙁䅉兙あ䝁䅕杏杁䙁䅑睢あ䝁䅅䅢杁䕁䅑党楂䡁䅑䅉潁䍁䅕克䅁佁䉧䅁捂䅁䅁睖桂䡁䅉杣桂䝁䄴䅤穂䍁䅁睑桂䝁䄴睙求䝁䅷䅢求䝁䅑䅉䕂䡁䅕杣灂䝁䄴睚杁䡁䅑䅡求䍁䅁䅕求䡁䅉兡療䝁䅑䅉潁䝁䅅睙あ䡁䅕兙獂䍁䅫䅁剂睁䅁条䅁䙁䅣兙祂䡁䅉兙畂䡁䅑督杁䕁䅍兙畂䝁䅍党獂䝁䅷党歂䍁䅁䅒ㅂ䡁䅉兡畂䝁䅣䅉あ䝁䅧党杁䙁䅁党祂䝁䅫睢歂䍁䅷䅉啂䝁䄸䅤桂䝁䅷䅉潁䝁䅅睙あ䡁䅕兙獂䍁䅫䅁䙂睁䅁䅘䅁䙁䅣兙祂䡁䅉兙畂䡁䅑督杁䕁䅕䅥求䡁䅉睙灂䡁䅍党歂䍁䅁䅒ㅂ䡁䅉兡畂䝁䅣䅉あ䝁䅧党杁䙁䅁党祂䝁䅫睢歂䍁䅁䅋桂䝁䅍䅤ㅂ䝁䅅䅢灁䅁䅁睔䅍䝁䅯䅁塂䝁䅅杣祂䝁䅅杢あ䡁䅍䅉䙂䡁䅧党祂䝁䅍兡穂䝁䅕䅚杁䕁䅑兤祂䝁䅫杢湂䍁䅁䅤潂䝁䅕䅉兂䝁䅕杣灂䝁䄸䅚獁䍁䅁䅖療䡁䅑兙獂䍁䅁䅋桂䝁䅍䅤ㅂ䝁䅅䅢灁䅁䅁睗䅍䙁䅙䅁塂䝁䅅杣祂䝁䅅杢あ䡁䅍䅉䩂䡁䅍督ㅂ䝁䅕䅚杁䕁䅑兤祂䝁䅫杢湂䍁䅁䅤潂䝁䅕䅉兂䝁䅕杣灂䝁䄸䅚杁䍁䅧兙橂䡁䅑兤桂䝁䅷克䅁䕁䐰䅁歂䅁䅁睖桂䡁䅉杣桂䝁䄴䅤穂䍁䅁兓穂䡁䅍兤求䝁䅑䅉䕂䡁䅕杣灂䝁䄴睚杁䡁䅑䅡求䍁䅁䅕求䡁䅉兡療䝁䅑䅌杁䙁䅑睢あ䝁䅅䅢杁䍁䅧兙橂䡁䅑兤桂䝁䅷克䅁䙁䑫䅁祂䅁䅁睖桂䡁䅉杣桂䝁䄴䅤穂䍁䅁睔ㅂ䡁䅑杌杁䝁䅅䅤杁䡁䅑䅡求䍁䅁村求䝁䅣兡畂䍁䅁睢浂䍁䅁䅤潂䝁䅕䅉兂䝁䅕杣灂䝁䄸䅚獁䍁䅁䅖療䡁䅑兙獂䍁䅁䅋桂䝁䅍䅤ㅂ䝁䅅䅢灁䅁䅁睖䅍䝁䅷䅁塂䝁䅅杣祂䝁䅅杢あ䡁䅍䅉偂䡁䅕䅤畁䍁䅁兙あ䍁䅁䅤潂䝁䅕䅉䍂䝁䅕睚灂䝁䄴杢灂䝁䄴睚杁䝁䄸杚杁䡁䅑䅡求䍁䅁䅕求䡁䅉兡療䝁䅑䅉潁䝁䅅睙あ䡁䅕兙獂䍁䅫䅁䱂睁䅁䅙䅁䙁䅣兙祂䡁䅉兙畂䡁䅑督杁䕁䄸兤あ䍁䄴䅉桂䡁䅑䅉あ䝁䅧党杁䕁䅕杢歂䍁䅁睢浂䍁䅁䅤潂䝁䅕䅉兂䝁䅕杣灂䝁䄸䅚杁䍁䅧兙橂䡁䅑兤桂䝁䅷克䅁䙁䑍䅁畂䅁䅁睖桂䡁䅉杣桂䝁䄴䅤穂䍁䅁睔ㅂ䡁䅑杌杁䝁䅅䅤杁䡁䅑䅡求䍁䅁兒畂䝁䅑䅉療䝁䅙䅉あ䝁䅧党杁䙁䅁党祂䝁䅫睢歂䍁䅷䅉啂䝁䄸䅤桂䝁䅷䅉潁䝁䅅睙あ䡁䅕兙獂䍁䅫䅁摂睁䅁条䅁䙁䅣兙祂䡁䅉兙畂䡁䅑督杁䙁䅣睌䉂䡁䅙党祂䝁䅅睚求䍁䅁睕あ䡁䅉兡牂䝁䅕䅉兂䡁䅉兡橂䝁䅕䅉療䝁䅙䅉䩂䡁䅍督ㅂ䝁䅕䅚杁䍁䅧杕求䡁䅁睢祂䡁䅑党歂䍁䅫䅁硁睁䅁䅦䅁䙁䅣兙祂䡁䅉兙畂䡁䅑督杁䙁䅣䅤歂䍁䅁兑㉂䝁䅣䅉呂䡁䅑杣灂䝁䅳党杁䙁䅁杣灂䝁䅍党杁䝁䄸杚杁䕁䄸兤あ䡁䅍䅤歂䍁䅷䅉䑂䝁䄸兢瑂䍁䅁睕あ䝁䅍睡杁䍁䅧杕求䡁䅁睢祂䡁䅑党歂䍁䅫䅁噂睁䅁杢䅁䙁䅣䅤歂䍁䅁兑㉂䝁䅣䅉呂䡁䅑杣灂䝁䅳党杁䙁䅁杣灂䝁䅍党杁䝁䄸杚杁䕁䅣杣桂䝁䄴䅤求䝁䅑䅌杁䕁䅍睢瑂䝁䄰䅉呂䡁䅑睢橂䝁䅳䅉潁䙁䅉党睂䝁䄸杣あ䝁䅕䅚灁䅁䅁睍䅍䑁䅧䅁慂䝁䅕杣療䍁䅁睑療䡁䅕䅣療䝁䄴䅉䕂䝁䅕杙あ䍁䅁䅋卂䝁䅕䅣療䡁䅉䅤求䝁䅑克䅁䕁䈰䅁䍂䅁䅁杗求䡁䅉睢杁䕁䅍睢ㅂ䡁䅁睢畂䍁䅁䅒求䝁䅉䅤癁䍁䅁䅖療䡁䅑兙獂䍁䅁䅒求䝁䅉䅤杁䍁䅧兊灁䅁䅁兢䅅䙁䅙䅁扂䕁䅳党㕂䙁䅍䅤桂䡁䅑督時䡁䅑党穂䡁䅑杚灂䝁䅷党畁䡁䅧䅢穂䝁䄰兘䍂䝁䅅䅢桂䝁䄴睙求䙁䄸睕潂䝁䅕党あ䍁䅅䅊䑂䍁䅑䅎䅁䵁䅅䅁歂䅁䅁睗䱂䝁䅕入呂䡁䅑兙あ䡁䅍睘あ䝁䅕督あ䝁䅙兡獂䝁䅕杌㑂䝁䅷督瑂䙁䄰村桂䝁䅷兙畂䝁䅍党時䙁䅍䅡求䝁䅕䅤桁䍁䅑䅒歁䑁䅫杏歁䕁䅑䅊硁䑁䅍睎䅁䵁䅍䅁杂䅁䅁睗䱂䝁䅕入呂䡁䅑兙あ䡁䅍睘あ䝁䅕督あ䝁䅙兡獂䝁䅕杌㑂䝁䅷督瑂䙁䄰村桂䝁䅷兙畂䝁䅍党時䙁䅍䅡求䝁䅕䅤桁䍁䅑杒歁䑁䅑杏歁䙁䅅䅊ぁ䅁䅁杷䅁䝁䅁䅁扂䕁䅳党㕂䙁䅍䅤桂䡁䅑督時䡁䅑党穂䡁䅑杚灂䝁䅷党畁䡁䅧䅢穂䝁䄰兘䍂䝁䅅䅢桂䝁䄴睙求䙁䄸睕潂䝁䅕党あ䍁䅅䅊䝂䍁䅑兎㙁䍁䅑兕歁䑁䅕䅁䕄䅁䅁杢䅁䙁䅳睓求䡁䅫睕あ䝁䅅䅤穂䙁䄸䅤求䡁䅍䅤浂䝁䅫䅢求䍁䄴䅥獂䡁䅍兢摂䕁䅍兙睂䝁䅫䅤桂䝁䅷睘呂䡁䅑杣ㅂ䝁䅍䅤ㅂ䡁䅉党時䙁䅍兤瑂䝁䄰兙祂䡁䅫光歁䕁䅍䅊ぁ䅁䅁儵䅁䝁䄴䅁扂䕁䅳党㕂䙁䅍䅤桂䡁䅑督時䡁䅑党穂䡁䅑杚灂䝁䅷党畁䡁䅧䅢穂䝁䄰兘䑂䝁䅅䅣灂䡁䅑兙獂䙁䄸睕あ䡁䅉兤橂䡁䅑兤祂䝁䅕睘呂䡁䅕兢瑂䝁䅅杣㕂䍁䅅䅊䑂䍁䅑兎䅁䡁䉙䅁⭂䅁䅁睗䱂䝁䅕入呂䡁䅑兙あ䡁䅍睘あ䝁䅕督あ䝁䅙兡獂䝁䅕杌㑂䝁䅷督瑂䙁䄰睑桂䡁䅁兡あ䝁䅅䅢時䙁䅍䅤祂䡁䅕睙あ䡁䅕杣求䙁䄸睕ㅂ䝁䄰兢桂䡁䅉入桁䍁䅑䅒歁䑁䅅睍㙁䍁䅑䅒歁䑁䅅䅎㉁䅁䅁儸䅅䡁䅷䅁扂䕁䅳党㕂䙁䅍䅤桂䡁䅑督時䡁䅑党穂䡁䅑杚灂䝁䅷党畁䡁䅧䅢穂䝁䄰兘䑂䝁䅅䅣灂䡁䅑兙獂䙁䄸睕あ䡁䅉兤橂䡁䅑兤祂䝁䅕睘呂䡁䅕兢瑂䝁䅅杣㕂䍁䅅䅊䕂䍁䅑免穁䑁䅯䅊䕂䍁䅑兏穁䅁䅁来䅅䡁䅯䅁扂䕁䅳党㕂䙁䅍䅤桂䡁䅑督時䡁䅑党穂䡁䅑杚灂䝁䅷党畁䡁䅧䅢穂䝁䄰兘䑂䝁䅅䅣灂䡁䅑兙獂䙁䄸睕あ䡁䅉兤橂䡁䅑兤祂䝁䅕睘呂䡁䅕兢瑂䝁䅅杣㕂䍁䅅䅊䕂䍁䅑兏㙁䍁䅑䅒歁䑁䅫䅍䅁佁䅣䅁⭂䅁䅁睗䱂䝁䅕入呂䡁䅑兙あ䡁䅍睘あ䝁䅕督あ䝁䅙兡獂䝁䅕杌㑂䝁䅷督瑂䙁䄰睑桂䡁䅁兡あ䝁䅅䅢時䙁䅍䅤祂䡁䅕睙あ䡁䅕杣求䙁䄸睕ㅂ䝁䄰兢桂䡁䅉入桁䍁䅑兒歁䑁䅉睎㙁䍁䅑兒歁䑁䅅䅍㉁䅁䅁朸䅅䡁䄴䅁扂䕁䅳党㕂䙁䅍䅤桂䡁䅑督時䡁䅑党穂䡁䅑杚灂䝁䅷党畁䡁䅧䅢穂䝁䄰兘䑂䝁䅅䅣灂䡁䅑兙獂䙁䄸睕あ䡁䅉兤橂䡁䅑兤祂䝁䅕睘呂䡁䅕兢瑂䝁䅅杣㕂䍁䅅䅊䙂䍁䅑杍㍁䑁䅯䅊䙂䍁䅑免睁䑁䅣䅁㑂允䅁䅥䅁䙁䅳睓求䡁䅫睕あ䝁䅅䅤穂䙁䄸䅤求䡁䅍䅤浂䝁䅫䅢求䍁䄴䅥獂䡁䅍兢摂䕁䅍兙睂䝁䅫䅤桂䝁䅷睘呂䡁䅑杣ㅂ䝁䅍䅤ㅂ䡁䅉党時䙁䅍兤瑂䝁䄰兙祂䡁䅫光歁䕁䅙䅊ぁ䑁䅯䅊䭂䍁䅑䅎䅁佁䅙䅁㑂䅁䅁睗䱂䝁䅕入呂䡁䅑兙あ䡁䅍睘あ䝁䅕督あ䝁䅙兡獂䝁䅕杌㑂䝁䅷督瑂䙁䄰睑桂䡁䅁兡あ䝁䅅䅢時䙁䅍䅤祂䡁䅕睙あ䡁䅕杣求䙁䄸睕ㅂ䝁䄰兢桂䡁䅉入桁䍁䅑杒歁䑁䅑杏歁䕁䄴䅊ぁ䅁䅁䄷䅁䡁䅧䅁扂䕁䅳党㕂䙁䅍䅤桂䡁䅑督時䡁䅑党穂䡁䅑杚灂䝁䅷党畁䡁䅧䅢穂䝁䄰兘䑂䝁䅅䅣灂䡁䅑兙獂䙁䄸睕あ䡁䅉兤橂䡁䅑兤祂䝁䅕睘呂䡁䅕兢瑂䝁䅅杣㕂䍁䅅䅊䝂䍁䅑兎㙁䍁䅑杓歁䑁䅕䅁潄䅁䅁䅥䅁䙁䅳睓求䡁䅫睕あ䝁䅅䅤穂䙁䄸䅤求䡁䅍䅤浂䝁䅫䅢求䍁䄴䅥獂䡁䅍兢摂䕁䅍兙睂䝁䅫䅤桂䝁䅷睘呂䡁䅑杣ㅂ䝁䅍䅤ㅂ䡁䅉党時䙁䅍兤瑂䝁䄰兙祂䡁䅫光歁䕁䅙䅊ㅁ䑁䅯䅊佂䍁䅑兎䅁佁䄰䅁㑂䅁䅁睗䱂䝁䅕入呂䡁䅑兙あ䡁䅍睘あ䝁䅕督あ䝁䅙兡獂䝁䅕杌㑂䝁䅷督瑂䙁䄰睑桂䡁䅁兡あ䝁䅅䅢時䙁䅍䅤祂䡁䅕睙あ䡁䅕杣求䙁䄸睕ㅂ䝁䄰兢桂䡁䅉入桁䍁䅑睒歁䑁䅧杏歁䕁䄸䅊㑁䅁䅁睤䅅䡁䅧䅁扂䕁䅳党㕂䙁䅍䅤桂䡁䅑督時䡁䅑党穂䡁䅑杚灂䝁䅷党畁䡁䅧䅢穂䝁䄰兘䑂䝁䅅䅣灂䡁䅑兙獂䙁䄸睕あ䡁䅉兤橂䡁䅑兤祂䝁䅕睘呂䡁䅕兢瑂䝁䅅杣㕂䍁䅅䅊䡂䍁䅑兏㙁䍁䅑睔歁䑁䅫䅁㕂允䅁䅗䅁䙁䅳睓求䡁䅫睕あ䝁䅅䅤穂䙁䄸䅤求䡁䅍䅤浂䝁䅫䅢求䍁䄴䅥獂䡁䅍兢摂䕁䅍兙睂䝁䅫䅤桂䝁䅷兡㙂䝁䅅䅤灂䝁䄸杢桁䍁䅑睑歁䑁䅑䅁䙄䅁䅁杗䅁䙁䅳睓求䡁䅫睕あ䝁䅅䅤穂䙁䄸䅤求䡁䅍䅤浂䝁䅫䅢求䍁䄴䅥獂䡁䅍兢摂䕁䅍兙睂䝁䅫䅤桂䝁䅷兡㙂䝁䅅䅤灂䝁䄸杢桁䍁䅑睑歁䑁䅑睎䅁䝁䑧䅁慂䅁䅁睗䱂䝁䅕入呂䡁䅑兙あ䡁䅍睘あ䝁䅕督あ䝁䅙兡獂䝁䅕杌㑂䝁䅷督瑂䙁䄰睑桂䡁䅁兡あ䝁䅅䅢灂䡁䅯兙あ䝁䅫睢畂䍁䅅䅊䑂䍁䅑䅎㑁䅁䅁睚䅍䙁䅧䅁扂䕁䅳党㕂䙁䅍䅤桂䡁䅑督時䡁䅑党穂䡁䅑杚灂䝁䅷党畁䡁䅧䅢穂䝁䄰兘䑂䝁䅅䅣灂䡁䅑兙獂䝁䅫来桂䡁䅑兡療䝁䄴光歁䕁䅍䅊ㅁ䅁䅁兹䅁䙁䅧䅁扂䕁䅳党㕂䙁䅍䅤桂䡁䅑督時䡁䅑党穂䡁䅑杚灂䝁䅷党畁䡁䅧䅢穂䝁䄰兘䑂䝁䅅䅣灂䡁䅑兙獂䝁䅫来桂䡁䅑兡療䝁䄴光歁䕁䅍䅊㉁䅁䅁儳䅁䝁䅙䅁扂䕁䅳党㕂䙁䅍䅤桂䡁䅑督時䡁䅑党穂䡁䅑杚灂䝁䅷党畁䡁䅧䅢穂䝁䄰兘䑂䝁䅅䅣灂䡁䅑兙獂䝁䅫来桂䡁䅑兡療䝁䄴光歁䕁䅑䅊穁䑁䅍杏歁䕁䅑䅊穁䑁䅑䅁䱄䅁䅁杚䅁䙁䅳睓求䡁䅫睕あ䝁䅅䅤穂䙁䄸䅤求䡁䅍䅤浂䝁䅫䅢求䍁䄴䅥獂䡁䅍兢摂䕁䅍兙睂䝁䅫䅤桂䝁䅷兡㙂䝁䅅䅤灂䝁䄸杢桁䍁䅑䅒歁䑁䅍䅎㙁䍁䅑䅒歁䑁䅍兎䅁乁䅕䅁慂䅁䅁睗䱂䝁䅕入呂䡁䅑兙あ䡁䅍睘あ䝁䅕督あ䝁䅙兡獂䝁䅕杌㑂䝁䅷督瑂䙁䄰睑桂䡁䅁兡あ䝁䅅䅢灂䡁䅯兙あ䝁䅫睢畂䍁䅅䅊䕂䍁䅑兎睁䅁䅁眳䅁䝁䅙䅁扂䕁䅳党㕂䙁䅍䅤桂䡁䅑督時䡁䅑党穂䡁䅑杚灂䝁䅷党畁䡁䅧䅢穂䝁䄰兘䑂䝁䅅䅣灂䡁䅑兙獂䝁䅫来桂䡁䅑兡療䝁䄴光歁䕁䅑䅊ㅁ䑁䅍杏歁䕁䅑䅊ㅁ䑁䅑䅁扄䅁䅁䅚䅁䙁䅳睓求䡁䅫睕あ䝁䅅䅤穂䙁䄸䅤求䡁䅍䅤浂䝁䅫䅢求䍁䄴䅥獂䡁䅍兢摂䕁䅍兙睂䝁䅫䅤桂䝁䅷兡㙂䝁䅅䅤灂䝁䄸杢桁䍁䅑䅒歁䑁䅫杏歁䕁䅑䅊祁䑁䅕䅁啄䅁䅁䅚䅁䙁䅳睓求䡁䅫睕あ䝁䅅䅤穂䙁䄸䅤求䡁䅍䅤浂䝁䅫䅢求䍁䄴䅥獂䡁䅍兢摂䕁䅍兙睂䝁䅫䅤桂䝁䅷兡㙂䝁䅅䅤灂䝁䄸杢桁䍁䅑䅒歁䑁䅫杏歁䕁䅑䅊祁䑁䅧䅁乄䅁䅁䅚䅁䙁䅳睓求䡁䅫睕あ䝁䅅䅤穂䙁䄸䅤求䡁䅍䅤浂䝁䅫䅢求䍁䄴䅥獂䡁䅍兢摂䕁䅍兙睂䝁䅫䅤桂䝁䅷兡㙂䝁䅅䅤灂䝁䄸杢桁䍁䅑䅒歁䑁䅫杏歁䕁䅑䅊穁䑁䅁䅁佄䅁䅁䅚䅁䙁䅳睓求䡁䅫睕あ䝁䅅䅤穂䙁䄸䅤求䡁䅍䅤浂䝁䅫䅢求䍁䄴䅥獂䡁䅍兢摂䕁䅍兙睂䝁䅫䅤桂䝁䅷兡㙂䝁䅅䅤灂䝁䄸杢桁䍁䅑䅒歁䑁䅫杏歁䕁䅑䅊㕁䑁䅁䅁䡄䅁䅁杚䅁䙁䅳睓求䡁䅫睕あ䝁䅅䅤穂䙁䄸䅤求䡁䅍䅤浂䝁䅫䅢求䍁䄴䅥獂䡁䅍兢摂䕁䅍兙睂䝁䅫䅤桂䝁䅷兡㙂䝁䅅䅤灂䝁䄸杢桁䍁䅑杒歁䑁䅍免㙁䍁䅑睓歁䑁䅍免䅁乁䅅䅁浂䅁䅁睗䱂䝁䅕入呂䡁䅑兙あ䡁䅍睘あ䝁䅕督あ䝁䅙兡獂䝁䅕杌㑂䝁䅷督瑂䙁䄰睑桂䡁䅁兡あ䝁䅅䅢灂䡁䅯兙あ䝁䅫睢畂䍁䅅䅊䝂䍁䅑睍硁䑁䅯䅊剂䍁䅑睍硁䅁䅁杹䅁䝁䅙䅁扂䕁䅳党㕂䙁䅍䅤桂䡁䅑督時䡁䅑党穂䡁䅑杚灂䝁䅷党畁䡁䅧䅢穂䝁䄰兘䑂䝁䅅䅣灂䡁䅑兙獂䝁䅫来桂䡁䅑兡療䝁䄴光歁䕁䅙䅊穁䑁䅉杏歁䕁䅳䅊穁䑁䅉䅁卄䅁䅁杚䅁䙁䅳睓求䡁䅫睕あ䝁䅅䅤穂䙁䄸䅤求䡁䅍䅤浂䝁䅫䅢求䍁䄴䅥獂䡁䅍兢摂䕁䅍兙睂䝁䅫䅤桂䝁䅷兡㙂䝁䅅䅤灂䝁䄸杢桁䍁䅑杒歁䑁䅍杍㙁䍁䅑兕歁䑁䅍杍䅁䵁䅷䅁浂䅁䅁睗䱂䝁䅕入呂䡁䅑兙あ䡁䅍睘あ䝁䅕督あ䝁䅙兡獂䝁䅕杌㑂䝁䅷督瑂䙁䄰睑桂䡁䅁兡あ䝁䅅䅢灂䡁䅯兙あ䝁䅫睢畂䍁䅅䅊䝂䍁䅑睍穁䑁䅯䅊䱂䍁䅑睍穁䅁䅁朱䅁䝁䅙䅁扂䕁䅳党㕂䙁䅍䅤桂䡁䅑督時䡁䅑党穂䡁䅑杚灂䝁䅷党畁䡁䅧䅢穂䝁䄰兘䑂䝁䅅䅣灂䡁䅑兙獂䝁䅫来桂䡁䅑兡療䝁䄴光歁䕁䅙䅊ぁ䑁䅣杏歁䕁䅳䅊ぁ䑁䅣䅁敄䅁䅁杚䅁䙁䅳睓求䡁䅫睕あ䝁䅅䅤穂䙁䄸䅤求䡁䅍䅤浂䝁䅫䅢求䍁䄴䅥獂䡁䅍兢摂䕁䅍兙睂䝁䅫䅤桂䝁䅷兡㙂䝁䅅䅤灂䝁䄸杢桁䍁䅑杒歁䑁䅑䅏㙁䍁䅑睓歁䑁䅑䅏䅁佁䅁䅁楂䅁䅁睗䱂䝁䅕入呂䡁䅑兙あ䡁䅍睘あ䝁䅕督あ䝁䅙兡獂䝁䅕杌㑂䝁䅷督瑂䙁䄰睑桂䡁䅁兡あ䝁䅅䅢灂䡁䅯兙あ䝁䅫睢畂䍁䅅䅊䝂䍁䅑䅎㙁䍁䅑睓歁䑁䅑䅁偄䅁䅁杙䅁䙁䅳睓求䡁䅫睕あ䝁䅅䅤穂䙁䄸䅤求䡁䅍䅤浂䝁䅫䅢求䍁䄴䅥獂䡁䅍兢摂䕁䅍兙睂䝁䅫䅤桂䝁䅷兡㙂䝁䅅䅤灂䝁䄸杢桁䍁䅑杒歁䑁䅑杏歁䙁䅅䅊ぁ䅁䅁杸䅁䝁䅙䅁扂䕁䅳党㕂䙁䅍䅤桂䡁䅑督時䡁䅑党穂䡁䅑杚灂䝁䅷党畁䡁䅧䅢穂䝁䄰兘䑂䝁䅅䅣灂䡁䅑兙獂䝁䅫来桂䡁䅑兡療䝁䄴光歁䕁䅙䅊ㅁ䑁䅅杏歁䕁䅳䅊ㅁ䑁䅅䅁慄䅁䅁杚䅁䙁䅳睓求䡁䅫睕あ䝁䅅䅤穂䙁䄸䅤求䡁䅍䅤浂䝁䅫䅢求䍁䄴䅥獂䡁䅍兢摂䕁䅍兙睂䝁䅫䅤桂䝁䅷兡㙂䝁䅅䅤灂䝁䄸杢桁䍁䅑杒歁䑁䅕杍㙁䍁䅑睓歁䑁䅕杍䅁乁䅷䅁楂䅁䅁睗䱂䝁䅕入呂䡁䅑兙あ䡁䅍睘あ䝁䅕督あ䝁䅙兡獂䝁䅕杌㑂䝁䅷督瑂䙁䄰睑桂䡁䅁兡あ䝁䅅䅢灂䡁䅯兙あ䝁䅫睢畂䍁䅅䅊䝂䍁䅑兎㙁䍁䅑睓歁䑁䅕䅁兄䅁䅁杙䅁䙁䅳睓求䡁䅫睕あ䝁䅅䅤穂䙁䄸䅤求䡁䅍䅤浂䝁䅫䅢求䍁䄴䅥獂䡁䅍兢摂䕁䅍兙睂䝁䅫䅤桂䝁䅷兡㙂䝁䅅䅤灂䝁䄸杢桁䍁䅑杒歁䑁䅕杏歁䙁䅅䅊ㅁ䅁䅁䅹䅁䕁䄴䅁扂䕁䅳党㕂䙁䅍䅤桂䡁䅑督時䡁䅑党穂䡁䅑杚灂䝁䅷党畁䡁䅧䅢穂䝁䄰兘䑂䝁䅅督潂䙁䄸杒獂䝁䄸睤桁䍁䅑睑歁䑁䅑䅁㥃䅁䅁杗䅁䙁䅳睓求䡁䅫睕あ䝁䅅䅤穂䙁䄸䅤求䡁䅍䅤浂䝁䅫䅢求䍁䄴䅥獂䡁䅍兢摂䕁䅍兙穂䝁䅧睘䝂䝁䅷睢㍂䍁䅅䅊䕂䍁䅑兏㙁䍁䅑䅒歁䑁䅫䅍䅁䱁䄸䅁奂䅁䅁睗䱂䝁䅕入呂䡁䅑兙あ䡁䅍睘あ䝁䅕督あ䝁䅙兡獂䝁䅕杌㑂䝁䅷督瑂䙁䄰睑桂䡁䅍䅡時䕁䅙䅢療䡁䅣光歁䕁䅙䅊ぁ䑁䅯䅊剂䍁䅑䅎䅁䱁䄴䅁奂䅁䅁睗䱂䝁䅕入呂䡁䅑兙あ䡁䅍睘あ䝁䅕督あ䝁䅙兡獂䝁䅕杌㑂䝁䅷督瑂䙁䄰睑桂䡁䅍䅡時䕁䅙䅢療䡁䅣光歁䕁䅙䅊ㅁ䑁䅯䅊剂䍁䅑兎䅁䵁䅁䅁捂䅁䅁睗䱂䝁䅕入呂䡁䅑兙あ䡁䅍睘あ䝁䅕督あ䝁䅙兡獂䝁䅕杌㑂䝁䅷督瑂䙁䄰兓畂䝁䅍睢瑂䝁䅕睘呂䡁䅑兙あ䝁䅕兢求䝁䄴䅤桁䍁䅑睑歁䑁䅑䅁㑃䅁䅁条䅁䙁䅳睓求䡁䅫睕あ䝁䅅䅤穂䙁䄸䅤求䡁䅍䅤浂䝁䅫䅢求䍁䄴䅥獂䡁䅍兢摂䕁䅫杢橂䝁䄸兢求䙁䄸睕あ䝁䅅䅤求䝁䄰党畂䡁䅑光歁䕁䅑䅊㕁䑁䅯䅊䕂䍁䅑免ぁ䑁䅧䅁浂睁䅁条䅁䙁䅳睓求䡁䅫睕あ䝁䅅䅤穂䙁䄸䅤求䡁䅍䅤浂䝁䅫䅢求䍁䄴䅥獂䡁䅍兢摂䕁䅫杢橂䝁䄸兢求䙁䄸睕あ䝁䅅䅤求䝁䄰党畂䡁䅑光歁䕁䅑䅊㕁䑁䅯䅊䕂䍁䅑免ㅁ䑁䅣䅁㡃䅁䅁条䅁䙁䅳睓求䡁䅫睕あ䝁䅅䅤穂䙁䄸䅤求䡁䅍䅤浂䝁䅫䅢求䍁䄴䅥獂䡁䅍兢摂䕁䅫杢橂䝁䄸兢求䙁䄸睕あ䝁䅅䅤求䝁䄰党畂䡁䅑光歁䕁䅑䅊㕁䑁䅯䅊䕂䍁䅑免ㅁ䑁䅧䅁求睁䅁䅡䅁䙁䅳睓求䡁䅫睕あ䝁䅅䅤穂䙁䄸䅤求䡁䅍䅤浂䝁䅫䅢求䍁䄴䅥獂䡁䅍兢摂䕁䅫杢橂䝁䄸兢求䙁䄸睕あ䝁䅅䅤求䝁䄰党畂䡁䅑光歁䕁䅑䅊㕁䑁䅯䅊䕂䍁䅑睍穁䅁䅁杵䅁䝁䅙䅁扂䕁䅳党㕂䙁䅍䅤桂䡁䅑督時䡁䅑党穂䡁䅑杚灂䝁䅷党畁䡁䅧䅢穂䝁䄰兘䩂䝁䄴睙療䝁䄰党時䙁䅍䅤桂䡁䅑党瑂䝁䅕杢あ䍁䅅䅊䝂䍁䅑䅎㙁䍁䅑兕歁䑁䅑䅁㕃䅁䅁杚䅁䙁䅳睓求䡁䅫睕あ䝁䅅䅤穂䙁䄸䅤求䡁䅍䅤浂䝁䅫䅢求䍁䄴䅥獂䡁䅍兢摂䕁䅫杢橂䝁䄸兢求䙁䄸睕あ䝁䅅䅤求䝁䄰党畂䡁䅑光歁䕁䅙䅊ㅁ䑁䅯䅊剂䍁䅑兎䅁䱁䅳䅁兂䅁䅁睗䱂䝁䅕入呂䡁䅑兙あ䡁䅍睘あ䝁䅕督あ䝁䅙兡獂䝁䅕杌㑂䝁䅷督瑂䙁䄰睓求䡁䅫睘呂䡁䅑兙あ䡁䅍光歁䕁䅉䅊祁䑁䅉䅁噃䅁䅁䅕䅁䙁䅳睓求䡁䅫睕あ䝁䅅䅤穂䙁䄸䅤求䡁䅍䅤浂䝁䅫䅢求䍁䄴䅥獂䡁䅍兢摂䕁䅳党㕂䙁䄸睕あ䝁䅅䅤穂䍁䅅䅊䍂䍁䅑杍穁䅁䅁六䅁䙁䅁䅁扂䕁䅳党㕂䙁䅍䅤桂䡁䅑督時䡁䅑党穂䡁䅑杚灂䝁䅷党畁䡁䅧䅢穂䝁䄰兘䱂䝁䅕入時䙁䅍䅤桂䡁䅑督桁䍁䅑村歁䑁䅕杍䅁䩁䄰䅁兂䅁䅁睗䱂䝁䅕入呂䡁䅑兙あ䡁䅍睘あ䝁䅕督あ䝁䅙兡獂䝁䅕杌㑂䝁䅷督瑂䙁䄰睓求䡁䅫睘呂䡁䅑兙あ䡁䅍光歁䕁䅉䅊ㅁ䑁䅍䅁桃䅁䅁䅕䅁䙁䅳睓求䡁䅫睕あ䝁䅅䅤穂䙁䄸䅤求䡁䅍䅤浂䝁䅫䅢求䍁䄴䅥獂䡁䅍兢摂䕁䅳党㕂䙁䄸睕あ䝁䅅䅤穂䍁䅅䅊䍂䍁䅑兎㕁䅁䅁儴䅁䙁䅁䅁扂䕁䅳党㕂䙁䅍䅤桂䡁䅑督時䡁䅑党穂䡁䅑杚灂䝁䅷党畁䡁䅧䅢穂䝁䄰兘䱂䝁䅕入時䙁䅍䅤桂䡁䅑督桁䍁䅑村歁䑁䅫睎䅁䩁䅁䅁兂䅁䅁睗䱂䝁䅕入呂䡁䅑兙あ䡁䅍睘あ䝁䅕督あ䝁䅙兡獂䝁䅕杌㑂䝁䅷督瑂䙁䄰睓求䡁䅫睘呂䡁䅑兙あ䡁䅍光歁䕁䅉䅊㕁䑁䅧䅁灄䅁䅁䅙䅁䙁䅳睓求䡁䅫睕あ䝁䅅䅤穂䙁䄸䅤求䡁䅍䅤浂䝁䅫䅢求䍁䄴䅥獂䡁䅍兢摂䕁䅳党㕂䙁䄸睕あ䝁䅅䅤穂䍁䅅䅊䑂䍁䅑免睁䑁䅁杏歁䕁䅍䅊硁䑁䅁䅎䅁䩁䅑䅁杂䅁䅁睗䱂䝁䅕入呂䡁䅑兙あ䡁䅍睘あ䝁䅕督あ䝁䅙兡獂䝁䅕杌㑂䝁䅷督瑂䙁䄰睓求䡁䅫睘呂䡁䅑兙あ䡁䅍光歁䕁䅍䅊硁䑁䅁䅍㙁䍁䅑睑歁䑁䅅䅍ㅁ䅁䅁杫䅁䝁䅁䅁扂䕁䅳党㕂䙁䅍䅤桂䡁䅑督時䡁䅑党穂䡁䅑杚灂䝁䅷党畁䡁䅧䅢穂䝁䄰兘䱂䝁䅕入時䙁䅍䅤桂䡁䅑督桁䍁䅑睑歁䑁䅅䅍硁䑁䅯䅊䑂䍁䅑免睁䑁䅕䅁煄䅁䅁䅘䅁䙁䅳睓求䡁䅫睕あ䝁䅅䅤穂䙁䄸䅤求䡁䅍䅤浂䝁䅫䅢求䍁䄴䅥獂䡁䅍兢摂䕁䅳党㕂䙁䄸睕あ䝁䅅䅤穂䍁䅅䅊䑂䍁䅑杍ㅁ䑁䅯䅊䑂䍁䅑䅎㕁䅁䅁睬䅁䙁䅷䅁扂䕁䅳党㕂䙁䅍䅤桂䡁䅑督時䡁䅑党穂䡁䅑杚灂䝁䅷党畁䡁䅧䅢穂䝁䄰兘䱂䝁䅕入時䙁䅍䅤桂䡁䅑督桁䍁䅑睑歁䑁䅕䅎㙁䍁䅑睑歁䑁䅕兎䅁乁䅧䅁捂䅁䅁睗䱂䝁䅕入呂䡁䅑兙あ䡁䅍睘あ䝁䅕督あ䝁䅙兡獂䝁䅕杌㑂䝁䅷督瑂䙁䄰睓求䡁䅫睘呂䡁䅑兙あ䡁䅍光歁䕁䅍䅊ㅁ䑁䅕杏歁䕁䅍䅊ㅁ䑁䅙䅁楃䅁䅁䅘䅁䙁䅳睓求䡁䅫睕あ䝁䅅䅤穂䙁䄸䅤求䡁䅍䅤浂䝁䅫䅢求䍁䄴䅥獂䡁䅍兢摂䕁䅳党㕂䙁䄸睕あ䝁䅅䅤穂䍁䅅䅊䑂䍁䅑李睁䑁䅯䅊䑂䍁䅑李㉁䅁䅁睮䅁䙁䅷䅁扂䕁䅳党㕂䙁䅍䅤桂䡁䅑督時䡁䅑党穂䡁䅑杚灂䝁䅷党畁䡁䅧䅢穂䝁䄰兘䱂䝁䅕入時䙁䅍䅤桂䡁䅑督桁䍁䅑睑歁䑁䅙免㙁䍁䅑睑歁䑁䅙睎䅁佁䅍䅁捂䅁䅁睗䱂䝁䅕入呂䡁䅑兙あ䡁䅍睘あ䝁䅕督あ䝁䅙兡獂䝁䅕杌㑂䝁䅷督瑂䙁䄰睓求䡁䅫睘呂䡁䅑兙あ䡁䅍光歁䕁䅑䅊祁䑁䅕杏歁䕁䅑䅊ぁ䑁䅫䅁扃䅁䅁䅘䅁䙁䅳睓求䡁䅫睕あ䝁䅅䅤穂䙁䄸䅤求䡁䅍䅤浂䝁䅫䅢求䍁䄴䅥獂䡁䅍兢摂䕁䅳党㕂䙁䄸睕あ䝁䅅䅤穂䍁䅅䅊䕂䍁䅑兎ぁ䑁䅯䅊䕂䍁䅑兎ㅁ䅁䅁儲䅁䙁䅷䅁扂䕁䅳党㕂䙁䅍䅤桂䡁䅑督時䡁䅑党穂䡁䅑杚灂䝁䅷党畁䡁䅧䅢穂䝁䄰兘䱂䝁䅕入時䙁䅍䅤桂䡁䅑督桁䍁䅑䅒歁䑁䅕兎㙁䍁䅑䅒歁䑁䅕李䅁乁䅣䅁杂䅁䅁睗䱂䝁䅕入呂䡁䅑兙あ䡁䅍睘あ䝁䅕督あ䝁䅙兡獂䝁䅕杌㑂䝁䅷督瑂䙁䄰睓求䡁䅫睘呂䡁䅑兙あ䡁䅍光歁䕁䅕䅊硁䑁䅁䅍㙁䍁䅑睒歁䑁䅅䅍睁䅁䅁眶䅁䙁䅷䅁扂䕁䅳党㕂䙁䅍䅤桂䡁䅑督時䡁䅑党穂䡁䅑杚灂䝁䅷党畁䡁䅧䅢穂䝁䄰兘䱂䝁䅕入時䙁䅍䅤桂䡁䅑督桁䍁䅑兒歁䑁䅉杍㙁䍁䅑兓歁䑁䅉杍䅁䩁䅙䅁捂䅁䅁睗䱂䝁䅕入呂䡁䅑兙あ䡁䅍睘あ䝁䅕督あ䝁䅙兡獂䝁䅕杌㑂䝁䅷督瑂䙁䄰睓求䡁䅫睘呂䡁䅑兙あ䡁䅍光歁䕁䅕䅊祁䑁䅍杏歁䕁䅫䅊祁䑁䅍䅁奃䅁䅁䅕䅁䙁䅳睓求䡁䅫睕あ䝁䅅䅤穂䙁䄸䅤求䡁䅍䅤浂䝁䅫䅢求䍁䄴䅥獂䡁䅍兢摂䕁䅳党㕂䙁䄸睕あ䝁䅅䅤穂䍁䅅䅊䙂䍁䅑兎祁䅁䅁杮䅁䙁䅁䅁扂䕁䅳党㕂䙁䅍䅤桂䡁䅑督時䡁䅑党穂䡁䅑杚灂䝁䅷党畁䡁䅧䅢穂䝁䄰兘䱂䝁䅕入時䙁䅍䅤桂䡁䅑督桁䍁䅑兒歁䑁䅕睍䅁䭁䅁䅁兂䅁䅁睗䱂䝁䅕入呂䡁䅑兙あ䡁䅍睘あ䝁䅕督あ䝁䅙兡獂䝁䅕杌㑂䝁䅷督瑂䙁䄰睓求䡁䅫睘呂䡁䅑兙あ䡁䅍光歁䕁䅕䅊ㅁ䑁䅫䅁楄䅁䅁䅕䅁䙁䅳睓求䡁䅫睕あ䝁䅅䅤穂䙁䄸䅤求䡁䅍䅤浂䝁䅫䅢求䍁䄴䅥獂䡁䅍兢摂䕁䅳党㕂䙁䄸睕あ䝁䅅䅤穂䍁䅅䅊䙂䍁䅑李睁䅁䅁䄵䅁䙁䅷䅁扂䕁䅳党㕂䙁䅍䅤桂䡁䅑督時䡁䅑党穂䡁䅑杚灂䝁䅷党畁䡁䅧䅢穂䝁䄰兘䱂䝁䅕入時䙁䅍䅤桂䡁䅑督桁䍁䅑兒歁䑁䅫睎㙁䍁䅑睒歁䑁䅫睎䅁䩁䅅䅁捂䅁䅁睗䱂䝁䅕入呂䡁䅑兙あ䡁䅍睘あ䝁䅕督あ䝁䅙兡獂䝁䅕杌㑂䝁䅷督瑂䙁䄰睓求䡁䅫睘呂䡁䅑兙あ䡁䅍光歁䕁䅕䅊㕁䑁䅧杏歁䕁䅣䅊㕁䑁䅧䅁呃䅁䅁䅘䅁䙁䅳睓求䡁䅫睕あ䝁䅅䅤穂䙁䄸䅤求䡁䅍䅤浂䝁䅫䅢求䍁䄴䅥獂䡁䅍兢摂䕁䅳党㕂䙁䄸睕あ䝁䅅䅤穂䍁䅅䅊䙂䍁䅑兏㕁䑁䅯䅊䡂䍁䅑兏㕁䅁䅁睯䅁䙁䅷䅁扂䕁䅳党㕂䙁䅍䅤桂䡁䅑督時䡁䅑党穂䡁䅑杚灂䝁䅷党畁䡁䅧䅢穂䝁䄰兘䱂䝁䅕入時䙁䅍䅤桂䡁䅑督桁䍁䅑杓歁䑁䅉杍㙁䍁䅑䅔歁䑁䅉杍䅁䩁䅯䅁捂䅁䅁睗䱂䝁䅕入呂䡁䅑兙あ䡁䅍睘あ䝁䅕督あ䝁䅙兡獂䝁䅕杌㑂䝁䅷督瑂䙁䄰睓求䡁䅫睘呂䡁䅑兙あ䡁䅍光歁䕁䅯䅊祁䑁䅍杏歁䕁䅷䅊祁䑁䅍䅁捃䅁䅁䅓䅁䙁䅳睓求䡁䅫睕あ䝁䅅䅤穂䙁䄸䅤求䡁䅍䅤浂䝁䅫䅢求䍁䄴䅥獂䡁䅍兢摂䙁䅉兙あ䝁䅫睢穂䍁䅅䅊䑂䍁䅑䅎䅁偁䉍䅁坂䅁䅁睗䱂䝁䅕入呂䡁䅑兙あ䡁䅍睘あ䝁䅕督あ䝁䅙兡獂䝁䅕杌㑂䝁䅷督瑂䙁䄰杕桂䡁䅑兡療䡁䅍光歁䕁䅑䅊㕁䑁䅯䅊䕂䍁䅑免ぁ䑁䅫䅁硃杁䅁䅖䅁䙁䅳睓求䡁䅫睕あ䝁䅅䅤穂䙁䄸䅤求䡁䅍䅤浂䝁䅫䅢求䍁䄴䅥獂䡁䅍兢摂䙁䅉兙あ䝁䅫睢穂䍁䅅䅊䕂䍁䅑兏㙁䍁䅑䅒歁䑁䅫䅍䅁偁䉕䅁卂䅁䅁睗䱂䝁䅕入呂䡁䅑兙あ䡁䅍睘あ䝁䅕督あ䝁䅙兡獂䝁䅕杌㑂䝁䅷督瑂䙁䄰杕桂䡁䅑兡療䡁䅍光歁䕁䅙䅊ぁ䑁䅯䅊䱂䍁䅑䅎䅁偁䉑䅁卂䅁䅁睗䱂䝁䅕入呂䡁䅑兙あ䡁䅍睘あ䝁䅕督あ䝁䅙兡獂䝁䅕杌㑂䝁䅷督瑂䙁䄰杕桂䡁䅑兡療䡁䅍光歁䕁䅙䅊ㅁ䑁䅯䅊䱂䍁䅑兎䅁偁䉙䅁䭂䅁䅁睗䱂䝁䅕入呂䡁䅑兙あ䡁䅍睘あ䝁䅕督あ䝁䅙兡獂䝁䅕杌㑂䝁䅷督瑂䙁䄰睕潂䝁䅕党あ䑁䅅光歁䕁䅉䅊祁䑁䅉䅁㝂䅁䅁杓䅁䙁䅳睓求䡁䅫睕あ䝁䅅䅤穂䙁䄸䅤求䡁䅍䅤浂䝁䅫䅢求䍁䄴䅥獂䡁䅍兢摂䙁䅍䅡求䝁䅕䅤硁䍁䅅䅊䍂䍁䅑杍穁䅁䅁杧䅁䕁䅯䅁扂䕁䅳党㕂䙁䅍䅤桂䡁䅑督時䡁䅑党穂䡁䅑杚灂䝁䅷党畁䡁䅧䅢穂䝁䄰兘呂䝁䅧党求䡁䅑免桁䍁䅑村歁䑁䅕杍䅁䥁䅙䅁䭂䅁䅁睗䱂䝁䅕入呂䡁䅑兙あ䡁䅍睘あ䝁䅕督あ䝁䅙兡獂䝁䅕杌㑂䝁䅷督瑂䙁䄰睕潂䝁䅕党あ䑁䅅光歁䕁䅉䅊ㅁ䑁䅍䅁⽂䅁䅁杖䅁䙁䅳睓求䡁䅫睕あ䝁䅅䅤穂䙁䄸䅤求䡁䅍䅤浂䝁䅫䅢求䍁䄴䅥獂䡁䅍兢摂䙁䅍䅡求䝁䅕䅤硁䍁䅅䅊䑂䍁䅑杍ㅁ䑁䅯䅊䑂䍁䅑䅎㕁䅁䅁兦䅁䙁䅙䅁扂䕁䅳党㕂䙁䅍䅤桂䡁䅑督時䡁䅑党穂䡁䅑杚灂䝁䅷党畁䡁䅧䅢穂䝁䄰兘呂䝁䅧党求䡁䅑免桁䍁䅑睑歁䑁䅕兎㙁䍁䅑睑歁䑁䅕李䅁䥁䅅䅁坂䅁䅁睗䱂䝁䅕入呂䡁䅑兙あ䡁䅍睘あ䝁䅕督あ䝁䅙兡獂䝁䅕杌㑂䝁䅷督瑂䙁䄰睕潂䝁䅕党あ䑁䅅光歁䕁䅍䅊㉁䑁䅁杏歁䕁䅍䅊㉁䑁䅙䅁䡃䅁䅁杖䅁䙁䅳睓求䡁䅫睕あ䝁䅅䅤穂䙁䄸䅤求䡁䅍䅤浂䝁䅫䅢求䍁䄴䅥獂䡁䅍兢摂䙁䅍䅡求䝁䅕䅤硁䍁䅅䅊䕂䍁䅑杍ㅁ䑁䅯䅊䕂䍁䅑䅎㕁䅁䅁䅨䅁䙁䅙䅁扂䕁䅳党㕂䙁䅍䅤桂䡁䅑督時䡁䅑党穂䡁䅑杚灂䝁䅷党畁䡁䅧䅢穂䝁䄰兘呂䝁䅧党求䡁䅑免桁䍁䅑兒歁䑁䅉杍㙁䍁䅑䅓歁䑁䅉杍䅁䡁䅷䅁坂䅁䅁睗䱂䝁䅕入呂䡁䅑兙あ䡁䅍睘あ䝁䅕督あ䝁䅙兡獂䝁䅕杌㑂䝁䅷督瑂䙁䄰睕潂䝁䅕党あ䑁䅅光歁䕁䅕䅊祁䑁䅉杏歁䕁䅫䅊祁䑁䅉䅁佃䅁䅁杖䅁䙁䅳睓求䡁䅫睕あ䝁䅅䅤穂䙁䄸䅤求䡁䅍䅤浂䝁䅫䅢求䍁䄴䅥獂䡁䅍兢摂䙁䅍䅡求䝁䅕䅤硁䍁䅅䅊䙂䍁䅑杍穁䑁䅯䅊䥂䍁䅑杍穁䅁䅁杦䅁䙁䅙䅁扂䕁䅳党㕂䙁䅍䅤桂䡁䅑督時䡁䅑党穂䡁䅑杚灂䝁䅷党畁䡁䅧䅢穂䝁䄰兘呂䝁䅧党求䡁䅑免桁䍁䅑兒歁䑁䅉睍㙁䍁䅑兓歁䑁䅉睍䅁䥁䄸䅁䭂䅁䅁睗䱂䝁䅕入呂䡁䅑兙あ䡁䅍睘あ䝁䅕督あ䝁䅙兡獂䝁䅕杌㑂䝁䅷督瑂䙁䄰睕潂䝁䅕党あ䑁䅅光歁䕁䅕䅊ㅁ䑁䅉䅁䅃䅁䅁杓䅁䙁䅳睓求䡁䅫睕あ䝁䅅䅤穂䙁䄸䅤求䡁䅍䅤浂䝁䅫䅢求䍁䄴䅥獂䡁䅍兢摂䙁䅍䅡求䝁䅕䅤硁䍁䅅䅊䙂䍁䅑兎穁䅁䅁䅩䅁䙁䅙䅁扂䕁䅳党㕂䙁䅍䅤桂䡁䅑督時䡁䅑党穂䡁䅑杚灂䝁䅷党畁䡁䅧䅢穂䝁䄰兘呂䝁䅧党求䡁䅑免桁䍁䅑杒歁䑁䅉杍㙁䍁䅑兓歁䑁䅉杍䅁䥁䅯䅁坂䅁䅁睗䱂䝁䅕入呂䡁䅑兙あ䡁䅍睘あ䝁䅕督あ䝁䅙兡獂䝁䅕杌㑂䝁䅷督瑂䙁䄰睕潂䝁䅕党あ䑁䅅光歁䕁䅙䅊祁䑁䅍杏歁䕁䅫䅊祁䑁䅍䅁䱃䅁䅁杖䅁䙁䅳睓求䡁䅫睕あ䝁䅅䅤穂䙁䄸䅤求䡁䅍䅤浂䝁䅫䅢求䍁䄴䅥獂䡁䅍兢摂䙁䅍䅡求䝁䅕䅤硁䍁䅅䅊䩂䍁䅑杍祁䑁䅯䅊䱂䍁䅑杍祁䅁䅁睧䅁䙁䅙䅁扂䕁䅳党㕂䙁䅍䅤桂䡁䅑督時䡁䅑党穂䡁䅑杚灂䝁䅷党畁䡁䅧䅢穂䝁䄰兘呂䝁䅧党求䡁䅑免桁䍁䅑兓歁䑁䅉睍㙁䍁䅑睓歁䑁䅉睍䅁䥁䅕䅁坂䅁䅁睗䱂䝁䅕入呂䡁䅑兙あ䡁䅍睘あ䝁䅕督あ䝁䅙兡獂䝁䅕杌㑂䝁䅷督瑂䙁䄰睕潂䝁䅕党あ䑁䅅光歁䕁䅯䅊祁䑁䅉杏歁䕁䅷䅊祁䑁䅉䅁䵃䅁䅁杖䅁䙁䅳睓求䡁䅫睕あ䝁䅅䅤穂䙁䄸䅤求䡁䅍䅤浂䝁䅫䅢求䍁䄴䅥獂䡁䅍兢摂䙁䅍䅡求䝁䅕䅤硁䍁䅅䅊䭂䍁䅑杍穁䑁䅯䅊䵂䍁䅑杍穁䅁䅁兪䅁䙁䅑䅁扂䕁䅳党㕂䙁䅍䅤桂䡁䅑督時䡁䅑党穂䡁䅑杚灂䝁䅷党畁䡁䅧䅢穂䝁䄰兘呂䡁䅕䅣睂䝁䅷党瑂䝁䅕杢あ䝁䅅䅢桁䍁䅑睑歁䑁䅑䅁敂睁䅁杙䅁䙁䅳睓求䡁䅫睕あ䝁䅅䅤穂䙁䄸䅤求䡁䅍䅤浂䝁䅫䅢求䍁䄴䅥獂䡁䅍兢摂䙁䅍兤睂䡁䅁䅢求䝁䄰党畂䡁䅑兙獂䍁䅅䅊䕂䍁䅑兏㙁䍁䅑䅒歁䑁䅅睍㕁䅁䅁䅙䅍䝁䅉䅁扂䕁䅳党㕂䙁䅍䅤桂䡁䅑督時䡁䅑党穂䡁䅑杚灂䝁䅷党畁䡁䅧䅢穂䝁䄰兘呂䡁䅕䅣睂䝁䅷党瑂䝁䅕杢あ䝁䅅䅢桁䍁䅑䅒歁䑁䅫杏歁䕁䅑䅊硁䑁䅙兎䅁䝁䑉䅁敂䅁䅁睗䱂䝁䅕入呂䡁䅑兙あ䡁䅍睘あ䝁䅕督あ䝁䅙兡獂䝁䅕杌㑂䝁䅷督瑂䙁䄰睕ㅂ䡁䅁䅣獂䝁䅕兢求䝁䄴䅤桂䝁䅷光歁䕁䅙䅊ぁ䑁䅯䅊䱂䍁䅑䅎䅁䙁䐸䅁敂䅁䅁睗䱂䝁䅕入呂䡁䅑兙あ䡁䅍睘あ䝁䅕督あ䝁䅙兡獂䝁䅕杌㑂䝁䅷督瑂䙁䄰睕ㅂ䡁䅁䅣獂䝁䅕兢求䝁䄴䅤桂䝁䅷光歁䕁䅙䅊ㅁ䑁䅯䅊䱂䍁䅑兎䅁䝁䑅䅁䭂䅁䅁睗䱂䝁䅕入呂䡁䅑兙あ䡁䅍睘あ䝁䅕督あ䝁䅙兡獂䝁䅕杌㑂䝁䅷督㑂䙁䄰睕潂䝁䅕党あ䑁䅅光歁䕁䅉䅊祁䑁䅁䅁瑁䅁䅁杓䅁䙁䅳睓求䡁䅫睕あ䝁䅅䅤穂䙁䄸䅤求䡁䅍䅤浂䝁䅫䅢求䍁䄴䅥獂䡁䅍䅥摂䙁䅍䅡求䝁䅕䅤硁䍁䅅䅊䍂䍁䅑杍硁䅁䅁䅑䅁䕁䅯䅁扂䕁䅳党㕂䙁䅍䅤桂䡁䅑督時䡁䅑党穂䡁䅑杚灂䝁䅷党畁䡁䅧䅢穂䡁䅧兘呂䝁䅧党求䡁䅑免桁䍁䅑村歁䑁䅉杍䅁䕁䄰䅁䭂䅁䅁睗䱂䝁䅕入呂䡁䅑兙あ䡁䅍睘あ䝁䅕督あ䝁䅙兡獂䝁䅕杌㑂䝁䅷督㑂䙁䄰睕潂䝁䅕党あ䑁䅅光歁䕁䅉䅊祁䑁䅍䅁䩂䅁䅁杓䅁䙁䅳睓求䡁䅫睕あ䝁䅅䅤穂䙁䄸䅤求䡁䅍䅤浂䝁䅫䅢求䍁䄴䅥獂䡁䅍䅥摂䙁䅍䅡求䝁䅕䅤硁䍁䅅䅊䍂䍁䅑杍ぁ䅁䅁䅗䅁䕁䅯䅁扂䕁䅳党㕂䙁䅍䅤桂䡁䅑督時䡁䅑党穂䡁䅑杚灂䝁䅷党畁䡁䅧䅢穂䡁䅧兘呂䝁䅧党求䡁䅑免桁䍁䅑村歁䑁䅕杍䅁䡁䅑䅁䭂䅁䅁睗䱂䝁䅕入呂䡁䅑兙あ䡁䅍睘あ䝁䅕督あ䝁䅙兡獂䝁䅕杌㑂䝁䅷督㑂䙁䄰睕潂䝁䅕党あ䑁䅅光歁䕁䅉䅊ㅁ䑁䅍䅁㍂䅁䅁杖䅁䙁䅳睓求䡁䅫睕あ䝁䅅䅤穂䙁䄸䅤求䡁䅍䅤浂䝁䅫䅢求䍁䄴䅥獂䡁䅍䅥摂䙁䅍䅡求䝁䅕䅤硁䍁䅅䅊䑂䍁䅑杍ぁ䑁䅯䅊䑂䍁䅑睍㕁䅁䅁睐䅁䙁䅙䅁扂䕁䅳党㕂䙁䅍䅤桂䡁䅑督時䡁䅑党穂䡁䅑杚灂䝁䅷党畁䡁䅧䅢穂䡁䅧兘呂䝁䅧党求䡁䅑免桁䍁䅑睑歁䑁䅉兎㙁䍁䅑睑歁䑁䅑兎䅁䕁䄸䅁坂䅁䅁睗䱂䝁䅕入呂䡁䅑兙あ䡁䅍睘あ䝁䅕督あ䝁䅙兡獂䝁䅕杌㑂䝁䅷督㑂䙁䄰睕潂䝁䅕党あ䑁䅅光歁䕁䅍䅊祁䑁䅕杏歁䕁䅍䅊ぁ䑁䅫䅁㙂䅁䅁杖䅁䙁䅳睓求䡁䅫睕あ䝁䅅䅤穂䙁䄸䅤求䡁䅍䅤浂䝁䅫䅢求䍁䄴䅥獂䡁䅍䅥摂䙁䅍䅡求䝁䅕䅤硁䍁䅅䅊䑂䍁䅑杍ㅁ䑁䅯䅊䑂䍁䅑李㍁䅁䅁䅖䅁䙁䅙䅁扂䕁䅳党㕂䙁䅍䅤桂䡁䅑督時䡁䅑党穂䡁䅑杚灂䝁䅷党畁䡁䅧䅢穂䡁䅧兘呂䝁䅧党求䡁䅑免桁䍁䅑睑歁䑁䅉兎㙁䍁䅑睑歁䑁䅙䅏䅁䡁䅉䅁䭂䅁䅁睗䱂䝁䅕入呂䡁䅑兙あ䡁䅍睘あ䝁䅕督あ䝁䅙兡獂䝁䅕杌㑂䝁䅷督㑂䙁䄰睕潂䝁䅕党あ䑁䅅光歁䕁䅍䅊ㅁ䑁䅕䅁摂䅁䅁杖䅁䙁䅳睓求䡁䅫睕あ䝁䅅䅤穂䙁䄸䅤求䡁䅍䅤浂䝁䅫䅢求䍁䄴䅥獂䡁䅍䅥摂䙁䅍䅡求䝁䅕䅤硁䍁䅅䅊䑂䍁䅑兎ㅁ䑁䅯䅊䑂䍁䅑兎㉁䅁䅁杗䅁䙁䅙䅁扂䕁䅳党㕂䙁䅍䅤桂䡁䅑督時䡁䅑党穂䡁䅑杚灂䝁䅷党畁䡁䅧䅢穂䡁䅧兘呂䝁䅧党求䡁䅑免桁䍁䅑睑歁䑁䅕兎㙁䍁䅑睑歁䑁䅙䅏䅁䡁䅍䅁坂䅁䅁睗䱂䝁䅕入呂䡁䅑兙あ䡁䅍睘あ䝁䅕督あ䝁䅙兡獂䝁䅕杌㑂䝁䅷督㑂䙁䄰睕潂䝁䅕党あ䑁䅅光歁䕁䅍䅊㉁䑁䅁杏歁䕁䅍䅊㉁䑁䅧䅁㑂䅁䅁杓䅁䙁䅳睓求䡁䅫睕あ䝁䅅䅤穂䙁䄸䅤求䡁䅍䅤浂䝁䅫䅢求䍁䄴䅥獂䡁䅍䅥摂䙁䅍䅡求䝁䅕䅤硁䍁䅅䅊䕂䍁䅑杍ぁ䅁䅁睌䅁䙁䅙䅁扂䕁䅳党㕂䙁䅍䅤桂䡁䅑督時䡁䅑党穂䡁䅑杚灂䝁䅷党畁䡁䅧䅢穂䡁䅧兘呂䝁䅧党求䡁䅑免桁䍁䅑䅒歁䑁䅉兎㙁䍁䅑䅒歁䑁䅍䅍䅁䕁䅳䅁坂䅁䅁睗䱂䝁䅕入呂䡁䅑兙あ䡁䅍睘あ䝁䅕督あ䝁䅙兡獂䝁䅕杌㑂䝁䅷督㑂䙁䄰睕潂䝁䅕党あ䑁䅅光歁䕁䅑䅊祁䑁䅕杏歁䕁䅑䅊ぁ䑁䅧䅁呂䅁䅁杖䅁䙁䅳睓求䡁䅫睕あ䝁䅅䅤穂䙁䄸䅤求䡁䅍䅤浂䝁䅫䅢求䍁䄴䅥獂䡁䅍䅥摂䙁䅍䅡求䝁䅕䅤硁䍁䅅䅊䕂䍁䅑杍ㅁ䑁䅯䅊䕂䍁䅑䅎㕁䅁䅁睖䅁䙁䅙䅁扂䕁䅳党㕂䙁䅍䅤桂䡁䅑督時䡁䅑党穂䡁䅑杚灂䝁䅷党畁䡁䅧䅢穂䡁䅧兘呂䝁䅧党求䡁䅑免桁䍁䅑䅒歁䑁䅉兎㙁䍁䅑䅒歁䑁䅙睎䅁䙁䅕䅁䭂䅁䅁睗䱂䝁䅕入呂䡁䅑兙あ䡁䅍睘あ䝁䅕督あ䝁䅙兡獂䝁䅕杌㑂䝁䅷督㑂䙁䄰睕潂䝁䅕党あ䑁䅅光歁䕁䅑䅊ㅁ䑁䅕䅁敂䅁䅁杖䅁䙁䅳睓求䡁䅫睕あ䝁䅅䅤穂䙁䄸䅤求䡁䅍䅤浂䝁䅫䅢求䍁䄴䅥獂䡁䅍䅥摂䙁䅍䅡求䝁䅕䅤硁䍁䅅䅊䕂䍁䅑兎ㅁ䑁䅯䅊䕂䍁䅑兎㉁䅁䅁睗䅁䕁䅯䅁扂䕁䅳党㕂䙁䅍䅤桂䡁䅑督時䡁䅑党穂䡁䅑杚灂䝁䅷党畁䡁䅧䅢穂䡁䅧兘呂䝁䅧党求䡁䅑免桁䍁䅑兒歁䑁䅉䅍䅁䍁䄴䅁坂䅁䅁睗䱂䝁䅕入呂䡁䅑兙あ䡁䅍睘あ䝁䅕督あ䝁䅙兡獂䝁䅕杌㑂䝁䅷督㑂䙁䄰睕潂䝁䅕党あ䑁䅅光歁䕁䅕䅊祁䑁䅁杏歁䕁䅣䅊祁䑁䅁䅁祁䅁䅁杖䅁䙁䅳睓求䡁䅫睕あ䝁䅅䅤穂䙁䄸䅤求䡁䅍䅤浂䝁䅫䅢求䍁䄴䅥獂䡁䅍䅥摂䙁䅍䅡求䝁䅕䅤硁䍁䅅䅊䙂䍁䅑杍睁䑁䅯䅊䥂䍁䅑杍睁䅁䅁睎䅁䙁䅙䅁扂䕁䅳党㕂䙁䅍䅤桂䡁䅑督時䡁䅑党穂䡁䅑杚灂䝁䅷党畁䡁䅧䅢穂䡁䅧兘呂䝁䅧党求䡁䅑免桁䍁䅑兒歁䑁䅉䅍㙁䍁䅑兓歁䑁䅉䅍䅁䕁䅍䅁䭂䅁䅁睗䱂䝁䅕入呂䡁䅑兙あ䡁䅍睘あ䝁䅕督あ䝁䅙兡獂䝁䅕杌㑂䝁䅷督㑂䙁䄰睕潂䝁䅕党あ䑁䅅光歁䕁䅕䅊祁䑁䅅䅁睁䅁䅁杖䅁䙁䅳睓求䡁䅫睕あ䝁䅅䅤穂䙁䄸䅤求䡁䅍䅤浂䝁䅫䅢求䍁䄴䅥獂䡁䅍䅥摂䙁䅍䅡求䝁䅕䅤硁䍁䅅䅊䙂䍁䅑杍硁䑁䅯䅊䡂䍁䅑杍硁䅁䅁睍䅁䙁䅙䅁扂䕁䅳党㕂䙁䅍䅤桂䡁䅑督時䡁䅑党穂䡁䅑杚灂䝁䅷党畁䡁䅧䅢穂䡁䅧兘呂䝁䅧党求䡁䅑免桁䍁䅑兒歁䑁䅉免㙁䍁䅑䅓歁䑁䅉免䅁䑁䅧䅁坂䅁䅁睗䱂䝁䅕入呂䡁䅑兙あ䡁䅍睘あ䝁䅕督あ䝁䅙兡獂䝁䅕杌㑂䝁䅷督㑂䙁䄰睕潂䝁䅕党あ䑁䅅光歁䕁䅕䅊祁䑁䅅杏歁䕁䅫䅊祁䑁䅅䅁䕂䅁䅁杓䅁䙁䅳睓求䡁䅫睕あ䝁䅅䅤穂䙁䄸䅤求䡁䅍䅤浂䝁䅫䅢求䍁䄴䅥獂䡁䅍䅥摂䙁䅍䅡求䝁䅕䅤硁䍁䅅䅊䙂䍁䅑杍祁䅁䅁兗䅁䙁䅙䅁扂䕁䅳党㕂䙁䅍䅤桂䡁䅑督時䡁䅑党穂䡁䅑杚灂䝁䅷党畁䡁䅧䅢穂䡁䅧兘呂䝁䅧党求䡁䅑免桁䍁䅑兒歁䑁䅉杍㙁䍁䅑兓歁䑁䅉杍䅁䕁䄴䅁坂䅁䅁睗䱂䝁䅕入呂䡁䅑兙あ䡁䅍睘あ䝁䅕督あ䝁䅙兡獂䝁䅕杌㑂䝁䅷督㑂䙁䄰睕潂䝁䅕党あ䑁䅅光歁䕁䅕䅊祁䑁䅍杏歁䕁䅫䅊祁䑁䅍䅁兂䅁䅁杓䅁䙁䅳睓求䡁䅫睕あ䝁䅅䅤穂䙁䄸䅤求䡁䅍䅤浂䝁䅫䅢求䍁䄴䅥獂䡁䅍䅥摂䙁䅍䅡求䝁䅕䅤硁䍁䅅䅊䙂䍁䅑兎祁䅁䅁兤䅁䕁䅯䅁扂䕁䅳党㕂䙁䅍䅤桂䡁䅑督時䡁䅑党穂䡁䅑杚灂䝁䅷党畁䡁䅧䅢穂䡁䅧兘呂䝁䅧党求䡁䅑免桁䍁䅑兒歁䑁䅕睍䅁䡁䅙䅁坂䅁䅁睗䱂䝁䅕入呂䡁䅑兙あ䡁䅍睘あ䝁䅕督あ䝁䅙兡獂䝁䅕杌㑂䝁䅷督㑂䙁䄰睕潂䝁䅕党あ䑁䅅光歁䕁䅙䅊祁䑁䅁杏歁䕁䅧䅊祁䑁䅁䅁ぁ䅁䅁杖䅁䙁䅳睓求䡁䅫睕あ䝁䅅䅤穂䙁䄸䅤求䡁䅍䅤浂䝁䅫䅢求䍁䄴䅥獂䡁䅍䅥摂䙁䅍䅡求䝁䅕䅤硁䍁䅅䅊䝂䍁䅑杍硁䑁䅯䅊䥂䍁䅑杍硁䅁䅁兎䅁䙁䅙䅁扂䕁䅳党㕂䙁䅍䅤桂䡁䅑督時䡁䅑党穂䡁䅑杚灂䝁䅷党畁䡁䅧䅢穂䡁䅧兘呂䝁䅧党求䡁䅑免桁䍁䅑杓歁䑁䅉䅍㙁䍁䅑䅔歁䑁䅉䅍䅁䕁䅅䅁坂䅁䅁睗䱂䝁䅕入呂䡁䅑兙あ䡁䅍睘あ䝁䅕督あ䝁䅙兡獂䝁䅕杌㑂䝁䅷督㑂䙁䄰睕潂䝁䅕党あ䑁䅅光歁䕁䅯䅊祁䑁䅅杏歁䕁䅷䅊祁䑁䅅䅁䍂䅁䅁杖䅁䙁䅳睓求䡁䅫睕あ䝁䅅䅤穂䙁䄸䅤求䡁䅍䅤浂䝁䅫䅢求䍁䄴䅥獂䡁䅍䅥摂䙁䅍䅡求䝁䅕䅤硁䍁䅅䅊䭂䍁䅑杍祁䑁䅯䅊䵂䍁䅑杍祁䅁䅁杓䅁䙁䅙䅁扂䕁䅳党㕂䙁䅍䅤桂䡁䅑督時䡁䅑党穂䡁䅑杚灂䝁䅷党畁䡁䅧䅢穂䡁䅧兘呂䝁䅧党求䡁䅑免桁䍁䅑杓歁䑁䅉睍㙁䍁䅑䅔歁䑁䅉睍䅁䕁䅷䅁䥂䅁䅁睗䱂䝁䅕入呂䡁䅑兙あ䡁䅍睘あ䝁䅕督あ䝁䅙兡獂䝁䅕杌㑂䝁䅷督㑂䙁䄰睕潂䝁䅕党あ䑁䅉光歁䕁䅑䅊ㅁ䅁䅁兊䅁䙁䅉䅁扂䕁䅳党㕂䙁䅍䅤桂䡁䅑督時䡁䅑党穂䡁䅑杚灂䝁䅷党畁䡁䅧䅢穂䡁䅧兘呂䝁䅧党求䡁䅑杍桁䍁䅑䅒歁䑁䅧杏歁䕁䅑䅊㕁䅁䅁杊䅁䙁䅉䅁扂䕁䅳党㕂䙁䅍䅤桂䡁䅑督時䡁䅑党穂䡁䅑杚灂䝁䅷党畁䡁䅧䅢穂䡁䅧兘呂䝁䅧党求䡁䅑杍桁䍁䅑兒歁䑁䅧杏歁䕁䅕䅊㕁䅁䅁䅋䅁䙁䅑䅁扂䕁䅳党㕂䙁䅍䅤桂䡁䅑督時䡁䅑党穂䡁䅑杚灂䝁䅷党畁䡁䅧䅢穂䡁䅧兘呂䝁䅧党求䡁䅑杍桁䍁䅑兒歁䑁䅫杏歁䕁䅕䅊硁䑁䅅䅁牁䅁䅁杕䅁䙁䅳睓求䡁䅫睕あ䝁䅅䅤穂䙁䄸䅤求䡁䅍䅤浂䝁䅫䅢求䍁䄴䅥獂䡁䅍䅥摂䙁䅍䅡求䝁䅕䅤祁䍁䅅䅊䝂䍁䅑李㙁䍁䅑睒歁䑁䅙䅁煁䅁䅁杕䅁䙁䅳睓求䡁䅫睕あ䝁䅅䅤穂䙁䄸䅤求䡁䅍䅤浂䝁䅫䅢求䍁䄴䅥獂䡁䅍䅥摂䙁䅍䅡求䝁䅕䅤祁䍁䅅䅊䝂䍁䅑睎㙁䍁䅑睒歁䑁䅣䅁獁䅁䅁杕䅁䙁䅳睓求䡁䅫睕あ䝁䅅䅤穂䙁䄸䅤求䡁䅍䅤浂䝁䅫䅢求䍁䄴䅥獂䡁䅍䅥摂䙁䅍䅡求䝁䅕䅤祁䍁䅅䅊䡂䍁䅑睎㙁䍁䅑兓歁䑁䅣䅁湁䅁䅁䅣䅁䙁䅳兔䩂䙁䄸睑療䝁䄰䅣桂䝁䄴入時䕁䅳党㕂䙁䅍䅤桂䡁䅑督時䡁䅙免畁䡁䅧䅢穂䝁䄰兘䍂䝁䅅䅢桂䝁䄴睙求䙁䄸睕潂䝁䅕党あ䍁䅅䅊䑂䍁䅑免硁䑁䅯䅊䑂䍁䅑免ぁ䑁䅅䅁㉃兂䅁䅚䅁䙁䅳兔䩂䙁䄸睑療䝁䄰䅣桂䝁䄴入時䕁䅳党㕂䙁䅍䅤桂䡁䅑督時䡁䅙免畁䡁䅧䅢穂䝁䄰兘䍂䝁䅅䅢桂䝁䄴睙求䙁䄸睕潂䝁䅕党あ䍁䅅䅊䑂䍁䅑免ぁ䑁䅍䅁汃䅂䅁䅚䅁䙁䅳兔䩂䙁䄸睑療䝁䄰䅣桂䝁䄴入時䕁䅳党㕂䙁䅍䅤桂䡁䅑督時䡁䅙免畁䡁䅧䅢穂䝁䄰兘䍂䝁䅅䅢桂䝁䄴睙求䙁䄸睕潂䝁䅕党あ䍁䅅䅊䑂䍁䅑免ぁ䑁䅙䅁湃䅂䅁䅙䅁䙁䅳兔䩂䙁䄸睑療䝁䄰䅣桂䝁䄴入時䕁䅳党㕂䙁䅍䅤桂䡁䅑督時䡁䅙免畁䡁䅧䅢穂䝁䄰兘䍂䝁䅅䅢桂䝁䄴睙求䙁䄸睕潂䝁䅕党あ䍁䅅䅊䑂䍁䅑䅎䅁䅁䕧䅁杂䅁䅁睗乂䕁䅫睘䑂䝁䄸兢睂䝁䅅杢㕂䙁䄸睓求䡁䅫睕あ䝁䅅䅤穂䙁䄸杤硁䍁䄴䅥獂䡁䅍兢摂䕁䅉兙獂䝁䅅杢橂䝁䅕睘呂䝁䅧党求䡁䅑光歁䕁䅍䅊㉁䅁䅁䅴䅕䝁䄴䅁扂䕁䄰兓時䕁䅍睢瑂䡁䅁兙畂䡁䅫睘䱂䝁䅕入呂䡁䅑兙あ䡁䅍睘㉂䑁䅅杌㑂䝁䅷督瑂䙁䄰村桂䝁䅷兙畂䝁䅍党時䙁䅍䅡求䝁䅕䅤桁䍁䅑睑歁䑁䅫杏歁䕁䅍䅊硁䑁䅍兏䅁䅁䕯䅁畂䅁䅁睗乂䕁䅫睘䑂䝁䄸兢睂䝁䅅杢㕂䙁䄸睓求䡁䅫睕あ䝁䅅䅤穂䙁䄸杤硁䍁䄴䅥獂䡁䅍兢摂䕁䅉兙獂䝁䅅杢橂䝁䅕睘呂䝁䅧党求䡁䅑光歁䕁䅍䅊㕁䑁䅯䅊䑂䍁䅑免ぁ䑁䅅䅁摃䅂䅁杣䅁䙁䅳兔䩂䙁䄸睑療䝁䄰䅣桂䝁䄴入時䕁䅳党㕂䙁䅍䅤桂䡁䅑督時䡁䅙免畁䡁䅧䅢穂䝁䄰兘䍂䝁䅅䅢桂䝁䄴睙求䙁䄸睕潂䝁䅕党あ䍁䅅䅊䙂䍁䅑免ぁ䑁䅍杏歁䙁䅁䅊硁䑁䅑睍䅁䭁䕙䅁祂䅁䅁睗乂䕁䅫睘䑂䝁䄸兢睂䝁䅅杢㕂䙁䄸睓求䡁䅫睕あ䝁䅅䅤穂䙁䄸杤硁䍁䄴䅥獂䡁䅍兢摂䕁䅉兙獂䝁䅅杢橂䝁䅕睘呂䝁䅧党求䡁䅑光歁䕁䅕䅊硁䑁䅑䅎㙁䍁䅑䅕歁䑁䅅䅎ぁ䅁䅁䅱䅑䝁䅯䅁扂䕁䄰兓時䕁䅍睢瑂䡁䅁兙畂䡁䅫睘䱂䝁䅕入呂䡁䅑兙あ䡁䅍睘㉂䑁䅅杌㑂䝁䅷督瑂䙁䄰村桂䝁䅷兙畂䝁䅍党時䙁䅍䅡求䝁䅕䅤桁䍁䅑兒歁䑁䅑杏歁䙁䅁䅊ぁ䅁䅁元䅑䝁䅯䅁扂䕁䄰兓時䕁䅍睢瑂䡁䅁兙畂䡁䅫睘䱂䝁䅕入呂䡁䅑兙あ䡁䅍睘㉂䑁䅅杌㑂䝁䅷督瑂䙁䄰村桂䝁䅷兙畂䝁䅍党時䙁䅍䅡求䝁䅕䅤桁䍁䅑兒歁䑁䅕杏歁䙁䅁䅊ㅁ䅁䅁睃䅑䝁䅯䅁扂䕁䄰兓時䕁䅍睢瑂䡁䅁兙畂䡁䅫睘䱂䝁䅕入呂䡁䅑兙あ䡁䅍睘㉂䑁䅅杌㑂䝁䅷督瑂䙁䄰村桂䝁䅷兙畂䝁䅍党時䙁䅍䅡求䝁䅕䅤桁䍁䅑兒歁䑁䅙杏歁䙁䅁䅊㉁䅁䅁兴䅕䝁䅯䅁扂䕁䄰兓時䕁䅍睢瑂䡁䅁兙畂䡁䅫睘䱂䝁䅕入呂䡁䅑兙あ䡁䅍睘㉂䑁䅅杌㑂䝁䅷督瑂䙁䄰村桂䝁䅷兙畂䝁䅍党時䙁䅍䅡求䝁䅕䅤桁䍁䅑兒歁䑁䅣杏歁䙁䅁䅊㍁䅁䅁睴䅕䥁䅧䅁扂䕁䄰兓時䕁䅍睢瑂䡁䅁兙畂䡁䅫睘䱂䝁䅕入呂䡁䅑兙あ䡁䅍睘㉂䑁䅅杌㑂䝁䅷督瑂䙁䄰睑桂䡁䅁兡あ䝁䅅䅢時䙁䅍䅤祂䡁䅕睙あ䡁䅕杣求䙁䄸睕ㅂ䝁䄰兢桂䡁䅉入桁䍁䅑睑歁䑁䅅睍㙁䍁䅑睑歁䑁䅅兎睁䅁䅁杈䅑䥁䅧䅁扂䕁䄰兓時䕁䅍睢瑂䡁䅁兙畂䡁䅫睘䱂䝁䅕入呂䡁䅑兙あ䡁䅍睘㉂䑁䅅杌㑂䝁䅷督瑂䙁䄰睑桂䡁䅁兡あ䝁䅅䅢時䙁䅍䅤祂䡁䅕睙あ䡁䅕杣求䙁䄸睕ㅂ䝁䄰兢桂䡁䅉入桁䍁䅑睑歁䑁䅅兎㙁䍁䅑睑歁䑁䅅兎祁䅁䅁杶䅕䡁䅧䅁扂䕁䄰兓時䕁䅍睢瑂䡁䅁兙畂䡁䅫睘䱂䝁䅕入呂䡁䅑兙あ䡁䅍睘㉂䑁䅅杌㑂䝁䅷督瑂䙁䄰睑桂䡁䅁兡あ䝁䅅䅢時䙁䅍䅤祂䡁䅕睙あ䡁䅕杣求䙁䄸</t>
  </si>
  <si>
    <r>
      <rPr>
        <b/>
        <sz val="8"/>
        <rFont val="Arial"/>
        <family val="2"/>
      </rPr>
      <t>Step 4:</t>
    </r>
    <r>
      <rPr>
        <sz val="8"/>
        <rFont val="Arial"/>
        <family val="2"/>
      </rPr>
      <t xml:space="preserve"> Select Currency, Magnitude &amp; Conversion Method.</t>
    </r>
  </si>
  <si>
    <r>
      <rPr>
        <b/>
        <sz val="8"/>
        <color theme="1"/>
        <rFont val="Arial"/>
        <family val="2"/>
      </rPr>
      <t>Step 5:</t>
    </r>
    <r>
      <rPr>
        <sz val="8"/>
        <color theme="1"/>
        <rFont val="Arial"/>
        <family val="2"/>
      </rPr>
      <t xml:space="preserve"> Hit "REFRESH" button.</t>
    </r>
  </si>
  <si>
    <t>`</t>
  </si>
  <si>
    <t>Fourth Quarter [Annual - 9 Month YTD]</t>
  </si>
  <si>
    <t>Quarterly Cash Flow Period based on the subtraction of two consecutive Year-to-Date Periods [YTD(t) – YTD(t-1)]</t>
  </si>
  <si>
    <t>FMC</t>
  </si>
  <si>
    <t>FMC Corporation (NYSE:FMC)</t>
  </si>
  <si>
    <t>FMC-US</t>
  </si>
  <si>
    <t>允䅁䉁䝉䅁䍁䅁䅁䅁桁䅁䅁杄䅁䍁䅍兒卂䙁䅉睔卂䅁䅁眰䅁䅁䅷䅁橁䙁䅁兒佂䕁䅑䅁桄睁䅁䅗䅁䍁䅣睗䱂䝁䅕入呂䡁䅑兙あ䡁䅍睘あ䝁䅕督あ䝁䅙兡獂䝁䅕杌㑂䝁䅷督瑂䙁䄰䅕求䝁䄴督灂䝁䄸杢瑁䕁䄸䅕䙂䕁䅉睊桁䍁䅑睑歁䑁䅑䅁㑃杁䅁杚䅁䍁䅣睗䱂䝁䅕入呂䡁䅑兙あ䡁䅍睘あ䝁䅕督あ䝁䅙兡獂䝁䅕杌㑂䝁䅷督瑂䙁䄰䅕求䝁䄴督灂䝁䄸杢瑁䕁䄸䅕䙂䕁䅉睊桁䍁䅑䅒歁䑁䅫杏歁䕁䅑䅊硁䑁䅑兏䅁䱁䍯䅁浂䅁䅁睊扂䕁䅳党㕂䙁䅍䅤桂䡁䅑督時䡁䅑党穂䡁䅑杚灂䝁䅷党畁䡁䅧䅢穂䝁䄰兘兂䝁䅕杢穂䝁䅫睢畂䍁䄰睔兂䕁䅕村湁䍁䅅䅊䕂䍁䅑兏㙁䍁䅑䅒歁䑁䅕李㍁䅁䅁睙䅍䝁䅙䅁湁䙁䅳睓求䡁䅫睕あ䝁䅅䅤穂䙁䄸䅤求䡁䅍䅤浂䝁䅫䅢求䍁䄴䅥獂䡁䅍兢摂䙁䅁党畂䡁䅍兡療䝁䄴兌偂䙁䅁兒䍂䍁䅣光歁䕁䅑䅊㕁䑁䅯䅊䕂䍁䅑兎㉁䑁䅧䅁歂睁䅁杙䅁䍁䅣睗䱂䝁䅕入呂䡁䅑兙あ䡁䅍睘あ䝁䅕督あ䝁䅙兡獂䝁䅕杌㑂䝁䅷督瑂䙁䄰䅕求䝁䄴督灂䝁䄸杢瑁䕁䄸䅕䙂䕁䅉睊桁䍁䅑杒歁䑁䅑杏歁䕁䅳䅊ぁ䅁䅁兵䅉䝁䅉䅁湁䙁䅳睓求䡁䅫睕あ䝁䅅䅤穂䙁䄸䅤求䡁䅍䅤浂䝁䅫䅢求䍁䄴䅥獂䡁䅍兢摂䙁䅁党畂䡁䅍兡療䝁䄴兌偂䙁䅁兒䍂䍁䅣光歁䕁䅙䅊ㅁ䑁䅯䅊䱂䍁䅑兎䅁䱁䍳䅁獂䅁䅁睊扂䕁䄰兓時䕁䅍睢瑂䡁䅁兙畂䡁䅫睘䱂䝁䅕入呂䡁䅑兙あ䡁䅍睘㉂䑁䅅䅉潁䑁䅍克畁䡁䅧䅢穂䝁䄰兘䍂䝁䅅䅢桂䝁䄴睙求䙁䄸睕潂䝁䅕党あ䍁䅣光歁䕁䅍䅊ぁ䅁䅁杔䅑䡁䅯䅁湁䙁䅳兔䩂䙁䄸睑療䝁䄰䅣桂䝁䄴入時䕁䅳党㕂䙁䅍䅤桂䡁䅑督時䡁䅙免杁䍁䅧睍灁䍁䄴䅥獂䡁䅍兢摂䕁䅉兙獂䝁䅅杢橂䝁䅕睘呂䝁䅧党求䡁䅑睊桁䍁䅑睑歁䑁䅫杏歁䕁䅍䅊硁䑁䅍兏䅁䙁䕁䅁㉂䅁䅁睊扂䕁䄰兓時䕁䅍睢瑂䡁䅁兙畂䡁䅫睘䱂䝁䅕入呂䡁䅑兙あ䡁䅍睘㉂䑁䅅䅉潁䑁䅍克畁䡁䅧䅢穂䝁䄰兘䍂䝁䅅䅢桂䝁䄴睙求䙁䄸睕潂䝁䅕党あ䍁䅣光歁䕁䅕䅊ぁ䑁䅯䅊兂䍁䅑䅎䅁䕁䔸䅁㉂䅁䅁睊扂䕁䄰兓時䕁䅍睢瑂䡁䅁兙畂䡁䅫睘䱂䝁䅕入呂䡁䅑兙あ䡁䅍睘㉂䑁䅅䅉潁䑁䅍克畁䡁䅧䅢穂䝁䄰兘䍂䝁䅅䅢桂䝁䄴睙求䙁䄸睕潂䝁䅕党あ䍁䅣光歁䕁䅕䅊ㅁ䑁䅯䅊兂䍁䅑兎䅁䙁䕅䅁啃䅁䅁睊扂䕁䄰兓時䕁䅍睢瑂䡁䅁兙畂䡁䅫睘䱂䝁䅕入呂䡁䅑兙あ䡁䅍睘㉂䑁䅅䅉潁䑁䅍克畁䡁䅧䅢穂䝁䄰兘䑂䝁䅅䅣灂䡁䅑兙獂䙁䄸睕あ䡁䅉兤橂䡁䅑兤祂䝁䅕睘呂䡁䅕兢瑂䝁䅅杣㕂䍁䅣光歁䕁䅍䅊硁䑁䅍杏歁䕁䅍䅊硁䑁䅕䅍䅁䝁䕑䅁䕃䅁䅁睊扂䕁䄰兓時䕁䅍睢瑂䡁䅁兙畂䡁䅫睘䱂䝁䅕入呂䡁䅑兙あ䡁䅍睘㉂䑁䅅䅉潁䑁䅍克畁䡁䅧䅢穂䝁䄰兘䑂䝁䅅䅣灂䡁䅑兙獂䙁䄸睕あ䡁䅉兤橂䡁䅑兤祂䝁䅕睘呂䡁䅕兢瑂䝁䅅杣㕂䍁䅣光歁䕁䅍䅊ぁ䅁䅁杙䅑䥁䅑䅁湁䙁䅳兔䩂䙁䄸睑療䝁䄰䅣桂䝁䄴入時䕁䅳党㕂䙁䅍䅤桂䡁䅑督時䡁䅙免杁䍁䅧睍灁䍁䄴䅥獂䡁䅍兢摂䕁䅍兙睂䝁䅫䅤桂䝁䅷睘呂䡁䅑杣ㅂ䝁䅍䅤ㅂ䡁䅉党時䙁䅍兤瑂䝁䄰兙祂䡁䅫睊桁䍁䅑睑歁䑁䅕䅁浂䅂䅁杫䅁䍁䅣睗乂䕁䅫睘䑂䝁䄸兢睂䝁䅅杢㕂䙁䄸睓求䡁䅫睕あ䝁䅅䅤穂䙁䄸杤硁䍁䅁䅋穁䍁䅫杌㑂䝁䅷督瑂䙁䄰睑桂䡁䅁兡あ䝁䅅䅢時䙁䅍䅤祂䡁䅕睙あ䡁䅕杣求䙁䄸睕ㅂ䝁䄰兢桂䡁䅉入湁䍁䅅䅊䕂䍁䅑杍㍁䑁䅯䅊䕂䍁䅑睎㑁䅁䅁䅡䅑䥁䄴䅁湁䙁䅳兔䩂䙁䄸睑療䝁䄰䅣桂䝁䄴入時䕁䅳党㕂䙁䅍䅤桂䡁䅑督時䡁䅙免杁䍁䅧睍灁䍁䄴䅥獂䡁䅍兢摂䕁䅍兙睂䝁䅫䅤桂䝁䅷睘呂䡁䅑杣ㅂ䝁䅍䅤ㅂ䡁䅉党時䙁䅍兤瑂䝁䄰兙祂䡁䅫睊桁䍁䅑兒歁䑁䅑杏歁䕁䄸䅊ぁ䅁䅁睙䅑䥁䄴䅁湁䙁䅳兔䩂䙁䄸睑療䝁䄰䅣桂䝁䄴入時䕁䅳党㕂䙁䅍䅤桂䡁䅑督時䡁䅙免杁䍁䅧睍灁䍁䄴䅥獂䡁䅍兢摂䕁䅍兙睂䝁䅫䅤桂䝁䅷睘呂䡁䅑杣ㅂ䝁䅍䅤ㅂ䡁䅉党時䙁䅍兤瑂䝁䄰兙祂䡁䅫睊桁䍁䅑兒歁䑁䅕杏歁䕁䄸䅊ㅁ䅁䅁党䅑䥁䄴䅁湁䙁䅳兔䩂䙁䄸睑療䝁䄰䅣桂䝁䄴入時䕁䅳党㕂䙁䅍䅤桂䡁䅑督時䡁䅙免杁䍁䅧睍灁䍁䄴䅥獂䡁䅍兢摂䕁䅍兙睂䝁䅫䅤桂䝁䅷睘呂䡁䅑杣ㅂ䝁䅍䅤ㅂ䡁䅉党時䙁䅍兤瑂䝁䄰兙祂䡁䅫睊桁䍁䅑杒歁䑁䅧杏歁䙁䅁䅊㑁䅁䅁睚䅑䥁䄴䅁湁䙁䅳兔䩂䙁䄸睑療䝁䄰䅣桂䝁䄴入時䕁䅳党㕂䙁䅍䅤桂䡁䅑督時䡁䅙免杁䍁䅧睍灁䍁䄴䅥獂䡁䅍兢摂䕁䅍兙睂䝁䅫䅤桂䝁䅷睘呂䡁䅑杣ㅂ䝁䅍䅤ㅂ䡁䅉党時䙁䅍兤瑂䝁䄰兙祂䡁䅫睊桁䍁䅑杒歁䑁䅫杏歁䙁䅁䅊㕁䅁䅁兡䅑䝁䄴䅁湁䙁䅳兔䩂䙁䄸睑療䝁䄰䅣桂䝁䄴入時䕁䅳党㕂䙁䅍䅤桂䡁䅑督時䡁䅙免杁䍁䅧睍灁䍁䄴䅥獂䡁䅍兢摂䕁䅍兙睂䝁䅫䅤桂䝁䅷兡㙂䝁䅅䅤灂䝁䄸杢湁䍁䅅䅊䑂䍁䅑䅎䅁䙁䕙䅁睂䅁䅁睊扂䕁䄰兓時䕁䅍睢瑂䡁䅁兙畂䡁䅫睘䱂䝁䅕入呂䡁䅑兙あ䡁䅍睘㉂䑁䅅䅉潁䑁䅍克畁䡁䅧䅢穂䝁䄰兘䑂䝁䅅䅣灂䡁䅑兙獂䝁䅫来桂䡁䅑兡療䝁䄴睊桁䍁䅑睑歁䑁䅑睎䅁䙁䔴䅁睂䅁䅁睊扂䕁䄰兓時䕁䅍睢瑂䡁䅁兙畂䡁䅫睘䱂䝁䅕入呂䡁䅑兙あ䡁䅍睘㉂䑁䅅䅉潁䑁䅍克畁䡁䅧䅢穂䝁䄰兘䑂䝁䅅䅣灂䡁䅑兙獂䝁䅫来桂䡁䅑兡療䝁䄴睊桁䍁䅑睑歁䑁䅑䅏䅁䙁䕯䅁睂䅁䅁睊扂䕁䄰兓時䕁䅍睢瑂䡁䅁兙畂䡁䅫睘䱂䝁䅕入呂䡁䅑兙あ䡁䅍睘㉂䑁䅅䅉潁䑁䅍克畁䡁䅧䅢穂䝁䄰兘䑂䝁䅅䅣灂䡁䅑兙獂䝁䅫来桂䡁䅑兡療䝁䄴睊桁䍁䅑睑歁䑁䅕䅍䅁䙁䕷䅁㡂䅁䅁睊扂䕁䄰兓時䕁䅍睢瑂䡁䅁兙畂䡁䅫睘䱂䝁䅕入呂䡁䅑兙あ䡁䅍睘㉂䑁䅅䅉潁䑁䅍克畁䡁䅧䅢穂䝁䄰兘䑂䝁䅅䅣灂䡁䅑兙獂䝁䅫来桂䡁䅑兡療䝁䄴睊桁䍁䅑睑歁䑁䅕睍㙁䍁䅑睑歁䑁䅕䅎䅁䝁䕁䅁㙂䅁䅁睊扂䕁䄰兓時䕁䅍睢瑂䡁䅁兙畂䡁䅫睘䱂䝁䅕入呂䡁䅑兙あ䡁䅍睘㉂䑁䅅䅉潁䑁䅍克畁䡁䅧䅢穂䝁䄰兘䑂䝁䅅䅣灂䡁䅑兙獂䝁䅫来桂䡁䅑兡療䝁䄴睊桁䍁䅑睑歁䑁䅫杏歁䕁䅍䅊祁䑁䅕䅁奂䅂䅁䅦䅁䍁䅣睗乂䕁䅫睘䑂䝁䄸兢睂䝁䅅杢㕂䙁䄸睓求䡁䅫睕あ䝁䅅䅤穂䙁䄸杤硁䍁䅁䅋穁䍁䅫杌㑂䝁䅷督瑂䙁䄰睑桂䡁䅁兡あ䝁䅅䅢灂䡁䅯兙あ䝁䅫睢畂䍁䅣光歁䕁䅕䅊ぁ䑁䅣杏歁䙁䅁䅊ぁ䑁䅣䅁扂䅂䅁䅦䅁䍁䅣睗乂䕁䅫睘䑂䝁䄸兢睂䝁䅅杢㕂䙁䄸睓求䡁䅫睕あ䝁䅅䅤穂䙁䄸杤硁䍁䅁䅋穁䍁䅫杌㑂䝁䅷督瑂䙁䄰睑桂䡁䅁兡あ䝁䅅䅢灂䡁䅯兙あ䝁䅫睢畂䍁䅣光歁䕁䅕䅊ぁ䑁䅧杏歁䙁䅁䅊ぁ䑁䅧䅁摂䅂䅁䅥䅁䍁䅣睗乂䕁䅫睘䑂䝁䄸兢睂䝁䅅杢㕂䙁䄸睓求䡁䅫睕あ䝁䅅䅤穂䙁䄸杤硁䍁䅁䅋穁䍁䅫杌㑂䝁䅷督瑂䙁䄰睑桂䡁䅁兡あ䝁䅅䅢灂䡁䅯兙あ䝁䅫睢畂䍁䅣光歁䕁䅕䅊ぁ䑁䅯䅊䭂䍁䅑䅎䅁䙁䕣䅁㡂䅁䅁睊扂䕁䄰兓時䕁䅍睢瑂䡁䅁兙畂䡁䅫睘䱂䝁䅕入呂䡁䅑兙あ䡁䅍睘㉂䑁䅅䅉潁䑁䅍克畁䡁䅧䅢穂䝁䄰兘䑂䝁䅅䅣灂䡁䅑兙獂䝁䅫来桂䡁䅑兡療䝁䄴睊桁䍁䅑兒歁䑁䅕免㙁䍁䅑杓歁䑁䅕免䅁䙁䔸䅁㡂䅁䅁睊扂䕁䄰兓時䕁䅍睢瑂䡁䅁兙畂䡁䅫睘䱂䝁䅕入呂䡁䅑兙あ䡁䅍睘㉂䑁䅅䅉潁䑁䅍克畁䡁䅧䅢穂䝁䄰兘䑂䝁䅅䅣灂䡁䅑兙獂䝁䅫来桂䡁䅑兡療䝁䄴睊桁䍁䅑兒歁䑁䅕杍㙁䍁䅑杓歁䑁䅕杍䅁䝁䕅䅁㑂䅁䅁睊扂䕁䄰兓時䕁䅍睢瑂䡁䅁兙畂䡁䅫睘䱂䝁䅕入呂䡁䅑兙あ䡁䅍睘㉂䑁䅅䅉潁䑁䅍克畁䡁䅧䅢穂䝁䄰兘䑂䝁䅅䅣灂䡁䅑兙獂䝁䅫来桂䡁䅑兡療䝁䄴睊桁䍁䅑兒歁䑁䅕杏歁䕁䅯䅊ㅁ䅁䅁兗䅑䝁䅑䅁湁䙁䅳兔䩂䙁䄸睑療䝁䄰䅣桂䝁䄴入時䕁䅳党㕂䙁䅍䅤桂䡁䅑督時䡁䅙免杁䍁䅧睍灁䍁䄴䅥獂䡁䅍兢摂䕁䅍兙穂䝁䅧睘䝂䝁䅷睢㍂䍁䅣光歁䕁䅍䅊ぁ䅁䅁杕䅑䡁䅁䅁湁䙁䅳兔䩂䙁䄸睑療䝁䄰䅣桂䝁䄴入時䕁䅳党㕂䙁䅍䅤桂䡁䅑督時䡁䅙免杁䍁䅧睍灁䍁䄴䅥獂䡁䅍兢摂䕁䅍兙穂䝁䅧睘䝂䝁䅷睢㍂䍁䅣光歁䕁䅍䅊㕁䑁䅯䅊䑂䍁䅑兏睁䅁䅁䅖䅑䝁䄴䅁湁䙁䅳兔䩂䙁䄸睑療䝁䄰䅣桂䝁䄴入時䕁䅳党㕂䙁䅍䅤桂䡁䅑督時䡁䅙免杁䍁䅧睍灁䍁䄴䅥獂䡁䅍兢摂䕁䅍兙穂䝁䅧睘䝂䝁䅷睢㍂䍁䅣光歁䕁䅕䅊ぁ䑁䅯䅊兂䍁䅑䅎䅁䙁䕍䅁畂䅁䅁睊扂䕁䄰兓時䕁䅍睢瑂䡁䅁兙畂䡁䅫睘䱂䝁䅕入呂䡁䅑兙あ䡁䅍睘㉂䑁䅅䅉潁䑁䅍克畁䡁䅧䅢穂䝁䄰兘䑂䝁䅅督潂䙁䄸杒獂䝁䄸睤湁䍁䅅䅊䙂䍁䅑兎㙁䍁䅑䅕歁䑁䅕䅁噂䅂䅁杣䅁䍁䅣睗乂䕁䅫睘䑂䝁䄸兢睂䝁䅅杢㕂䙁䄸睓求䡁䅫睕あ䝁䅅䅤穂䙁䄸杤硁䍁䅁䅋穁䍁䅫杌㑂䝁䅷督瑂䙁䄰兓畂䝁䅍睢瑂䝁䅕睘呂䡁䅑兙あ䝁䅕兢求䝁䄴䅤湁䍁䅅䅊䑂䍁䅑䅎䅁䕁䕯䅁䅃䅁䅁睊扂䕁䄰兓時䕁䅍睢瑂䡁䅁兙畂䡁䅫睘䱂䝁䅕入呂䡁䅑兙あ䡁䅍睘㉂䑁䅅䅉潁䑁䅍克畁䡁䅧䅢穂䝁䄰兘䩂䝁䄴睙療䝁䄰党時䙁䅍䅤桂䡁䅑党瑂䝁䅕杢あ䍁䅣光歁䕁䅍䅊㕁䑁䅯䅊䑂䍁䅑免㍁䑁䅍䅁䵂䅂䅁䅦䅁䍁䅣睗乂䕁䅫睘䑂䝁䄸兢睂䝁䅅杢㕂䙁䄸睓求䡁䅫睕あ䝁䅅䅤穂䙁䄸杤硁䍁䅁䅋穁䍁䅫杌㑂䝁䅷督瑂䙁䄰兓畂䝁䅍睢瑂䝁䅕睘呂䡁䅑兙あ䝁䅕兢求䝁䄴䅤湁䍁䅅䅊䙂䍁䅑䅎㙁䍁䅑䅕歁䑁䅑䅁䱂䅂䅁䅦䅁䍁䅣睗乂䕁䅫睘䑂䝁䄸兢睂䝁䅅杢㕂䙁䄸睓求䡁䅫睕あ䝁䅅䅤穂䙁䄸杤硁䍁䅁䅋穁䍁䅫杌㑂䝁䅷督瑂䙁䄰兓畂䝁䅍睢瑂䝁䅕睘呂䡁䅑兙あ䝁䅕兢求䝁䄴䅤湁䍁䅅䅊䙂䍁䅑兎㙁䍁䅑䅕歁䑁䅕䅁乂䅂䅁䅡䅁䍁䅣睗乂䕁䅫睘䑂䝁䄸兢睂䝁䅅杢㕂䙁䄸睓求䡁䅫睕あ䝁䅅䅤穂䙁䄸杤硁䍁䅁䅋穁䍁䅫杌㑂䝁䅷督瑂䙁䄰睓求䡁䅫睘呂䡁䅑兙あ䡁䅍睊桁䍁䅑村歁䑁䅅䅍祁䅁䅁杒䅑䝁䅙䅁湁䙁䅳兔䩂䙁䄸睑療䝁䄰䅣桂䝁䄴入時䕁䅳党㕂䙁䅍䅤桂䡁䅑督時䡁䅙免杁䍁䅧睍灁䍁䄴䅥獂䡁䅍兢摂䕁䅳党㕂䙁䄸睕あ䝁䅅䅤穂䍁䅣光歁䕁䅉䅊祁䑁䅉䅁睁䅂䅁杚䅁䍁䅣睗乂䕁䅫睘䑂䝁䄸兢睂䝁䅅杢㕂䙁䄸睓求䡁䅫睕あ䝁䅅䅤穂䙁䄸杤硁䍁䅁䅋穁䍁䅫杌㑂䝁䅷督瑂䙁䄰睓求䡁䅫睘呂䡁䅑兙あ䡁䅍睊桁䍁䅑村歁䑁䅉睍䅁䑁䕑䅁浂䅁䅁睊扂䕁䄰兓時䕁䅍睢瑂䡁䅁兙畂䡁䅫睘䱂䝁䅕入呂䡁䅑兙あ䡁䅍睘㉂䑁䅅䅉潁䑁䅍克畁䡁䅧䅢穂䝁䄰兘䱂䝁䅕入時䙁䅍䅤桂䡁䅑督湁䍁䅅䅊䍂䍁䅑兎祁䅁䅁材䅑䝁䅙䅁湁䙁䅳兔䩂䙁䄸睑療䝁䄰䅣桂䝁䄴入時䕁䅳党㕂䙁䅍䅤桂䡁䅑督時䡁䅙免杁䍁䅧睍灁䍁䄴䅥獂䡁䅍兢摂䕁䅳党㕂䙁䄸睕あ䝁䅅䅤穂䍁䅣光歁䕁䅉䅊ㅁ䑁䅫䅁䍂䅂䅁杤䅁䍁䅣睗乂䕁䅫睘䑂䝁䄸兢睂䝁䅅杢㕂䙁䄸睓求䡁䅫睕あ䝁䅅䅤穂䙁䄸杤硁䍁䅁䅋穁䍁䅫杌㑂䝁䅷督瑂䙁䄰睓求䡁䅫睘呂䡁䅑兙あ䡁䅍睊桁䍁䅑睑歁䑁䅅䅍ㅁ䑁䅯䅊䑂䍁䅑免睁䑁䅫䅁䥂䅂䅁杣䅁䍁䅣睗乂䕁䅫睘䑂䝁䄸兢睂䝁䅅杢㕂䙁䄸睓求䡁䅫睕あ䝁䅅䅤穂䙁䄸杤硁䍁䅁䅋穁䍁䅫杌㑂䝁䅷督瑂䙁䄰睓求䡁䅫睘呂䡁䅑兙あ䡁䅍睊桁䍁䅑睑歁䑁䅉兎㙁䍁䅑睑歁䑁䅑兏䅁䑁䕉䅁祂䅁䅁睊扂䕁䄰兓時䕁䅍睢瑂䡁䅁兙畂䡁䅫睘䱂䝁䅕入呂䡁䅑兙あ䡁䅍睘㉂䑁䅅䅉潁䑁䅍克畁䡁䅧䅢穂䝁䄰兘䱂䝁䅕入時䙁䅍䅤桂䡁䅑督湁䍁䅅䅊䑂䍁䅑兎ぁ䑁䅯䅊䑂䍁䅑兎ㅁ䅁䅁䅑䅑䡁䅉䅁湁䙁䅳兔䩂䙁䄸睑療䝁䄰䅣桂䝁䄴入時䕁䅳党㕂䙁䅍䅤桂䡁䅑督時䡁䅙免杁䍁䅧睍灁䍁䄴䅥獂䡁䅍兢摂䕁䅳党㕂䙁䄸睕あ䝁䅅䅤穂䍁䅣光歁䕁䅍䅊㉁䑁䅅杏歁䕁䅍䅊㉁䑁䅣䅁䕂䅂䅁杣䅁䍁䅣睗乂䕁䅫睘䑂䝁䄸兢睂䝁䅅杢㕂䙁䄸睓求䡁䅫睕あ䝁䅅䅤穂䙁䄸杤硁䍁䅁䅋穁䍁䅫杌㑂䝁䅷督瑂䙁䄰睓求䡁䅫睘呂䡁䅑兙あ䡁䅍睊桁䍁䅑䅒歁䑁䅉兎㙁䍁䅑䅒歁䑁䅑兏䅁䑁䕙䅁祂䅁䅁睊扂䕁䄰兓時䕁䅍睢瑂䡁䅁兙畂䡁䅫睘䱂䝁䅕入呂䡁䅑兙あ䡁䅍睘㉂䑁䅅䅉潁䑁䅍克畁䡁䅧䅢穂䝁䄰兘䱂䝁䅕入時䙁䅍䅤桂䡁䅑督湁䍁䅅䅊䕂䍁䅑兎ぁ䑁䅯䅊䕂䍁䅑兎ㅁ䅁䅁兑䅑䡁䅙䅁湁䙁䅳兔䩂䙁䄸睑療䝁䄰䅣桂䝁䄴入時䕁䅳党㕂䙁䅍䅤桂䡁䅑督時䡁䅙免杁䍁䅧睍灁䍁䄴䅥獂䡁䅍兢摂䕁䅳党㕂䙁䄸睕あ䝁䅅䅤穂䍁䅣光歁䕁䅕䅊硁䑁䅁睍㙁䍁䅑睒歁䑁䅅䅍穁䅁䅁睒䅑䡁䅙䅁湁䙁䅳兔䩂䙁䄸睑療䝁䄰䅣桂䝁䄴入時䕁䅳党㕂䙁䅍䅤桂䡁䅑督時䡁䅙免杁䍁䅧睍灁䍁䄴䅥獂䡁䅍兢摂䕁䅳党㕂䙁䄸睕あ䝁䅅䅤穂䍁䅣光歁䕁䅕䅊硁䑁䅁䅎㙁䍁䅑睒歁䑁䅅䅍ぁ䅁䅁兓䅑䡁䅉䅁湁䙁䅳兔䩂䙁䄸睑療䝁䄰䅣桂䝁䄴入時䕁䅳党㕂䙁䅍䅤桂䡁䅑督時䡁䅙免杁䍁䅧睍灁䍁䄴䅥獂䡁䅍兢摂䕁䅳党㕂䙁䄸睕あ䝁䅅䅤穂䍁䅣光歁䕁䅕䅊祁䑁䅉杏歁䕁䅫䅊祁䑁䅉䅁硁䅂䅁杣䅁䍁䅣睗乂䕁䅫睘䑂䝁䄸兢睂䝁䅅杢㕂䙁䄸睓求䡁䅫睕あ䝁䅅䅤穂䙁䄸杤硁䍁䅁䅋穁䍁䅫杌㑂䝁䅷督瑂䙁䄰睓求䡁䅫睘呂䡁䅑兙あ䡁䅍睊桁䍁䅑兒歁䑁䅉杍㙁䍁䅑䅔歁䑁䅉杍䅁䑁䕯䅁祂䅁䅁睊扂䕁䄰兓時䕁䅍睢瑂䡁䅁兙畂䡁䅫睘䱂䝁䅕入呂䡁䅑兙あ䡁䅍睘㉂䑁䅅䅉潁䑁䅍克畁䡁䅧䅢穂䝁䄰兘䱂䝁䅕入時䙁䅍䅤桂䡁䅑督湁䍁䅅䅊䙂䍁䅑杍穁䑁䅯䅊䩂䍁䅑杍穁䅁䅁睍䅑䡁䅉䅁湁䙁䅳兔䩂䙁䄸睑療䝁䄰䅣桂䝁䄴入時䕁䅳党㕂䙁䅍䅤桂䡁䅑督時䡁䅙免杁䍁䅧睍灁䍁䄴䅥獂䡁䅍兢摂䕁䅳党㕂䙁䄸睕あ䝁䅅䅤穂䍁䅣光歁䕁䅕䅊祁䑁䅍杏歁䕁䅷䅊祁䑁䅍䅁㝁䅂䅁杚䅁䍁䅣睗乂䕁䅫睘䑂䝁䄸兢睂䝁䅅杢㕂䙁䄸睓求䡁䅫睕あ䝁䅅䅤穂䙁䄸杤硁䍁䅁䅋穁䍁䅫杌㑂䝁䅷督瑂䙁䄰睓求䡁䅫睘呂䡁䅑兙あ䡁䅍睊桁䍁䅑兒歁䑁䅕杍䅁䑁䔸䅁浂䅁䅁睊扂䕁䄰兓時䕁䅍睢瑂䡁䅁兙畂䡁䅫睘䱂䝁䅕入呂䡁䅑兙あ䡁䅍睘㉂䑁䅅䅉潁䑁䅍克畁䡁䅧䅢穂䝁䄰兘䱂䝁䅕入時䙁䅍䅤桂䡁䅑督湁䍁䅅䅊䙂䍁䅑兎㕁䅁䅁睑䅑䝁䅙䅁湁䙁䅳兔䩂䙁䄸睑療䝁䄰䅣桂䝁䄴入時䕁䅳党㕂䙁䅍䅤桂䡁䅑督時䡁䅙免杁䍁䅧睍灁䍁䄴䅥獂䡁䅍兢摂䕁䅳党㕂䙁䄸睕あ䝁䅅䅤穂䍁䅣光歁䕁䅕䅊㉁䑁䅁䅁䙂䅂䅁杣䅁䍁䅣睗乂䕁䅫睘䑂䝁䄸兢睂䝁䅅杢㕂䙁䄸睓求䡁䅫睕あ䝁䅅䅤穂䙁䄸杤硁䍁䅁䅋穁䍁䅫杌㑂䝁䅷督瑂䙁䄰睓求䡁䅫睘呂䡁䅑兙あ䡁䅍睊桁䍁䅑杓歁䑁䅉杍㙁䍁䅑䅔歁䑁䅉杍䅁䑁䕕䅁祂䅁䅁睊扂䕁䄰兓時䕁䅍睢瑂䡁䅁兙畂䡁䅫睘䱂䝁䅕入呂䡁䅑兙あ䡁䅍睘㉂䑁䅅䅉潁䑁䅍克畁䡁䅧䅢穂䝁䄰兘䱂䝁䅕入時䙁䅍䅤桂䡁䅑督湁䍁䅅䅊䭂䍁䅑杍祁䑁䅯䅊偂䍁䅑杍祁䅁䅁䅏䅑䡁䅉䅁湁䙁䅳兔䩂䙁䄸睑療䝁䄰䅣桂䝁䄴入時䕁䅳党㕂䙁䅍䅤桂䡁䅑督時䡁䅙免杁䍁䅧睍灁䍁䄴䅥獂䡁䅍兢摂䕁䅳党㕂䙁䄸睕あ䝁䅅䅤穂䍁䅣光歁䕁䅯䅊祁䑁䅍杏歁䕁䅷䅊祁䑁䅍䅁㍁䅂䅁杣䅁䍁䅣睗乂䕁䅫睘䑂䝁䄸兢睂䝁䅅杢㕂䙁䄸睓求䡁䅫睕あ䝁䅅䅤穂䙁䄸杤硁䍁䅁䅋穁䍁䅫杌㑂䝁䅷督瑂䙁䄰睓求䡁䅫睘呂䡁䅑兙あ䡁䅍睊桁䍁䅑杓歁䑁䅉睍㙁䍁䅑睔歁䑁䅉睍䅁䑁䕫䅁祂䅁䅁睊扂䕁䄰兓時䕁䅍睢瑂䡁䅁兙畂䡁䅫睘䱂䝁䅕入呂䡁䅑兙あ䡁䅍睘㉂䑁䅅䅉潁䑁䅍克畁䡁䅧䅢穂䝁䄰兘䱂䝁䅕入時䙁䅍䅤桂䡁䅑督湁䍁䅅䅊乂䍁䅑杍祁䑁䅯䅊偂䍁䅑杍祁䅁䅁䅐䅑䡁䅉䅁湁䙁䅳兔䩂䙁䄸睑療䝁䄰䅣桂䝁䄴入時䕁䅳党㕂䙁䅍䅤桂䡁䅑督時䡁䅙免杁䍁䅧睍灁䍁䄴䅥獂䡁䅍兢摂䕁䅳党㕂䙁䄸睕あ䝁䅅䅤穂䍁䅣光歁䕁䄰䅊祁䑁䅍杏歁䕁䄸䅊祁䑁䅍䅁㥁䅂䅁条䅁䍁䅣睗乂䕁䅫睘䑂䝁䄸兢睂䝁䅅杢㕂䙁䄸睓求䡁䅫睕あ䝁䅅䅤穂䙁䄸杤硁䍁䅁䅋穁䍁䅫杌㑂䝁䅷督瑂䙁䄰䅕求䝁䄴督灂䝁䄸杢瑁䕁䄸䅕䙂䕁䅉睊桁䍁䅑睑歁䑁䅑䅁祂䅂䅁䅥䅁䍁䅣睗乂䕁䅫睘䑂䝁䄸兢睂䝁䅅杢㕂䙁䄸睓求䡁䅫睕あ䝁䅅䅤穂䙁䄸杤硁䍁䅁䅋穁䍁䅫杌㑂䝁䅷督瑂䙁䄰䅕求䝁䄴督灂䝁䄸杢瑁䕁䄸䅕䙂䕁䅉睊桁䍁䅑睑歁䑁䅫杏歁䕁䅍䅊ㅁ䑁䅙䅏䅁䡁䕑䅁あ䅁䅁睊扂䕁䄰兓時䕁䅍睢瑂䡁䅁兙畂䡁䅫睘䱂䝁䅕入呂䡁䅑兙あ䡁䅍睘㉂䑁䅅䅉潁䑁䅍克畁䡁䅧䅢穂䝁䄰兘兂䝁䅕杢穂䝁䅫睢畂䍁䄰睔兂䕁䅕村湁䍁䅅䅊䕂䍁䅑䅎㙁䍁䅑兓歁䑁䅑䅁穂䅂䅁䅤䅁䍁䅣睗乂䕁䅫睘䑂䝁䄸兢睂䝁䅅杢㕂䙁䄸睓求䡁䅫睕あ䝁䅅䅤穂䙁䄸杤硁䍁䅁䅋穁䍁䅫杌㑂䝁䅷督瑂䙁䄰䅕求䝁䄴督灂䝁䄸杢瑁䕁䄸䅕䙂䕁䅉睊桁䍁䅑䅒歁䑁䅕杏歁䕁䅫䅊ㅁ䅁䅁兤䅑䙁䄴䅁湁䙁䅳兔䩂䙁䄸睑療䝁䄰䅣桂䝁䄴入時䕁䅳党㕂䙁䅍䅤桂䡁䅑督時䡁䅙免杁䍁䅧睍灁䍁䄴䅥獂䡁䅍兢摂䙁䅉兙あ䝁䅫睢穂䍁䅣光歁䕁䅍䅊ぁ䅁䅁条䅑䝁䅷䅁湁䙁䅳兔䩂䙁䄸睑療䝁䄰䅣桂䝁䄴入時䕁䅳党㕂䙁䅍䅤桂䡁䅑督時䡁䅙免杁䍁䅧睍灁䍁䄴䅥獂䡁䅍兢摂䙁䅉兙あ䝁䅫睢穂䍁䅣光歁䕁䅍䅊㕁䑁䅯䅊䑂䍁䅑免ㅁ䑁䅁䅁獂䅂䅁䅡䅁䍁䅣睗乂䕁䅫睘䑂䝁䄸兢睂䝁䅅杢㕂䙁䄸睓求䡁䅫睕あ䝁䅅䅤穂䙁䄸杤硁䍁䅁䅋穁䍁䅫杌㑂䝁䅷督瑂䙁䄰杕桂䡁䅑兡療䡁䅍睊桁䍁䅑䅒歁䑁䅑杏歁䕁䅫䅊ぁ䅁䅁睡䅑䝁䅧䅁湁䙁䅳兔䩂䙁䄸睑療䝁䄰䅣桂䝁䄴入時䕁䅳党㕂䙁䅍䅤桂䡁䅑督時䡁䅙免杁䍁䅧睍灁䍁䄴䅥獂䡁䅍兢摂䙁䅉兙あ䝁䅫睢穂䍁䅣光歁䕁䅑䅊ㅁ䑁䅯䅊䩂䍁䅑兎䅁䝁䔰䅁煂䅁䅁睊扂䕁䄰兓時䕁䅍睢瑂䡁䅁兙畂䡁䅫睘䱂䝁䅕入呂䡁䅑兙あ䡁䅍睘㉂䑁䅅䅉潁䑁䅍克畁䡁䅧䅢穂䝁䄰兘呂䡁䅕䅣睂䝁䅷党瑂䝁䅕杢あ䝁䅅䅢湁䍁䅅䅊䑂䍁䅑䅎䅁䝁䔴䅁㑂䅁䅁睊扂䕁䄰兓時䕁䅍睢瑂䡁䅁兙畂䡁䅫睘䱂䝁䅕入呂䡁䅑兙あ䡁䅍睘㉂䑁䅅䅉潁䑁䅍克畁䡁䅧䅢穂䝁䄰兘呂䡁䅕䅣睂䝁䅷党瑂䝁䅕杢あ䝁䅅䅢湁䍁䅅䅊䑂䍁䅑兏㙁䍁䅑睑歁䑁䅅李ぁ䅁䅁䅣䅑䡁䅑䅁湁䙁䅳兔䩂䙁䄸睑療䝁䄰䅣桂䝁䄴入時䕁䅳党㕂䙁䅍䅤桂䡁䅑督時䡁䅙免杁䍁䅧睍灁䍁䄴䅥獂䡁䅍兢摂䙁䅍兤睂䡁䅁䅢求䝁䄰党畂䡁䅑兙獂䍁䅣光歁䕁䅑䅊ぁ䑁䅯䅊䩂䍁䅑䅎䅁䝁䔸䅁あ䅁䅁睊扂䕁䄰兓時䕁䅍睢瑂䡁䅁兙畂䡁䅫睘䱂䝁䅕入呂䡁䅑兙あ䡁䅍睘㉂䑁䅅䅉潁䑁䅍克畁䡁䅧䅢穂䝁䄰兘呂䡁䅕䅣睂䝁䅷党瑂䝁䅕杢あ䝁䅅䅢湁䍁䅅䅊䕂䍁䅑兎㙁䍁䅑兓歁䑁䅕䅁硂䅂䅁䅣䅁䍁䅣睗乂䕁䅫睘䑂䝁䄸兢睂䝁䅅杢㕂䙁䄸睓求䡁䅫睕あ䝁䅅䅤穂䙁䄸杤硁䍁䅁兌獂䝁䅅䅤求䡁䅍䅤畁䡁䅧䅢穂䝁䄰兘䱂䝁䅕入時䙁䅍䅤桂䡁䅑督湁䍁䅅䅊䍂䍁䅑免睁䑁䅍䅁捁兂䅁杢䅁䍁䅣睗乂䕁䅫睘䑂䝁䄸兢睂䝁䅅杢㕂䙁䄸睓求䡁䅫睕あ䝁䅅䅤穂䙁䄸杤硁䍁䅁兌獂䝁䅅䅤求䡁䅍䅤畁䡁䅧䅢穂䝁䄰兘䱂䝁䅕入時䙁䅍䅤桂䡁䅑督湁䍁䅅䅊䍂䍁䅑杍祁䅁䅁䅃䅕䝁䄴䅁湁䙁䅳兔䩂䙁䄸睑療䝁䄰䅣桂䝁䄴入時䕁䅳党㕂䙁䅍䅤桂䡁䅑督時䡁䅙免杁䍁䄰䅢桂䡁䅑党穂䡁䅑杌㑂䝁䅷督瑂䙁䄰睓求䡁䅫睘呂䡁䅑兙あ䡁䅍睊桁䍁䅑村歁䑁䅉睍䅁䉁䙑䅁畂䅁䅁睊扂䕁䄰兓時䕁䅍睢瑂䡁䅁兙畂䡁䅫睘䱂䝁䅕入呂䡁䅑兙あ䡁䅍睘㉂䑁䅅䅉瑁䝁䅷兙あ䝁䅕督あ䍁䄴䅥獂䡁䅍兢摂䕁䅳党㕂䙁䄸睕あ䝁䅅䅤穂䍁䅣光歁䕁䅉䅊ㅁ䑁䅅䅁奁兂䅁杢䅁䍁䅣睗乂䕁䅫睘䑂䝁䄸兢睂䝁䅅杢㕂䙁䄸睓求䡁䅫睕あ䝁䅅䅤穂䙁䄸杤硁䍁䅁兌獂䝁䅅䅤求䡁䅍䅤畁䡁䅧䅢穂䝁䄰兘䱂䝁䅕入時䙁䅍䅤桂䡁䅑督湁䍁䅅䅊䍂䍁䅑兎㕁䅁䅁䅄䅕䡁䄴䅁湁䙁䅳兔䩂䙁䄸睑療䝁䄰䅣桂䝁䄴入時䕁䅳党㕂䙁䅍䅤桂䡁䅑督時䡁䅙免杁䍁䄰䅢桂䡁䅑党穂䡁䅑杌㑂䝁䅷督瑂䙁䄰睓求䡁䅫睘呂䡁䅑兙あ䡁䅍睊桁䍁䅑睑歁䑁䅅䅍㍁䑁䅯䅊䑂䍁䅑免硁䑁䅅䅁敁兂䅁来䅁䍁䅣睗乂䕁䅫睘䑂䝁䄸兢睂䝁䅅杢㕂䙁䄸睓求䡁䅫睕あ䝁䅅䅤穂䙁䄸杤硁䍁䅁兌獂䝁䅅䅤求䡁䅍䅤畁䡁䅧䅢穂䝁䄰兘䱂䝁䅕入時䙁䅍䅤桂䡁䅑督湁䍁䅅䅊䑂䍁䅑杍ㅁ䑁䅯䅊䑂䍁䅑䅎㕁䅁䅁权䅕䡁䅯䅁湁䙁䅳兔䩂䙁䄸睑療䝁䄰䅣桂䝁䄴入時䕁䅳党㕂䙁䅍䅤桂䡁䅑督時䡁䅙免杁䍁䄰䅢桂䡁䅑党穂䡁䅑杌㑂䝁䅷督瑂䙁䄰睓求䡁䅫睘呂䡁䅑兙あ䡁䅍睊桁䍁䅑睑歁䑁䅕䅎㙁䍁䅑睑歁䑁䅕兎䅁䉁䙯䅁㙂䅁䅁睊扂䕁䄰兓時䕁䅍睢瑂䡁䅁兙畂䡁䅫睘䱂䝁䅕入呂䡁䅑兙あ䡁䅍睘㉂䑁䅅䅉瑁䝁䅷兙あ䝁䅕督あ䍁䄴䅥獂䡁䅍兢摂䕁䅳党㕂䙁䄸睕あ䝁䅅䅤穂䍁䅣光歁䕁䅍䅊㉁䑁䅉杏歁䕁䅍䅊㉁䑁䅧䅁佁兂䅁来䅁䍁䅣睗乂䕁䅫睘䑂䝁䄸兢睂䝁䅅杢㕂䙁䄸睓求䡁䅫睕あ䝁䅅䅤穂䙁䄸杤硁䍁䅁兌獂䝁䅅䅤求䡁䅍䅤畁䡁䅧䅢穂䝁䄰兘䱂䝁䅕入時䙁䅍䅤桂䡁䅑督湁䍁䅅䅊䕂䍁䅑杍ㅁ䑁䅯䅊䕂䍁䅑䅎㕁䅁䅁杆䅕䡁䄴䅁湁䙁䅳兔䩂䙁䄸睑療䝁䄰䅣桂䝁䄴入時䕁䅳党㕂䙁䅍䅤桂䡁䅑督時䡁䅙免杁䍁䄰䅢桂䡁䅑党穂䡁䅑杌㑂䝁䅷督瑂䙁䄰睓求䡁䅫睘呂䡁䅑兙あ䡁䅍睊桁䍁䅑兒歁䑁䅅䅍ぁ䑁䅯䅊䡂䍁䅑免睁䑁䅑䅁摁兂䅁杦䅁䍁䅣睗乂䕁䅫睘䑂䝁䄸兢睂䝁䅅杢㕂䙁䄸睓求䡁䅫睕あ䝁䅅䅤穂䙁䄸杤硁䍁䅁兌獂䝁䅅䅤求䡁䅍䅤畁䡁䅧䅢穂䝁䄰兘䱂䝁䅕入時䙁䅍䅤桂䡁䅑督湁䍁䅅䅊䙂䍁䅑免睁䑁䅕杏歁䕁䅣䅊硁䑁䅁兎䅁䉁䘸䅁㙂䅁䅁睊扂䕁䄰兓時䕁䅍睢瑂䡁䅁兙畂䡁䅫睘䱂䝁䅕入呂䡁䅑兙あ䡁䅍睘㉂䑁䅅䅉瑁䝁䅷兙あ䝁䅕督あ䍁䄴䅥獂䡁䅍兢摂䕁䅳党㕂䙁䄸睕あ䝁䅅䅤穂䍁䅣光歁䕁䅕䅊祁䑁䅉杏歁䕁䅯䅊祁䑁䅉䅁䩁兂䅁来䅁䍁䅣睗乂䕁䅫睘䑂䝁䄸兢睂䝁䅅杢㕂䙁䄸睓求䡁䅫睕あ䝁䅅䅤穂䙁䄸杤硁䍁䅁兌獂䝁䅅䅤求䡁䅍䅤畁䡁䅧䅢穂䝁䄰兘䱂䝁䅕入時䙁䅍䅤桂䡁䅑督湁䍁䅅䅊䙂䍁䅑杍穁䑁䅯䅊䭂䍁䅑杍穁䅁䅁睃䅕䝁䄴䅁湁䙁䅳兔䩂䙁䄸睑療䝁䄰䅣桂䝁䄴入時䕁䅳党㕂䙁䅍䅤桂䡁䅑督時䡁䅙免杁䍁䄰䅢桂䡁䅑党穂䡁䅑杌㑂䝁䅷督瑂䙁䄰睓求䡁䅫睘呂䡁䅑兙あ䡁䅍睊桁䍁䅑兒歁䑁䅕免䅁䉁䙫䅁畂䅁䅁睊扂䕁䄰兓時䕁䅍睢瑂䡁䅁兙畂䡁䅫睘䱂䝁䅕入呂䡁䅑兙あ䡁䅍睘㉂䑁䅅䅉瑁䝁䅷兙あ䝁䅕督あ䍁䄴䅥獂䡁䅍兢摂䕁䅳党㕂䙁䄸睕あ䝁䅅䅤穂䍁䅣光歁䕁䅕䅊ㅁ䑁䅉䅁扁兂䅁杢䅁䍁䅣睗乂䕁䅫睘䑂䝁䄸兢睂䝁䅅杢㕂䙁䄸睓求䡁䅫睕あ䝁䅅䅤穂䙁䄸杤硁䍁䅁兌獂䝁䅅䅤求䡁䅍䅤畁䡁䅧䅢穂䝁䄰兘䱂䝁䅕入時䙁䅍䅤桂䡁䅑督湁䍁䅅䅊䙂䍁䅑兎㕁䅁䅁兄䅕䝁䄴䅁湁䙁䅳兔䩂䙁䄸睑療䝁䄰䅣桂䝁䄴入時䕁䅳党㕂䙁䅍䅤桂䡁䅑督時䡁䅙免杁䍁䄰䅢桂䡁䅑党穂䡁䅑杌㑂䝁䅷督瑂䙁䄰睓求䡁䅫睘呂䡁䅑兙あ䡁䅍睊桁䍁䅑兒歁䑁䅙䅍䅁䅁䘸䅁㙂䅁䅁睊扂䕁䄰兓時䕁䅍睢瑂䡁䅁兙畂䡁䅫睘䱂䝁䅕入呂䡁䅑兙あ䡁䅍睘㉂䑁䅅䅉瑁䝁䅷兙あ䝁䅕督あ䍁䄴䅥獂䡁䅍兢摂䕁䅳党㕂䙁䄸睕あ䝁䅅䅤穂䍁䅣光歁䕁䄰䅊祁䑁䅉杏歁䕁䄸䅊祁䑁䅉䅁噁兂䅁来䅁䍁䅣睗乂䕁䅫睘䑂䝁䄸兢睂䝁䅅杢㕂䙁䄸睓求䡁䅫睕あ䝁䅅䅤穂䙁䄸杤硁䍁䅁兌獂䝁䅅䅤求䡁䅍䅤畁䡁䅧䅢穂䝁䄰兘䱂䝁䅕入時䙁䅍䅤桂䡁䅑督湁䍁䅅䅊乂䍁䅑杍穁䑁䅯䅊偂䍁䅑杍穁䅁䅁睆䅕䝁䄴䅁湁䙁䅳兔䩂䙁䄸睑療䝁䄰䅣桂䝁䄴入時䕁䅳党㕂䙁䅍䅤桂䡁䅑督時䡁䅙免杁䍁䄰䅢桂䡁䅑党穂䡁䅑杌㑂䝁䅷督瑂䙁䄰睓求䡁䅫睘呂䡁䅑兙あ䡁䅍睊桁䍁䅑兖歁䑁䅉杍䅁䉁䙁䅁畂䅁䅁睊扂䕁䄰兓時䕁䅍睢瑂䡁䅁兙畂䡁䅫睘䱂䝁䅕入呂䡁䅑兙あ䡁䅍睘㉂䑁䅅䅉瑁䝁䅷兙あ䝁䅕督あ䍁䄴䅥獂䡁䅍兢摂䕁䅳党㕂䙁䄸睕あ䝁䅅䅤穂䍁䅣光歁䙁䅕䅊祁䑁䅕䅁十兂䅁杢䅁䍁䅣睗乂䕁䅫睘䑂䝁䄸兢睂䝁䅅杢㕂䙁䄸睓求䡁䅫睕あ䝁䅅䅤穂䙁䄸杤硁䍁䅁兌獂䝁䅅䅤求䡁䅍䅤畁䡁䅧䅢穂䝁䄰兘䱂䝁䅕入時䙁䅍䅤桂䡁䅑督湁䍁䅅䅊坂䍁䅑杍祁䅁䅁充䅕䝁䄴䅁湁䙁䅳兔䩂䙁䄸睑療䝁䄰䅣桂䝁䄴入時䕁䅳党㕂䙁䅍䅤桂䡁䅑督時䡁䅙免杁䍁䄰䅢桂䡁䅑党穂䡁䅑杌㑂䝁䅷督瑂䙁䄰睓求䡁䅫睘呂䡁䅑兙あ䡁䅍睊桁䍁䅑杖歁䑁䅉睍䅁䉁䙍䅁㙂䅁䅁睊扂䕁䄰兓時䕁䅍睢瑂䡁䅁兙畂䡁䅫睘䱂䝁䅕入呂䡁䅑兙あ䡁䅍睘㉂䑁䅅兌杁䕁䄸杣灂䝁䅣兡畂䝁䅅䅢畁䡁䅧䅢穂䝁䄰兘䑂䝁䅅䅣灂䡁䅑兙獂䝁䅫来桂䡁䅑兡療䝁䄴睊桁䍁䅑睑歁䑁䅑䅁㑁兂䅁䅦䅁䍁䅣睗乂䕁䅫睘䑂䝁䄸兢睂䝁䅅杢㕂䙁䄸睓求䡁䅫睕あ䝁䅅䅤穂䙁䄸杤硁䍁䄰䅉偂䡁䅉兡湂䝁䅫杢桂䝁䅷杌㑂䝁䅷督瑂䙁䄰睑桂䡁䅁兡あ䝁䅅䅢灂䡁䅯兙あ䝁䅫睢畂䍁䅣光歁䕁䅍䅊ぁ䑁䅣䅁䅂兂䅁䅦䅁䍁䅣睗乂䕁䅫睘䑂䝁䄸兢睂䝁䅅杢㕂䙁䄸睓求䡁䅫睕あ䝁䅅䅤穂䙁䄸杤硁䍁䄰䅉偂䡁䅉兡湂䝁䅫杢桂䝁䅷杌㑂䝁䅷督瑂䙁䄰睑桂䡁䅁兡あ䝁䅅䅢灂䡁䅯兙あ䝁䅫睢畂䍁䅣光歁䕁䅍䅊ぁ䑁䅧䅁㡁兂䅁䅦䅁䍁䅣睗乂䕁䅫睘䑂䝁䄸兢睂䝁䅅杢㕂䙁䄸睓求䡁䅫睕あ䝁䅅䅤穂䙁䄸杤硁䍁䄰䅉偂䡁䅉兡湂䝁䅫杢桂䝁䅷杌㑂䝁䅷督瑂䙁䄰睑桂䡁䅁兡あ䝁䅅䅢灂䡁䅯兙あ䝁䅫睢畂䍁䅣光歁䕁䅍䅊ㅁ䑁䅁䅁⭁兂䅁䅩䅁䍁䅣睗乂䕁䅫睘䑂䝁䄸兢睂䝁䅅杢㕂䙁䄸睓求䡁䅫睕あ䝁䅅䅤穂䙁䄸杤硁䍁䄰䅉偂䡁䅉兡湂䝁䅫杢桂䝁䅷杌㑂䝁䅷督瑂䙁䄰睑桂䡁䅁兡あ䝁䅅䅢灂䡁䅯兙あ䝁䅫睢畂䍁䅣光歁䕁䅍䅊ㅁ䑁䅍杏歁䕁䅍䅊ㅁ䑁䅑䅁䍂兂䅁杨䅁䍁䅣睗乂䕁䅫睘䑂䝁䄸兢睂䝁䅅杢㕂䙁䄸睓求䡁䅫睕あ䝁䅅䅤穂䙁䄸杤硁䍁䄰䅉偂䡁䅉兡湂䝁䅫杢桂䝁䅷杌㑂䝁䅷督瑂䙁䄰睑桂䡁䅁兡あ䝁䅅䅢灂䡁䅯兙あ䝁䅫睢畂䍁䅣光歁䕁䅍䅊㕁䑁䅯䅊䑂䍁䅑杍ㅁ䅁䅁杏䅕䥁䅧䅁湁䙁䅳兔䩂䙁䄸睑療䝁䄰䅣桂䝁䄴入時䕁䅳党㕂䙁䅍䅤桂䡁䅑督時䡁䅙免瑁䍁䅁睔祂䝁䅫睚灂䝁䄴兙獂䍁䄴䅥獂䡁䅍兢摂䕁䅍兙睂䝁䅫䅤桂䝁䅷兡㙂䝁䅅䅤灂䝁䄸杢湁䍁䅅䅊䙂䍁䅑䅎㍁䑁䅯䅊兂䍁䅑䅎㍁䅁䅁児䅕䥁䅧䅁湁䙁䅳兔䩂䙁䄸睑療䝁䄰䅣桂䝁䄴入時䕁䅳党㕂䙁䅍䅤桂䡁䅑督時䡁䅙免瑁䍁䅁睔祂䝁䅫睚灂䝁䄴兙獂䍁䄴䅥獂䡁䅍兢摂䕁䅍兙睂䝁䅫䅤桂䝁䅷兡㙂䝁䅅䅤灂䝁䄸杢湁䍁䅅䅊䙂䍁䅑䅎㑁䑁䅯䅊兂䍁䅑䅎㑁䅁䅁睐䅕䥁䅑䅁湁䙁䅳兔䩂䙁䄸睑療䝁䄰䅣桂䝁䄴入時䕁䅳党㕂䙁䅍䅤桂䡁䅑督時䡁䅙免瑁䍁䅁睔祂䝁䅫睚灂䝁䄴兙獂䍁䄴䅥獂䡁䅍兢摂䕁䅍兙睂䝁䅫䅤桂䝁䅷兡㙂䝁䅅䅤灂䝁䄸杢湁䍁䅅䅊䙂䍁䅑䅎㙁䍁䅑杓歁䑁䅑䅁㕁兂䅁䅩䅁䍁䅣睗乂䕁䅫睘䑂䝁䄸兢睂䝁䅅杢㕂䙁䄸睓求䡁䅫睕あ䝁䅅䅤穂䙁䄸杤硁䍁䄰䅉偂䡁䅉兡湂䝁䅫杢桂䝁䅷杌㑂䝁䅷督瑂䙁䄰睑桂䡁䅁兡あ䝁䅅䅢灂䡁䅯兙あ䝁䅫睢畂䍁䅣光歁䕁䅕䅊ㅁ䑁䅅杏歁䕁䅯䅊ㅁ䑁䅅䅁䉂兂䅁䅩䅁䍁䅣睗乂䕁䅫睘䑂䝁䄸兢睂䝁䅅杢㕂䙁䄸睓求䡁䅫睕あ䝁䅅䅤穂䙁䄸杤硁䍁䄰䅉偂䡁䅉兡湂䝁䅫杢桂䝁䅷杌㑂䝁䅷督瑂䙁䄰睑桂䡁䅁兡あ䝁䅅䅢灂䡁䅯兙あ䝁䅫睢畂䍁䅣光歁䕁䅕䅊ㅁ䑁䅉杏歁䕁䅯䅊ㅁ䑁䅉䅁䑂兂䅁䅨䅁䍁䅣睗乂䕁䅫睘䑂䝁䄸兢睂䝁䅅杢㕂䙁䄸睓求䡁䅫睕あ䝁䅅䅤穂䙁䄸杤硁䍁䄰䅉偂䡁䅉兡湂䝁䅫杢桂䝁䅷杌㑂䝁䅷督瑂䙁䄰睑桂䡁䅁兡あ䝁䅅䅢灂䡁䅯兙あ䝁䅫睢畂䍁䅣光歁䕁䅕䅊ㅁ䑁䅯䅊䭂䍁䅑兎䅁䑁䙳䅁⭂䅁䅁睊扂䕁䄰兓時䕁䅍睢瑂䡁䅁兙畂䡁䅫睘䱂䝁䅕入呂䡁䅑兙あ䡁䅍睘㉂䑁䅅兌杁䕁䄸杣灂䝁䅣兡畂䝁䅅䅢畁䡁䅧䅢穂䝁䄰兘䩂䝁䄴睙療䝁䄰党時䙁䅍䅤桂䡁䅑党瑂䝁䅕杢あ䍁䅣光歁䕁䅍䅊ぁ䅁䅁杣䅕䥁䅷䅁湁䙁䅳兔䩂䙁䄸睑療䝁䄰䅣桂䝁䄴入時䕁䅳党㕂䙁䅍䅤桂䡁䅑督時䡁䅙免瑁䍁䅁睔祂䝁䅫睚灂䝁䄴兙獂䍁䄴䅥獂䡁䅍兢摂䕁䅫杢橂䝁䄸兢求䙁䄸睕あ䝁䅅䅤求䝁䄰党畂䡁䅑睊桁䍁䅑睑歁䑁䅫杏歁䕁䅍䅊硁䑁䅣睍䅁䡁䙑䅁䥃䅁䅁睊扂䕁䄰兓時䕁䅍睢瑂䡁䅁兙畂䡁䅫睘䱂䝁䅕入呂䡁䅑兙あ䡁䅍睘㉂䑁䅅兌杁䕁䄸杣灂䝁䅣兡畂䝁䅅䅢畁䡁䅧䅢穂䝁䄰兘䩂䝁䄴睙療䝁䄰党時䙁䅍䅤桂䡁䅑党瑂䝁䅕杢あ䍁䅣光歁䕁䅕䅊ぁ䑁䅯䅊兂䍁䅑䅎䅁䡁䙍䅁䥃䅁䅁睊扂䕁䄰兓時䕁䅍睢瑂䡁䅁兙畂䡁䅫睘䱂䝁䅕入呂䡁䅑兙あ䡁䅍睘㉂䑁䅅兌杁䕁䄸杣灂䝁䅣兡畂䝁䅅䅢畁䡁䅧䅢穂䝁䄰兘䩂䝁䄴睙療䝁䄰党時䙁䅍䅤桂䡁䅑党瑂䝁䅕杢あ䍁䅣光歁䕁䅕䅊ㅁ䑁䅯䅊兂䍁䅑兎䅁䡁䙕䅁あ䅁䅁睊扂䕁䄰兓時䕁䅍睢瑂䡁䅁兙畂䡁䅫睘䱂䝁䅕入呂䡁䅑兙あ䡁䅍睘㉂䑁䅅兌杁䕁䄸杣灂䝁䅣兡畂䝁䅅䅢畁䡁䅧䅢穂䝁䄰兘䱂䝁䅕入時䙁䅍䅤桂䡁䅑督湁䍁䅅䅊䍂䍁䅑免睁䑁䅍䅁歂兂䅁杣䅁䍁䅣睗乂䕁䅫睘䑂䝁䄸兢睂䝁䅅杢㕂䙁䄸睓求䡁䅫睕あ䝁䅅䅤穂䙁䄸杤硁䍁䄰䅉偂䡁䅉兡湂䝁䅫杢桂䝁䅷杌㑂䝁䅷督瑂䙁䄰睓求䡁䅫睘呂䡁䅑兙あ䡁䅍睊桁䍁䅑村歁䑁䅉杍䅁䝁䙁䅁祂䅁䅁睊扂䕁䄰兓時䕁䅍睢瑂䡁䅁兙畂䡁䅫睘䱂䝁䅕入呂䡁䅑兙あ䡁䅍睘㉂䑁䅅兌杁䕁䄸杣灂䝁䅣兡畂䝁䅅䅢畁䡁䅧䅢穂䝁䄰兘䱂䝁䅕入時䙁䅍䅤桂䡁䅑督湁䍁䅅䅊䍂䍁䅑杍穁䅁䅁䅘䅕䡁䅉䅁湁䙁䅳兔䩂䙁䄸睑療䝁䄰䅣桂䝁䄴入時䕁䅳党㕂䙁䅍䅤桂䡁䅑督時䡁䅙免瑁䍁䅁睔祂䝁䅫睚灂䝁䄴兙獂䍁䄴䅥獂䡁䅍兢摂䕁䅳党㕂䙁䄸睕あ䝁䅅䅤穂䍁䅣光歁䕁䅉䅊ㅁ䑁䅉䅁煂兂䅁杣䅁䍁䅣睗乂䕁䅫睘䑂䝁䄸兢睂䝁䅅杢㕂䙁䄸睓求䡁䅫睕あ䝁䅅䅤穂䙁䄸杤硁䍁䄰䅉偂䡁䅉兡湂䝁䅫杢桂䝁䅷杌㑂䝁䅷督瑂䙁䄰睓求䡁䅫睘呂䡁䅑兙あ䡁䅍睊桁䍁䅑村歁䑁䅕兏䅁䝁䘴䅁䍃䅁䅁睊扂䕁䄰兓時䕁䅍睢瑂䡁䅁兙畂䡁䅫睘䱂䝁䅕入呂䡁䅑兙あ䡁䅍睘㉂䑁䅅兌杁䕁䄸杣灂䝁䅣兡畂䝁䅅䅢畁䡁䅧䅢穂䝁䄰兘䱂䝁䅕入時䙁䅍䅤桂䡁䅑督湁䍁䅅䅊䑂䍁䅑免睁䑁䅣杏歁䕁䅍䅊硁䑁䅅免䅁䝁䙙䅁⭂䅁䅁睊扂䕁䄰兓時䕁䅍睢瑂䡁䅁兙畂䡁䅫睘䱂䝁䅕入呂䡁䅑兙あ䡁䅍睘㉂䑁䅅兌杁䕁䄸杣灂䝁䅣兡畂䝁䅅䅢畁䡁䅧䅢穂䝁䄰兘䱂䝁䅕入時䙁䅍䅤桂䡁䅑督湁䍁䅅䅊䑂䍁䅑杍ㅁ䑁䅯䅊䑂䍁䅑䅎㕁䅁䅁杙䅕䡁䄴䅁湁䙁䅳兔䩂䙁䄸睑療䝁䄰䅣桂䝁䄴入時䕁䅳党㕂䙁䅍䅤桂䡁䅑督時䡁䅙免瑁䍁䅁睔祂䝁䅫睚灂䝁䄴兙獂䍁䄴䅥獂䡁䅍兢摂䕁䅳党㕂䙁䄸睕あ䝁䅅䅤穂䍁䅣光歁䕁䅍䅊ㅁ䑁䅑杏歁䕁䅍䅊ㅁ䑁䅕䅁獂兂䅁杦䅁䍁䅣睗乂䕁䅫睘䑂䝁䄸兢睂䝁䅅杢㕂䙁䄸睓求䡁䅫睕あ䝁䅅䅤穂䙁䄸杤硁䍁䄰䅉偂䡁䅉兡湂䝁䅫杢桂䝁䅷杌㑂䝁䅷督瑂䙁䄰睓求䡁䅫睘呂䡁䅑兙あ䡁䅍睊桁䍁䅑睑歁䑁䅙杍㙁䍁䅑睑歁䑁䅙䅏䅁䡁䙁䅁⭂䅁䅁睊扂䕁䄰兓時䕁䅍睢瑂䡁䅁兙畂䡁䅫睘䱂䝁䅕入呂䡁䅑兙あ䡁䅍睘㉂䑁䅅兌杁䕁䄸杣灂䝁䅣兡畂䝁䅅䅢畁䡁䅧䅢穂䝁䄰兘䱂䝁䅕入時䙁䅍䅤桂䡁䅑督湁䍁䅅䅊䕂䍁䅑杍ㅁ䑁䅯䅊䕂䍁䅑䅎㕁䅁䅁杘䅕䡁䄴䅁湁䙁䅳兔䩂䙁䄸睑療䝁䄰䅣桂䝁䄴入時䕁䅳党㕂䙁䅍䅤桂䡁䅑督時䡁䅙免瑁䍁䅁睔祂䝁䅫睚灂䝁䄴兙獂䍁䄴䅥獂䡁䅍兢摂䕁䅳党㕂䙁䄸睕あ䝁䅅䅤穂䍁䅣光歁䕁䅑䅊ㅁ䑁䅑杏歁䕁䅑䅊ㅁ䑁䅕䅁瑂兂䅁杧䅁䍁䅣睗乂䕁䅫睘䑂䝁䄸兢睂䝁䅅杢㕂䙁䄸睓求䡁䅫睕あ䝁䅅䅤穂䙁䄸杤硁䍁䄰䅉偂䡁䅉兡湂䝁䅫杢桂䝁䅷杌㑂䝁䅷督瑂䙁䄰睓求䡁䅫睘呂䡁䅑兙あ䡁䅍睊桁䍁䅑兒歁䑁䅅䅍ぁ䑁䅯䅊䡂䍁䅑免睁䑁䅑䅁求兂䅁杧䅁䍁䅣睗乂䕁䅫睘䑂䝁䄸兢睂䝁䅅杢㕂䙁䄸睓求䡁䅫睕あ䝁䅅䅤穂䙁䄸杤硁䍁䄰䅉偂䡁䅉兡湂䝁䅫杢桂䝁䅷杌㑂䝁䅷督瑂䙁䄰睓求䡁䅫睘呂䡁䅑兙あ䡁䅍睊桁䍁䅑兒歁䑁䅅䅍ㅁ䑁䅯䅊䡂䍁䅑免睁䑁䅕䅁湂兂䅁杦䅁䍁䅣睗乂䕁䅫睘䑂䝁䄸兢睂䝁䅅杢㕂䙁䄸睓求䡁䅫睕あ䝁䅅䅤穂䙁䄸杤硁䍁䄰䅉偂䡁䅉兡湂䝁䅫杢桂䝁䅷杌㑂䝁䅷督瑂䙁䄰睓求䡁䅫睘呂䡁䅑兙あ䡁䅍睊桁䍁䅑兒歁䑁䅉杍㙁䍁䅑杓歁䑁䅉杍䅁䝁䙅䅁⭂䅁䅁睊扂䕁䄰兓時䕁䅍睢瑂䡁䅁兙畂䡁䅫睘䱂䝁䅕入呂䡁䅑兙あ䡁䅍睘㉂䑁䅅兌杁䕁䄸杣灂䝁䅣兡畂䝁䅅䅢畁䡁䅧䅢穂䝁䄰兘䱂䝁䅕入時䙁䅍䅤桂䡁䅑督湁䍁䅅䅊䙂䍁䅑杍祁䑁䅯䅊䵂䍁䅑杍祁䅁䅁䅡䅕䡁䄴䅁湁䙁䅳兔䩂䙁䄸睑療䝁䄰䅣桂䝁䄴入時䕁䅳党㕂䙁䅍䅤桂䡁䅑督時䡁䅙免瑁䍁䅁睔祂䝁䅫睚灂䝁䄴兙獂䍁䄴䅥獂䡁䅍兢摂䕁䅳党㕂䙁䄸睕あ䝁䅅䅤穂䍁䅣光歁䕁䅕䅊祁䑁䅍杏歁䕁䅯䅊祁䑁䅍䅁橂兂䅁杦䅁䍁䅣睗乂䕁䅫睘䑂䝁䄸兢睂䝁䅅杢㕂䙁䄸睓求䡁䅫睕あ䝁䅅䅤穂䙁䄸杤硁䍁䄰䅉偂䡁䅉兡湂䝁䅫杢桂䝁䅷杌㑂䝁䅷督瑂䙁䄰睓求䡁䅫睘呂䡁䅑兙あ䡁䅍睊桁䍁䅑兒歁䑁䅉睍㙁䍁䅑䅔歁䑁䅉睍䅁䝁䙫䅁祂䅁䅁睊扂䕁䄰兓時䕁䅍睢瑂䡁䅁兙畂䡁䅫睘䱂䝁䅕入呂䡁䅑兙あ䡁䅍睘㉂䑁䅅兌杁䕁䄸杣灂䝁䅣兡畂䝁䅅䅢畁䡁䅧䅢穂䝁䄰兘䱂䝁䅕入時䙁䅍䅤桂䡁䅑督湁䍁䅅䅊䙂䍁䅑兎祁䅁䅁睡䅕䡁䅉䅁湁䙁䅳兔䩂䙁䄸睑療䝁䄰䅣桂䝁䄴入時䕁䅳党㕂䙁䅍䅤桂䡁䅑督時䡁䅙免瑁䍁䅁睔祂䝁䅫睚灂䝁䄴兙獂䍁䄴䅥獂䡁䅍兢摂䕁䅳党㕂䙁䄸睕あ䝁䅅䅤穂䍁䅣光歁䕁䅕䅊ㅁ䑁䅫䅁療兂䅁杣䅁䍁䅣睗乂䕁䅫睘䑂䝁䄸兢睂䝁䅅杢㕂䙁䄸睓求䡁䅫睕あ䝁䅅䅤穂䙁䄸杤硁䍁䄰䅉偂䡁䅉兡湂䝁䅫杢桂䝁䅷杌㑂䝁䅷督瑂䙁䄰睓求䡁䅫睘呂䡁䅑兙あ䡁䅍睊桁䍁䅑兒歁䑁䅙䅍䅁䡁䙅䅁⭂䅁䅁睊扂䕁䄰兓時䕁䅍睢瑂䡁䅁兙畂䡁䅫睘䱂䝁䅕入呂䡁䅑兙あ䡁䅍睘㉂䑁䅅兌杁䕁䄸杣灂䝁䅣兡畂䝁䅅䅢畁䡁䅧䅢穂䝁䄰兘䱂䝁䅕入時䙁䅍䅤桂䡁䅑督湁䍁䅅䅊乂䍁䅑杍祁䑁䅯䅊偂䍁䅑杍祁䅁䅁兘䅕䡁䄴䅁湁䙁䅳兔䩂䙁䄸睑療䝁䄰䅣桂䝁䄴入時䕁䅳党㕂䙁䅍䅤桂䡁䅑督時䡁䅙免瑁䍁䅁睔祂䝁䅫睚灂䝁䄴兙獂䍁䄴䅥獂䡁䅍兢摂䕁䅳党㕂䙁䄸睕あ䝁䅅䅤穂䍁䅣光歁䕁䄰䅊祁䑁䅍杏歁䕁䄸䅊祁䑁䅍䅁時兂䅁杢䅁䍁䅣睗乂䕁䅫睘䑂䝁䄸兢睂䝁䅅杢㕂䙁䄸睓求䡁䅫睕あ䝁䅅䅤穂䙁䄸杤硁䍁䄰睑療䡁䅁入畁䡁䅧䅢穂䝁䄰兘䍂䝁䅅䅢桂䝁䄴睙求䙁䄸睕潂䝁䅕党あ䍁䅣光歁䕁䅍䅊ぁ䅁䅁䅥䅕䡁䅷䅁湁䙁䅳兔䩂䙁䄸睑療䝁䄰䅣桂䝁䄴入時䕁䅳党㕂䙁䅍䅤桂䡁䅑督時䡁䅙免瑁䕁䅍睢睂䡁䅫杌㑂䝁䅷督瑂䙁䄰村桂䝁䅷兙畂䝁䅍党時䙁䅍䅡求䝁䅕䅤湁䍁䅅䅊䑂䍁䅑兏㙁䍁䅑睑歁䑁䅅睍㕁䅁䅁来䅕䡁䅧䅁湁䙁䅳兔䩂䙁䄸睑療䝁䄰䅣桂䝁䄴入時䕁䅳党㕂䙁䅍䅤桂䡁䅑督時䡁䅙免瑁䕁䅍睢睂䡁䅫杌㑂䝁䅷督瑂䙁䄰村桂䝁䅷兙畂䝁䅍党時䙁䅍䅡求䝁䅕䅤湁䍁䅅䅊䙂䍁䅑䅎㙁䍁䅑䅕歁䑁䅑䅁㕂兂䅁䅥䅁䍁䅣睗乂䕁䅫睘䑂䝁䄸兢睂䝁䅅杢㕂䙁䄸睓求䡁䅫睕あ䝁䅅䅤穂䙁䄸杤硁䍁䄰睑療䡁䅁入畁䡁䅧䅢穂䝁䄰兘䍂䝁䅅䅢桂䝁䄴睙求䙁䄸睕潂䝁䅕党あ䍁䅣光歁䕁䅕䅊ㅁ䑁䅯䅊兂䍁䅑兎䅁䡁䙳䅁坃䅁䅁睊扂䕁䄰兓時䕁䅍睢瑂䡁䅁兙畂䡁䅫睘䱂䝁䅕入呂䡁䅑兙あ䡁䅍睘㉂䑁䅅兌䑂䝁䄸䅣㕂䍁䄴䅥獂䡁䅍兢摂䕁䅍兙睂䝁䅫䅤桂䝁䅷睘呂䡁䅑杣ㅂ䝁䅍䅤ㅂ䡁䅉党時䙁䅍兤瑂䝁䄰兙祂䡁䅫睊桁䍁䅑睑歁䑁䅅睍㙁䍁䅑睑歁䑁䅅兎睁䅁䅁杧䅕䥁䅙䅁湁䙁䅳兔䩂䙁䄸睑療䝁䄰䅣桂䝁䄴入時䕁䅳党㕂䙁䅍䅤桂䡁䅑督時䡁䅙免瑁䕁䅍睢睂䡁䅫杌㑂䝁䅷督瑂䙁䄰睑桂䡁䅁兡あ䝁䅅䅢時䙁䅍䅤祂䡁䅕睙あ䡁䅕杣求䙁䄸睕ㅂ䝁䄰兢桂䡁䅉入湁䍁䅅䅊䑂䍁䅑䅎䅁䥁䙁䅁䝃䅁䅁睊扂䕁䄰兓時䕁䅍睢瑂䡁䅁兙畂䡁䅫睘䱂䝁䅕入呂䡁䅑兙あ䡁䅍睘㉂䑁䅅兌䑂䝁䄸䅣㕂䍁䄴䅥獂䡁䅍兢摂䕁䅍兙睂䝁䅫䅤桂䝁䅷睘呂䡁䅑杣ㅂ䝁䅍䅤ㅂ䡁䅉党時䙁䅍兤瑂䝁䄰兙祂䡁䅫睊桁䍁䅑睑歁䑁䅕䅁䕃兂䅁䅬䅁䍁䅣睗乂䕁䅫睘䑂䝁䄸兢睂䝁䅅杢㕂䙁䄸睓求䡁䅫睕あ䝁䅅䅤穂䙁䄸杤硁䍁䄰睑療䡁䅁入畁䡁䅧䅢穂䝁䄰兘䑂䝁䅅䅣灂䡁䅑兙獂䙁䄸睕あ䡁䅉兤橂䡁䅑兤祂䝁䅕睘呂䡁䅕兢瑂䝁䅅杣㕂䍁䅣光歁䕁䅑䅊祁䑁䅣杏歁䕁䅑䅊㍁䑁䅧䅁䝃兂䅁䅫䅁䍁䅣睗乂䕁䅫睘䑂䝁䄸兢睂䝁䅅杢㕂䙁䄸睓求䡁䅫睕あ䝁䅅䅤穂䙁䄸杤硁䍁䄰睑療䡁䅁入畁䡁䅧䅢穂䝁䄰兘䑂䝁䅅䅣灂䡁䅑兙獂䙁䄸睕あ䡁䅉兤橂䡁䅑兤祂䝁䅕睘呂䡁䅕兢瑂䝁䅅杣㕂䍁䅣光歁䕁䅕䅊ぁ䑁䅯䅊偂䍁䅑䅎䅁䥁䙅䅁元䅁䅁睊扂䕁䄰兓時䕁䅍睢瑂䡁䅁兙畂䡁䅫睘䱂䝁䅕入呂䡁䅑兙あ䡁䅍睘㉂䑁䅅兌䑂䝁䄸䅣㕂䍁䄴䅥獂䡁䅍兢摂䕁䅍兙睂䝁䅫䅤桂䝁䅷睘呂䡁䅑杣ㅂ䝁䅍䅤ㅂ䡁䅉党時䙁䅍兤瑂䝁䄰兙祂䡁䅫睊桁䍁䅑兒歁䑁䅕杏歁䕁䄸䅊ㅁ䅁䅁睧䅕䩁䅁䅁湁䙁䅳兔䩂䙁䄸睑療䝁䄰䅣桂䝁䄴入時䕁䅳党㕂䙁䅍䅤桂䡁䅑督時䡁䅙免瑁䕁䅍睢睂䡁䅫杌㑂䝁䅷督瑂䙁䄰睑桂䡁䅁兡あ䝁䅅䅢時䙁䅍䅤祂䡁䅕睙あ䡁䅕杣求䙁䄸睕ㅂ䝁䄰兢桂䡁䅉入湁䍁䅅䅊䝂䍁䅑䅏㙁䍁䅑䅕歁䑁䅧䅁䙃兂䅁䅫䅁䍁䅣睗乂䕁䅫睘䑂䝁䄸兢睂䝁䅅杢㕂䙁䄸睓求䡁䅫睕あ䝁䅅䅤穂䙁䄸杤硁䍁䄰睑療䡁䅁入畁䡁䅧䅢穂䝁䄰兘䑂䝁䅅䅣灂䡁䅑兙獂䙁䄸睕あ䡁䅉兤橂䡁䅑兤祂䝁䅕睘呂䡁䅕兢瑂䝁䅅杣㕂䍁䅣光歁䕁䅙䅊㕁䑁䅯䅊兂䍁䅑兏䅁䥁䙣䅁睂䅁䅁睊扂䕁䄰兓時䕁䅍睢瑂䡁䅁兙畂䡁䅫睘䱂䝁䅕入呂䡁䅑兙あ䡁䅍睘㉂䑁䅅兌䑂䝁䄸䅣㕂䍁䄴䅥獂䡁䅍兢摂䕁䅍兙睂䝁䅫䅤桂䝁䅷兡㙂䝁䅅䅤灂䝁䄸杢湁䍁䅅䅊䑂䍁䅑䅎䅁䑁䙑䅁祂䅁䅁睊扂䕁䄰兓時䕁䅍睢瑂䡁䅁兙畂䡁䅫睘䱂䝁䅕入呂䡁䅑兙あ䡁䅍睘㉂䑁䅅兌䑂䝁䄸䅣㕂䍁䄴䅥獂䡁䅍兢摂䕁䅍兙睂䝁䅫䅤桂䝁䅷兡㙂䝁䅅䅤灂䝁䄸杢湁䍁䅅䅊䑂䍁䅑䅎㍁䅁䅁䅌䅕䡁䅉䅁湁䙁䅳兔䩂䙁䄸睑療䝁䄰䅣桂䝁䄴入時䕁䅳党㕂䙁䅍䅤桂䡁䅑督時䡁䅙免瑁䕁䅍睢睂䡁䅫杌㑂䝁䅷督瑂䙁䄰睑桂䡁䅁兡あ䝁䅅䅢灂䡁䅯兙あ䝁䅫睢畂䍁䅣光歁䕁䅍䅊ぁ䑁䅧䅁睁兂䅁杣䅁䍁䅣睗乂䕁䅫睘䑂䝁䄸兢睂䝁䅅杢㕂䙁䄸睓求䡁䅫睕あ䝁䅅䅤穂䙁䄸杤硁䍁䄰睑療䡁䅁入畁䡁䅧䅢穂䝁䄰兘䑂䝁䅅䅣灂䡁䅑兙獂䝁䅫来桂䡁䅑兡療䝁䄴睊桁䍁䅑睑歁䑁䅕䅍䅁䑁䙉䅁⭂䅁䅁睊扂䕁䄰兓時䕁䅍睢瑂䡁䅁兙畂䡁䅫睘䱂䝁䅕入呂䡁䅑兙あ䡁䅍睘㉂䑁䅅兌䑂䝁䄸䅣㕂䍁䄴䅥獂䡁䅍兢摂䕁䅍兙睂䝁䅫䅤桂䝁䅷兡㙂䝁䅅䅤灂䝁䄸杢湁䍁䅅䅊䑂䍁䅑兎穁䑁䅯䅊䑂䍁䅑兎ぁ䅁䅁杌䅕䡁䅉䅁湁䙁䅳兔䩂䙁䄸睑療䝁䄰䅣桂䝁䄴入時䕁䅳党㕂䙁䅍䅤桂䡁䅑督時䡁䅙免瑁䕁䅍睢睂䡁䅫杌㑂䝁䅷督瑂䙁䄰睑桂䡁䅁兡あ䝁䅅䅢灂䡁䅯兙あ䝁䅫睢畂䍁䅣光歁䕁䅍䅊ㅁ䑁䅧䅁䕂兂䅁杣䅁䍁䅣睗乂䕁䅫睘䑂䝁䄸兢睂䝁䅅杢㕂䙁䄸睓求䡁䅫睕あ䝁䅅䅤穂䙁䄸杤硁䍁䄰睑療䡁䅁入畁䡁䅧䅢穂䝁䄰兘䑂䝁䅅䅣灂䡁䅑兙獂䝁䅫来桂䡁䅑兡療䝁䄴睊桁䍁䅑睑歁䑁䅕兏䅁䕁䙙䅁祂䅁䅁睊扂䕁䄰兓時䕁䅍睢瑂䡁䅁兙畂䡁䅫睘䱂䝁䅕入呂䡁䅑兙あ䡁䅍睘㉂䑁䅅兌䑂䝁䄸䅣㕂䍁䄴䅥獂䡁䅍兢摂䕁䅍兙睂䝁䅫䅤桂䝁䅷兡㙂䝁䅅䅤灂䝁䄸杢湁䍁䅅䅊䑂䍁䅑李硁䅁䅁杓䅕䡁䄴䅁湁䙁䅳兔䩂䙁䄸睑療䝁䄰䅣桂䝁䄴入時䕁䅳党㕂䙁䅍䅤桂䡁䅑督時䡁䅙免瑁䕁䅍睢睂䡁䅫杌㑂䝁䅷督瑂䙁䄰睑桂䡁䅁兡あ䝁䅅䅢灂䡁䅯兙あ䝁䅫睢畂䍁䅣光歁䕁䅍䅊㉁䑁䅑杏歁䕁䅍䅊㉁䑁䅕䅁䱂兂䅁䅦䅁䍁䅣睗乂䕁䅫睘䑂䝁䄸兢睂䝁䅅杢㕂䙁䄸睓求䡁䅫睕あ䝁䅅䅤穂䙁䄸杤硁䍁䄰睑療䡁䅁入畁䡁䅧䅢穂䝁䄰兘䑂䝁䅅䅣灂䡁䅑兙獂䝁䅫来桂䡁䅑兡療䝁䄴睊桁䍁䅑睑歁䑁䅫杏歁䕁䅍䅊祁䑁䅕䅁㉁兂䅁杦䅁䍁䅣睗乂䕁䅫睘䑂䝁䄸兢睂䝁䅅杢㕂䙁䄸睓求䡁䅫睕あ䝁䅅䅤穂䙁䄸杤硁䍁䄰睑療䡁䅁入畁䡁䅧䅢穂䝁䄰兘䑂䝁䅅䅣灂䡁䅑兙獂䝁䅫来桂䡁䅑兡療䝁䄴睊桁䍁䅑兒歁䑁䅑睎㙁䍁䅑杓歁䑁䅑睎䅁䑁䙅䅁⭂䅁䅁睊扂䕁䄰兓時䕁䅍睢瑂䡁䅁兙畂䡁䅫睘䱂䝁䅕入呂䡁䅑兙あ䡁䅍睘㉂䑁䅅兌䑂䝁䄸䅣㕂䍁䄴䅥獂䡁䅍兢摂䕁䅍兙睂䝁䅫䅤桂䝁䅷兡㙂䝁䅅䅤灂䝁䄸杢湁䍁䅅䅊䙂䍁䅑䅎㑁䑁䅯䅊䭂䍁䅑䅎㑁䅁䅁睍䅕䡁䅯䅁湁䙁䅳兔䩂䙁䄸睑療䝁䄰䅣桂䝁䄴入時䕁䅳党㕂䙁䅍䅤桂䡁䅑督時䡁䅙免瑁䕁䅍睢睂䡁䅫杌㑂䝁䅷督瑂䙁䄰睑桂䡁䅁兡あ䝁䅅䅢灂䡁䅯兙あ䝁䅫睢畂䍁䅣光歁䕁䅕䅊ぁ䑁䅯䅊䭂䍁䅑䅎䅁䑁䙕䅁⭂䅁䅁睊扂䕁䄰兓時䕁䅍睢瑂䡁䅁兙畂䡁䅫睘䱂䝁䅕入呂䡁䅑兙あ䡁䅍睘㉂䑁䅅兌䑂䝁䄸䅣㕂䍁䄴䅥獂䡁䅍兢摂䕁䅍兙睂䝁䅫䅤桂䝁䅷兡㙂䝁䅅䅤灂䝁䄸杢湁䍁䅅䅊䙂䍁䅑兎硁䑁䅯䅊䭂䍁䅑兎硁䅁䅁兌䅕䡁䄴䅁湁䙁䅳兔䩂䙁䄸睑療䝁䄰䅣桂䝁䄴入時䕁䅳党㕂䙁䅍䅤桂䡁䅑督時䡁䅙免瑁䕁䅍睢睂䡁䅫杌㑂䝁䅷督瑂䙁䄰睑桂䡁䅁兡あ䝁䅅䅢灂䡁䅯兙あ䝁䅫睢畂䍁䅣光歁䕁䅕䅊ㅁ䑁䅉杏歁䕁䅯䅊ㅁ䑁䅉䅁癁兂䅁杦䅁䍁䅣睗乂䕁䅫睘䑂䝁䄸兢睂䝁䅅杢㕂䙁䄸睓求䡁䅫睕あ䝁䅅䅤穂䙁䄸杤硁䍁䄰睑療䡁䅁入畁䡁䅧䅢穂䝁䄰兘䑂䝁䅅䅣灂䡁䅑兙獂䝁䅫来桂䡁䅑兡療䝁䄴睊桁䍁䅑兒歁䑁䅕䅏㙁䍁䅑杓歁䑁䅕䅏䅁䕁䙫䅁⭂䅁䅁睊扂䕁䄰兓時䕁䅍睢瑂䡁䅁兙畂䡁䅫睘䱂䝁䅕入呂䡁䅑兙あ䡁䅍睘㉂䑁䅅兌䑂䝁䄸䅣㕂䍁䄴䅥獂䡁䅍兢摂䕁䅍兙睂䝁䅫䅤桂䝁䅷兡㙂䝁䅅䅤灂䝁䄸杢湁䍁䅅䅊䙂䍁䅑兎㕁䑁䅯䅊䭂䍁䅑兎㕁䅁䅁睒䅕䡁䅯䅁湁䙁䅳兔䩂䙁䄸睑療䝁䄰䅣桂䝁䄴入時䕁䅳党㕂䙁䅍䅤桂䡁䅑督時䡁䅙免瑁䕁䅍睢睂䡁䅫杌㑂䝁䅷督瑂䙁䄰睑桂䡁䅁兡あ䝁䅅䅢灂䡁䅯兙あ䝁䅫睢畂䍁䅣光歁䕁䅕䅊ㅁ䑁䅯䅊䭂䍁䅑兎䅁䑁䙣䅁⭂䅁䅁睊扂䕁䄰兓時䕁䅍睢瑂䡁䅁兙畂䡁䅫睘䱂䝁䅕入呂䡁䅑兙あ䡁䅍睘㉂䑁䅅兌䑂䝁䄸䅣㕂䍁䄴䅥獂䡁䅍兢摂䕁䅍兙睂䝁䅫䅤桂䝁䅷兡㙂䝁䅅䅤灂䝁䄸杢湁䍁䅅䅊䙂䍁䅑李祁䑁䅯䅊䭂䍁䅑李祁䅁䅁䅓䅕䡁䄴䅁湁䙁䅳兔䩂䙁䄸睑療䝁䄰䅣桂䝁䄴入時䕁䅳党㕂䙁䅍䅤桂䡁䅑督時䡁䅙免瑁䕁䅍睢睂䡁䅫杌㑂䝁䅷督瑂䙁䄰睑桂䡁䅁兡あ䝁䅅䅢灂䡁䅯兙あ䝁䅫睢畂䍁䅣光歁䕁䅕䅊㉁䑁䅍杏歁䕁䅯䅊㉁䑁䅍䅁䙂兂䅁杚䅁䍁䅣睗乂䕁䅫睘䑂䝁䄸兢睂䝁䅅杢㕂䙁䄸睓求䡁䅫睕あ䝁䅅䅤穂䙁䄸杤硁䍁䄰睑療䡁䅁入畁䡁䅧䅢穂䝁䄰兘䑂䝁䅅督潂䙁䄸杒獂䝁䄸睤湁䍁䅅䅊䑂䍁䅑䅎䅁䡁䙷䅁祂䅁䅁睊扂䕁䄰兓時䕁䅍睢瑂䡁䅁兙畂䡁䅫睘䱂䝁䅕入呂䡁䅑兙あ䡁䅍睘㉂䑁䅅兌䑂䝁䄸䅣㕂䍁䄴䅥獂䡁䅍兢摂䕁䅍兙穂䝁䅧睘䝂䝁䅷睢㍂䍁䅣光歁䕁䅍䅊㕁䑁䅯䅊䑂䍁䅑兏睁䅁䅁杦䅕䡁䅁䅁湁䙁䅳兔䩂䙁䄸睑療䝁䄰䅣桂䝁䄴入時䕁䅳党㕂䙁䅍䅤桂䡁䅑督時䡁䅙免瑁䕁䅍睢睂䡁䅫杌㑂䝁䅷督瑂䙁䄰睑桂䡁䅍䅡時䕁䅙䅢療䡁䅣睊桁䍁䅑兒歁䑁䅑杏歁䙁䅁䅊ぁ䅁䅁兦䅕䡁䅁䅁湁䙁䅳兔䩂䙁䄸睑療䝁䄰䅣桂䝁䄴入時䕁䅳党㕂䙁䅍䅤桂䡁䅑督時䡁䅙免瑁䕁䅍睢睂䡁䅫杌㑂䝁䅷督瑂䙁䄰睑桂䡁䅍䅡時䕁䅙䅢療䡁䅣睊桁䍁䅑兒歁䑁䅕杏歁䙁䅁䅊ㅁ䅁䅁睦䅕䡁䅑䅁湁䙁䅳兔䩂䙁䄸睑療䝁䄰䅣桂䝁䄴入時䕁䅳党㕂䙁䅍䅤桂䡁䅑督時䡁䅙免瑁䕁䅍睢睂䡁䅫杌㑂䝁䅷督瑂䙁䄰兓畂䝁䅍睢瑂䝁䅕睘呂䡁䅑兙あ䝁䅕兢求䝁䄴䅤湁䍁䅅䅊䑂䍁䅑䅎䅁䕁䘴䅁䍃䅁䅁睊扂䕁䄰兓時䕁䅍睢瑂䡁䅁兙畂䡁䅫睘䱂䝁䅕入呂䡁䅑兙あ䡁䅍睘㉂䑁䅅兌䑂䝁䄸䅣㕂䍁䄴䅥獂䡁䅍兢摂䕁䅫杢橂䝁䄸兢求䙁䄸睕あ䝁䅅䅤求䝁䄰党畂䡁䅑睊桁䍁䅑睑歁䑁䅫杏歁䕁䅍䅊硁䑁䅣睍䅁䙁䙁䅁⭂䅁䅁睊扂䕁䄰兓時䕁䅍睢瑂䡁䅁兙畂䡁䅫睘䱂䝁䅕入呂䡁䅑兙あ䡁䅍睘㉂䑁䅅兌䑂䝁䄸䅣㕂䍁䄴䅥獂䡁䅍兢摂䕁䅫杢橂䝁䄸兢求䙁䄸睕あ䝁䅅䅤求䝁䄰党畂䡁䅑睊桁䍁䅑兒歁䑁䅑杏歁䙁䅁䅊ぁ䅁䅁睔䅕䡁䄴䅁湁䙁䅳兔䩂䙁䄸睑療䝁䄰䅣桂䝁䄴入時䕁䅳党㕂䙁䅍䅤桂䡁䅑督時䡁䅙免瑁䕁䅍睢睂䡁䅫杌㑂䝁䅷督瑂䙁䄰兓畂䝁䅍睢瑂䝁䅕睘呂䡁䅑兙あ䝁䅕兢求䝁䄴䅤湁䍁䅅䅊䙂䍁䅑兎㙁䍁䅑䅕歁䑁䅕䅁剂兂䅁条䅁䍁䅣睗乂䕁䅫睘䑂䝁䄸兢睂䝁䅅杢㕂䙁䄸睓求䡁䅫睕あ䝁䅅䅤穂䙁䄸杤硁䍁䄰睑療䡁䅁入畁䡁䅧䅢穂䝁䄰兘䱂䝁䅕入時䙁䅍䅤桂䡁䅑督湁䍁䅅䅊䍂䍁䅑免睁䑁䅙䅁歁兂䅁䅡䅁䍁䅣睗乂䕁䅫睘䑂䝁䄸兢睂䝁䅅杢㕂䙁䄸睓求䡁䅫睕あ䝁䅅䅤穂䙁䄸杤硁䍁䄰睑療䡁䅁入畁䡁䅧䅢穂䝁䄰兘䱂䝁䅕入時䙁䅍䅤桂䡁䅑督湁䍁䅅䅊䍂䍁䅑杍ㅁ䅁䅁䅋䅕䝁䅧䅁湁䙁䅳兔䩂䙁䄸睑療䝁䄰䅣桂䝁䄴入時䕁䅳党㕂䙁䅍䅤桂䡁䅑督時䡁䅙免瑁䕁䅍睢睂䡁䅫杌㑂䝁䅷督瑂䙁䄰睓求䡁䅫睘呂䡁䅑兙あ䡁䅍睊桁䍁䅑村歁䑁䅉李䅁䍁䙁䅁潂䅁䅁睊扂䕁䄰兓時䕁䅍睢瑂䡁䅁兙畂䡁䅫睘䱂䝁䅕入呂䡁䅑兙あ䡁䅍睘㉂䑁䅅兌䑂䝁䄸䅣㕂䍁䄴䅥獂䡁䅍兢摂䕁䅳党㕂䙁䄸睕あ䝁䅅䅤穂䍁䅣光歁䕁䅉䅊ㅁ䑁䅕䅁啂兂䅁䅡䅁䍁䅣睗乂䕁䅫睘䑂䝁䄸兢睂䝁䅅杢㕂䙁䄸睓求䡁䅫睕あ䝁䅅䅤穂䙁䄸杤硁䍁䄰睑療䡁䅁入畁䡁䅧䅢穂䝁䄰兘䱂䝁䅕入時䙁䅍䅤桂䡁䅑督湁䍁䅅䅊䍂䍁䅑李祁䅁䅁䅗䅕䡁䅧䅁湁䙁䅳兔䩂䙁䄸睑療䝁䄰䅣桂䝁䄴入時䕁䅳党㕂䙁䅍䅤桂䡁䅑督時䡁䅙免瑁䕁䅍睢睂䡁䅫杌㑂䝁䅷督瑂䙁䄰睓求䡁䅫睘呂䡁䅑兙あ䡁䅍睊桁䍁䅑睑歁䑁䅅䅍㕁䑁䅯䅊䑂䍁䅑免硁䑁䅑䅁乂兂䅁䅥䅁䍁䅣睗乂䕁䅫睘䑂䝁䄸兢睂䝁䅅杢㕂䙁䄸睓求䡁䅫睕あ䝁䅅䅤穂䙁䄸杤硁䍁䄰睑療䡁䅁入畁䡁䅧䅢穂䝁䄰兘䱂䝁䅕入時䙁䅍䅤桂䡁䅑督湁䍁䅅䅊䑂䍁䅑免睁䑁䅫杏歁䕁䅍䅊硁䑁䅅兎䅁䩁䙕䅁㑂䅁䅁睊扂䕁䄰兓時䕁䅍睢瑂䡁䅁兙畂䡁䅫睘䱂䝁䅕入呂䡁䅑兙あ䡁䅍睘㉂䑁䅅兌䑂䝁䄸䅣㕂䍁䄴䅥獂䡁䅍兢摂䕁䅳党㕂䙁䄸睕あ䝁䅅䅤穂䍁䅣光歁䕁䅍䅊硁䑁䅅䅍㙁䍁䅑睑歁䑁䅅免ぁ䅁䅁杊䅕䡁䅑䅁湁䙁䅳兔䩂䙁䄸睑療䝁䄰䅣桂䝁䄴入時䕁䅳党㕂䙁䅍䅤桂䡁䅑督時䡁䅙免瑁䕁䅍睢睂䡁䅫杌㑂䝁䅷督瑂䙁䄰睓求䡁䅫睘呂䡁䅑兙あ䡁䅍睊桁䍁䅑睑歁䑁䅉䅏㙁䍁䅑睑歁䑁䅕杍䅁䍁䙯䅁あ䅁䅁睊扂䕁䄰兓時䕁䅍睢瑂䡁䅁兙畂䡁䅫睘䱂䝁䅕入呂䡁䅑兙あ䡁䅍睘㉂䑁䅅兌䑂䝁䄸䅣㕂䍁䄴䅥獂䡁䅍兢摂䕁䅳党㕂䙁䄸睕あ䝁䅅䅤穂䍁䅣光歁䕁䅍䅊ㅁ䑁䅣杏歁䕁䅍䅊ㅁ䑁䅧䅁坂兂䅁䅤䅁䍁䅣睗乂䕁䅫睘䑂䝁䄸兢睂䝁䅅杢㕂䙁䄸睓求䡁䅫睕あ䝁䅅䅤穂䙁䄸杤硁䍁䄰睑療䡁䅁入畁䡁䅧䅢穂䝁䄰兘䱂䝁䅕入時䙁䅍䅤桂䡁䅑督湁䍁䅅䅊䑂䍁䅑李ㅁ䑁䅯䅊䑂䍁䅑睎硁䅁䅁杗䅕䡁䅑䅁湁䙁䅳兔䩂䙁䄸睑療䝁䄰䅣桂䝁䄴入時䕁䅳党㕂䙁䅍䅤桂䡁䅑督時䡁䅙免瑁䕁䅍睢睂䡁䅫杌㑂䝁䅷督瑂䙁䄰睓求䡁䅫睘呂䡁䅑兙あ䡁䅍睊桁䍁䅑䅒歁䑁䅉䅏㙁䍁䅑䅒歁䑁䅕杍䅁䍁䙉䅁あ䅁䅁睊扂䕁䄰兓時䕁䅍睢瑂䡁䅁兙畂䡁䅫睘䱂䝁䅕入呂䡁䅑兙あ䡁䅍睘㉂䑁䅅兌䑂䝁䄸䅣㕂䍁䄴䅥獂䡁䅍兢摂䕁䅳党㕂䙁䄸睕あ䝁䅅䅤穂䍁䅣光歁䕁䅑䅊ㅁ䑁䅣杏歁䕁䅑䅊ㅁ䑁䅧䅁塂兂䅁䅥䅁䍁䅣睗乂䕁䅫睘䑂䝁䄸兢睂䝁䅅杢㕂䙁䄸睓求䡁䅫睕あ䝁䅅䅤穂䙁䄸杤硁䍁䄰睑療䡁䅁入畁䡁䅧䅢穂䝁䄰兘䱂䝁䅕入時䙁䅍䅤桂䡁䅑督湁䍁䅅䅊䙂䍁䅑免睁䑁䅙杏歁䕁䅣䅊硁䑁䅁李䅁䕁䙷䅁㑂䅁䅁睊扂䕁䄰兓時䕁䅍睢瑂䡁䅁兙畂䡁䅫睘䱂䝁䅕入呂䡁䅑兙あ䡁䅍睘㉂䑁䅅兌䑂䝁䄸䅣㕂䍁䄴䅥獂䡁䅍兢摂䕁䅳党㕂䙁䄸睕あ䝁䅅䅤穂䍁䅣光歁䕁䅕䅊硁䑁䅁睎㙁䍁䅑睒歁䑁䅅䅍㍁䅁䅁兊䅕䡁䅧䅁湁䙁䅳兔䩂䙁䄸睑療䝁䄰䅣桂䝁䄴入時䕁䅳党㕂䙁䅍䅤桂䡁䅑督時䡁䅙免瑁䕁䅍睢睂䡁䅫杌㑂䝁䅷督瑂䙁䄰睓求䡁䅫睘呂䡁䅑兙あ䡁䅍睊桁䍁䅑兒歁䑁䅅䅍㑁䑁䅯䅊䡂䍁䅑免睁䑁䅧䅁湁兂䅁䅤䅁䍁䅣睗乂䕁䅫睘䑂䝁䄸兢睂䝁䅅杢㕂䙁䄸睓求䡁䅫睕あ䝁䅅䅤穂䙁䄸杤硁䍁䄰睑療䡁䅁入畁䡁䅧䅢穂䝁䄰兘䱂䝁䅕入時䙁䅍䅤桂䡁䅑督湁䍁䅅䅊䙂䍁䅑杍ㅁ䑁䅯䅊䭂䍁䅑杍ㅁ䅁䅁克䅕䡁䅑䅁湁䙁䅳兔䩂䙁䄸睑療䝁䄰䅣桂䝁䄴入時䕁䅳党㕂䙁䅍䅤桂䡁䅑督時䡁䅙免瑁䕁䅍睢睂䡁䅫杌㑂䝁䅷督瑂䙁䄰睓求䡁䅫睘呂䡁䅑兙あ䡁䅍睊桁䍁䅑兒歁䑁䅉兎㙁䍁䅑䅔歁䑁䅉兎䅁䙁䙉䅁あ䅁䅁睊扂䕁䄰兓時䕁䅍睢瑂䡁䅁兙畂䡁䅫睘䱂䝁䅕入呂䡁䅑兙あ䡁䅍睘㉂䑁䅅兌䑂䝁䄸䅣㕂䍁䄴䅥獂䡁䅍兢摂䕁䅳党㕂䙁䄸睕あ䝁䅅䅤穂䍁䅣光歁䕁䅕䅊祁䑁䅙杏歁䕁䅯䅊祁䑁䅙䅁牁兂䅁䅤䅁䍁䅣睗乂䕁䅫睘䑂䝁䄸兢睂䝁䅅杢㕂䙁䄸睓求䡁䅫睕あ䝁䅅䅤穂䙁䄸杤硁䍁䄰睑療䡁䅁入畁䡁䅧䅢穂䝁䄰兘䱂䝁䅕入時䙁䅍䅤桂䡁䅑督湁䍁䅅䅊䙂䍁䅑杍㉁䑁䅯䅊䵂䍁䅑杍㉁䅁䅁睕䅕䝁䅧䅁湁䙁䅳兔䩂䙁䄸睑療䝁䄰䅣桂䝁䄴入時䕁䅳党㕂䙁䅍䅤桂䡁䅑督時䡁䅙免瑁䕁䅍睢睂䡁䅫杌㑂䝁䅷督瑂䙁䄰睓求䡁䅫睘呂䡁䅑兙あ䡁䅍睊桁䍁䅑兒歁䑁䅕兎䅁䙁䙕䅁潂䅁䅁睊扂䕁䄰兓時䕁䅍睢瑂䡁䅁兙畂䡁䅫睘䱂䝁䅕入呂䡁䅑兙あ䡁䅍睘㉂䑁䅅兌䑂䝁䄸䅣㕂䍁䄴䅥獂䡁䅍兢摂䕁䅳党㕂䙁䄸睕あ䝁䅅䅤穂䍁䅣光歁䕁䅕䅊㉁䑁䅉䅁婂兂䅁䅡䅁䍁䅣睗乂䕁䅫睘䑂䝁䄸兢睂䝁䅅杢㕂䙁䄸睓求䡁䅫睕あ䝁䅅䅤穂䙁䄸杤硁䍁䄰睑療䡁䅁入畁䡁䅧䅢穂䝁䄰兘䱂䝁䅕入時䙁䅍䅤桂䡁䅑督湁䍁䅅䅊䙂䍁䅑李穁䅁䅁睗䅕䡁䅑䅁湁䙁䅳兔䩂䙁䄸睑療䝁䄰䅣桂䝁䄴入時䕁䅳党㕂䙁䅍䅤桂䡁䅑督時䡁䅙免瑁䕁䅍睢睂䡁䅫杌㑂䝁䅷督瑂䙁䄰睓求䡁䅫睘呂䡁䅑兙あ䡁䅍睊桁䍁䅑兔歁䑁䅉兎㙁䍁䅑睔歁䑁䅉兎䅁䍁䙅䅁あ䅁䅁睊扂䕁䄰兓時䕁䅍睢瑂䡁䅁兙畂䡁䅫睘䱂䝁䅕入呂䡁䅑兙あ䡁䅍睘㉂䑁䅅兌䑂䝁䄸䅣㕂䍁䄴䅥獂䡁䅍兢摂䕁䅳党㕂䙁䄸睕あ䝁䅅䅤穂䍁䅣光歁䕁䄰䅊祁䑁䅙杏歁䕁䄸䅊祁䑁䅙䅁橁兂䅁䅢䅁䍁䅣睗乂䕁䅫睘䑂䝁䄸兢睂䝁䅅杢㕂䙁䄸睓求䡁䅫睕あ䝁䅅䅤穂䙁䄸杤硁䍁䄰睑療䡁䅁入畁䡁䅧䅢穂䝁䄰兘兂䝁䅕杢穂䝁䅫睢畂䍁䄰睔兂䕁䅕村湁䍁䅅䅊䑂䍁䅑䅎䅁䩁䙁䅁㙂䅁䅁睊扂䕁䄰兓時䕁䅍睢瑂䡁䅁兙畂䡁䅫睘䱂䝁䅕入呂䡁䅑兙あ䡁䅍睘㉂䑁䅅兌䑂䝁䄸䅣㕂䍁䄴䅥獂䡁䅍兢摂䙁䅁党畂䡁䅍兡療䝁䄴兌偂䙁䅁兒䍂䍁䅣光歁䕁䅍䅊㕁䑁䅯䅊䑂䍁䅑兎㉁䑁䅧䅁千兂䅁杤䅁䍁䅣睗乂䕁䅫睘䑂䝁䄸兢睂䝁䅅杢㕂䙁䄸睓求䡁䅫睕あ䝁䅅䅤穂䙁䄸杤硁䍁䄰睑療䡁䅁入畁䡁䅧䅢穂䝁䄰兘兂䝁䅕杢穂䝁䅫睢畂䍁䄰睔兂䕁䅕村湁䍁䅅䅊䕂䍁䅑䅎㙁䍁䅑兓歁䑁䅑䅁剃兂䅁杤䅁䍁䅣睗乂䕁䅫睘䑂䝁䄸兢睂䝁䅅杢㕂䙁䄸睓求䡁䅫睕あ䝁䅅䅤穂䙁䄸杤硁䍁䄰睑療䡁䅁入畁䡁䅧䅢穂䝁䄰兘兂䝁䅕杢穂䝁䅫睢畂䍁䄰睔兂䕁䅕村湁䍁䅅䅊䕂䍁䅑兎㙁䍁䅑兓歁䑁䅕䅁呃兂䅁䅙䅁䍁䅣睗乂䕁䅫睘䑂䝁䄸兢睂䝁䅅杢㕂䙁䄸睓求䡁䅫睕あ䝁䅅䅤穂䙁䄸杤硁䍁䄰睑療䡁䅁入畁䡁䅧䅢穂䝁䄰兘卂䝁䅅䅤灂䝁䄸督湁䍁䅅䅊䑂䍁䅑䅎䅁䥁䙧䅁畂䅁䅁睊扂䕁䄰兓時䕁䅍睢瑂䡁䅁兙畂䡁䅫睘䱂䝁䅕入呂䡁䅑兙あ䡁䅍睘㉂䑁䅅兌䑂䝁䄸䅣㕂䍁䄴䅥獂䡁䅍兢摂䙁䅉兙あ䝁䅫睢穂䍁䅣光歁䕁䅍䅊㕁䑁䅯䅊䑂䍁䅑免ㅁ䑁䅁䅁䭃兂䅁条䅁䍁䅣睗乂䕁䅫睘䑂䝁䄸兢睂䝁䅅杢㕂䙁䄸睓求䡁䅫睕あ䝁䅅䅤穂䙁䄸杤硁䍁䄰睑療䡁䅁入畁䡁䅧䅢穂䝁䄰兘卂䝁䅅䅤灂䝁䄸督湁䍁䅅䅊䕂䍁䅑䅎㙁䍁䅑兓歁䑁䅑䅁䩃兂䅁条䅁䍁䅣睗乂䕁䅫睘䑂䝁䄸兢睂䝁䅅杢㕂䙁䄸睓求䡁䅫睕あ䝁䅅䅤穂䙁䄸杤硁䍁䄰睑療䡁䅁入畁䡁䅧䅢穂䝁䄰兘卂䝁䅅䅤灂䝁䄸督湁䍁䅅䅊䕂䍁䅑兎㙁䍁䅑兓歁䑁䅕䅁䱃兂䅁䅢䅁䍁䅣睗乂䕁䅫睘䑂䝁䄸兢睂䝁䅅杢㕂䙁䄸睓求䡁䅫睕あ䝁䅅䅤穂䙁䄸杤硁䍁䄰睑療䡁䅁入畁䡁䅧䅢穂䝁䄰兘呂䡁䅕䅣睂䝁䅷党瑂䝁䅕杢あ䝁䅅䅢湁䍁䅅䅊䑂䍁䅑䅎䅁䥁䙷䅁㙂䅁䅁睊扂䕁䄰兓時䕁䅍睢瑂䡁䅁兙畂䡁䅫睘䱂䝁䅕入呂䡁䅑兙あ䡁䅍睘㉂䑁䅅兌䑂䝁䄸䅣㕂䍁䄴䅥獂䡁䅍兢摂䙁䅍兤睂䡁䅁䅢求䝁䄰党畂䡁䅑兙獂䍁䅣光歁䕁䅍䅊㕁䑁䅯䅊䑂䍁䅑免㉁䑁䅑䅁佃兂䅁杤䅁䍁䅣睗乂䕁䅫睘䑂䝁䄸兢睂䝁䅅杢㕂䙁䄸睓求䡁䅫睕あ䝁䅅䅤穂䙁䄸杤硁䍁䄰睑療䡁䅁入畁䡁䅧䅢穂䝁䄰兘呂䡁䅕䅣睂䝁䅷党瑂䝁䅕杢あ䝁䅅䅢湁䍁䅅䅊䕂䍁䅑䅎㙁䍁䅑兓歁䑁䅑䅁乃兂䅁杤䅁䍁䅣睗乂䕁䅫睘䑂䝁䄸兢睂䝁䅅杢㕂䙁䄸睓求䡁䅫睕あ䝁䅅䅤穂䙁䄸杤硁䍁䄰睑療䡁䅁入畁䡁䅧䅢穂䝁䄰兘呂䡁䅕䅣睂䝁䅷党瑂䝁䅕杢あ䝁䅅䅢湁䍁䅅䅊䕂䍁䅑兎㙁䍁䅑兓歁䑁䅕䅁偃兂䅁杣䅁䍁䅣睗乂䕁䅫睘䑂䝁䄸兢睂䝁䅅杢㕂䙁䄸睓求䡁䅫睕あ䝁䅅䅤穂䙁䄸杤硁䍁䄴䅥獂䡁䅍兢摂䙁䅁党畂䡁䅍兡療䝁䄴兌偂䙁䅁兒䍂䍁䅣光歁䕁䅍䅊硁䑁䅅杏歁䕁䅍䅊ㅁ䑁䅣䅍䅁䵁䘴䅁楂䅁䅁睊扂䕁䄰兓時䕁䅍睢瑂䡁䅁兙畂䡁䅫睘䱂䝁䅕入呂䡁䅑兙あ䡁䅍睘㉂䑁䅅杌㑂䝁䅷督瑂䙁䄰䅕求䝁䄴督灂䝁䄸杢瑁䕁䄸䅕䙂䕁䅉睊桁䍁䅑睑歁䑁䅑䅁獁䅂䅁杙䅁䍁䅣睗乂䕁䅫睘䑂䝁䄸兢睂䝁䅅杢㕂䙁䄸睓求䡁䅫睕あ䝁䅅䅤穂䙁䄸杤硁䍁䄴䅥獂䡁䅍兢摂䙁䅁党畂䡁䅍兡療䝁䄴兌偂䙁䅁兒䍂䍁䅣光歁䕁䅍䅊㉁䅁䅁䅺䅕䡁䅁䅁湁䙁䅳兔䩂䙁䄸睑療䝁䄰䅣桂䝁䄴入時䕁䅳党㕂䙁䅍䅤桂䡁䅑督時䡁䅙免畁䡁䅧䅢穂䝁䄰兘兂䝁䅕杢穂䝁䅫睢畂䍁䄰睔兂䕁䅕村湁䍁䅅䅊䑂䍁䅑兏㙁䍁䅑睑歁䑁䅕李㑁䅁䅁杌䅑䝁䅷䅁湁䙁䅳兔䩂䙁䄸睑療䝁䄰䅣桂䝁䄴入時䕁䅳党㕂䙁䅍䅤桂䡁䅑督時䡁䅙免畁䡁䅧䅢穂䝁䄰兘兂䝁䅕杢穂䝁䅫睢畂䍁䄰睔兂䕁䅕村湁䍁䅅䅊䕂䍁䅑䅎㙁䍁䅑兓歁䑁䅑䅁瑁䅂䅁䅢䅁䍁䅣睗乂䕁䅫睘䑂䝁䄸兢睂䝁䅅杢㕂䙁䄸睓求䡁䅫睕あ䝁䅅䅤穂䙁䄸杤硁䍁䄴䅥獂䡁䅍兢摂䙁䅁党畂䡁䅍兡療䝁䄴兌偂䙁䅁兒䍂䍁䅣光歁䕁䅑䅊ㅁ䑁䅯䅊䩂䍁䅑兎䅁䍁䔸䅁獂䅁䅁睊扂䕁䄰兓時䕁䅍睢瑂䡁䅁兙畂䡁䅫睘䱂䝁䅕入呂䡁䅑兙あ䡁䅍睘㉂䑁䅅杌㑂䝁䅷督瑂䙁䄰䅕求䝁䄴督灂䝁䄸杢瑁䕁䄸䅕䙂䕁䅉睊桁䍁䅑䅒歁䑁䅙杏歁䕁䅫䅊㉁䅁䅁兺䅕䝁䅷䅁湁䙁䅳兔䩂䙁䄸睑療䝁䄰䅣桂䝁䄴入時䕁䅳党㕂䙁䅍䅤桂䡁䅑督時䡁䅙免畁䡁䅧䅢穂䝁䄰兘兂䝁䅕杢穂䝁䅫睢畂䍁䄰睔兂䕁䅕村湁䍁䅅䅊䕂䍁䅑睎㙁䍁䅑兓歁䑁䅣䅁偄兂䅁䅚䅁䍁䅣睗乂䕁䅫睘䑂䝁䄸兢睂䝁䅅杢㕂䙁䄸睓求䡁䅫睕あ䝁䅅䅤穂䙁䄸杤硁䙁䄸杌㑂䝁䅷督瑂䙁䄰䅕求䝁䄴督灂䝁䄸杢瑁䕁䄸䅕䙂䕁䅉睊桁䍁䅑睑歁䑁䅑䅁䉁兂䅁杣䅁䍁䅣睗乂䕁䅫睘䑂䝁䄸兢睂䝁䅅杢㕂䙁䄸睓求䡁䅫睕あ䝁䅅䅤穂䙁䄸杤硁䙁䄸杌㑂䝁䅷督瑂䙁䄰䅕求䝁䄴督灂䝁䄸杢瑁䕁䄸䅕䙂䕁䅉睊桁䍁䅑睑歁䑁䅫杏歁䕁䅍䅊ㅁ䑁䅙䅏䅁䅁䙍䅁畂䅁䅁睊扂䕁䄰兓時䕁䅍睢瑂䡁䅁兙畂䡁䅫睘䱂䝁䅕入呂䡁䅑兙あ䡁䅍睘㉂䑁䅅睘畁䡁䅧䅢穂䝁䄰兘兂䝁䅕杢穂䝁䅫睢畂䍁䄰睔兂䕁䅕村湁䍁䅅䅊䕂䍁䅑䅎㙁䍁䅑兓歁䑁䅑䅁䍁兂䅁杢䅁䍁䅣睗乂䕁䅫睘䑂䝁䄸兢睂䝁䅅杢㕂䙁䄸睓求䡁䅫睕あ䝁䅅䅤穂䙁䄸杤硁䙁䄸杌㑂䝁䅷督瑂䙁䄰䅕求䝁䄴督灂䝁䄸杢瑁䕁䄸䅕䙂䕁䅉睊桁䍁䅑䅒歁䑁䅕杏歁䕁䅫䅊ㅁ䅁䅁䅂䅕䙁䅉䅁湁䙁䅳兔䩂䙁䄸睓求䡁䅫睕あ䝁䅅䅤穂䙁䄸杤硁䍁䄴䅥獂䡁䅍兢摂䙁䅁党畂䡁䅍兡療䝁䄴兌偂䙁䅁兒䍂䍁䅣光歁䕁䅍䅊ぁ䅁䅁䅴䅍䝁䅁䅁湁䙁䅳兔䩂䙁䄸睓求䡁䅫睕あ䝁䅅䅤穂䙁䄸杤硁䍁䄴䅥獂䡁䅍兢摂䙁䅁党畂䡁䅍兡療䝁䄴兌偂䙁䅁兒䍂䍁䅣光歁䕁䅍䅊㕁䑁䅯䅊䑂䍁䅑兎㉁䑁䅧䅁㉃睁䅁䅙䅁䍁䅣睗乂䕁䅫睘䱂䝁䅕入呂䡁䅑兙あ䡁䅍睘㉂䑁䅅杌㑂䝁䅷督瑂䙁䄰䅕求䝁䄴督灂䝁䄸杢瑁䕁䄸䅕䙂䕁䅉睊桁䍁䅑睑歁䑁䅫杏歁䕁䅍䅊ㅁ䑁䅙兏䅁䵁䑳䅁捂䅁䅁睊扂䕁䄰兓時䕁䅳党㕂䙁䅍䅤桂䡁䅑督時䡁䅙免畁䡁䅧䅢穂䝁䄰兘兂䝁䅕杢穂䝁䅫睢畂䍁䄰睔兂䕁䅕村湁䍁䅅䅊䕂䍁䅑䅎㙁䍁䅑兓歁䑁䅑䅁ㅃ睁䅁䅘䅁䍁䅣睗乂䕁䅫睘䱂䝁䅕入呂䡁䅑兙あ䡁䅍睘㉂䑁䅅杌㑂䝁䅷督瑂䙁䄰䅕求䝁䄴督灂䝁䄸杢瑁䕁䄸䅕䙂䕁䅉睊桁䍁䅑䅒歁䑁䅕杏歁䕁䅫䅊ㅁ䅁䅁睴䅍䡁䅑䅁湁䙁䅳睕兂䕁䅣睘䑂䝁䄸兢睂䝁䅅杢㕂䙁䄸睓求䡁䅫睕あ䝁䅅䅤穂䙁䄸杤硁䍁䄴䅥獂䡁䅍兢摂䙁䅁党畂䡁䅍兡療䝁䄴兌偂䙁䅁兒䍂䍁䅣光歁䕁䅍䅊硁䑁䅅杏歁䕁䅍䅊ㅁ䑁䅣䅍䅁䅁䜴䅁歂䅁䅁睊扂䙁䅍䅕䡂䙁䄸睑療䝁䄰䅣桂䝁䄴入時䕁䅳党㕂䙁䅍䅤桂䡁䅑督時䡁䅙免畁䡁䅧䅢穂䝁䄰兘兂䝁䅕杢穂䝁䅫睢畂䍁䄰睔兂䕁䅕村湁䍁䅅䅊䑂䍁䅑李䅁䅁䝷䅁畂䅁䅁睊扂䙁䅍䅕䡂䙁䄸睑療䝁䄰䅣桂䝁䄴入時䕁䅳党㕂䙁䅍䅤桂䡁䅑督時䡁䅙免畁䡁䅧䅢穂䝁䄰兘兂䝁䅕杢穂䝁䅫睢畂䍁䄰睔兂䕁䅕村湁䍁䅅䅊䕂䍁䅑李㙁䍁䅑兓歁䑁䅙䅁乁杂䅁杢䅁䍁䅣睗呂䙁䅁睒時䕁䅍睢瑂䡁䅁兙畂䡁䅫睘䱂䝁䅕入呂䡁䅑兙あ䡁䅍睘㉂䑁䅅杌㑂䝁䅷督瑂䙁䄰䅕求䝁䄴督灂䝁䄸杢瑁䕁䄸䅕䙂䕁䅉睊桁䍁䅑䅒歁䑁䅣杏歁䕁䅫䅊㍁䅁䅁睄䅙䉁䅙䅁睁䑁䅍睌祁䑁䅫睌祁䑁䅁免㕁䅁䅁睘䅁䉁䅙䅁睁䑁䅫睌硁䑁䅕睌祁䑁䅁杍睁䅁䅁兯䅕䉁䅙䅁睁䑁䅫睌硁䑁䅙睌祁䑁䅁杍睁䅁䅁睯䅕䉁䅙䅁睁䑁䅫睌硁䑁䅣睌祁䑁䅁杍睁䅁䅁睰䅕䉁䅙䅁睁䑁䅫睌硁䑁䅧睌祁䑁䅁杍睁䅁䅁共䅕䉁䅙䅁睁䑁䅫睌祁䑁䅅睌祁䑁䅁杍睁䅁䅁兰䅕䅁䄴䅁祁䑁䅙䅏㉁䑁䅅䅏䅁䱁䍷䅁佁䅁䅁杍㍁䑁䅅䅎㉁䑁䅧䅁敁䅁䅁杇䅁䑁䅷材睁䑁䅍睌祁䑁䅫睌祁䑁䅁免㕁䅁䅁䅙䅁䉁䅯䅁㡁䑁䄴䅍㕁䍁䄸免ㅁ䍁䄸杍睁䑁䅉䅍䅁䭁䙁䅁慁䅁䅁䅐⭁䑁䅁兏癁䑁䅅李癁䑁䅉䅍祁䑁䅁䅁楃兂䅁杇䅁䑁䅷材睁䑁䅫睌硁䑁䅣睌祁䑁䅁杍睁䅁䅁杰䅕䉁䅯䅁㡁䑁䄴䅍㕁䍁䄸免㑁䍁䄸杍睁䑁䅉䅍䅁䭁䙧䅁慁䅁䅁䅐⭁䑁䅁兏癁䑁䅉免癁䑁䅉䅍祁䑁䅁䅁歃兂䅁䅔䅁䕁䅅睙橂䝁䄸兤畂䡁䅑督杁䙁䅉党橂䝁䅕兡㉂䝁䅅杙獂䝁䅕䅌杁䑁䅅䅉婂䡁䅉杌杁䕁䅣杣療䡁䅣䅤潂䍁䅁䅋汁䍁䅫䅁杁杁䅁䅓䅁䕁䅅睙橂䝁䄸兤畂䡁䅑督杁䙁䅉党橂䝁䅕兡㉂䝁䅅杙獂䝁䅕䅌杁䑁䅉䅉婂䡁䅉杌杁䕁䅍兑䡂䙁䅉䅉潁䍁䅕克䅁䕁䍑䅁䥂䅁䅁兑橂䝁䅍睢ㅂ䝁䄴䅤穂䍁䅁杕求䝁䅍党灂䡁䅙兙楂䝁䅷党獁䍁䅁睍杁䙁䅫杣畁䍁䅁睑䉂䕁䅣杕杁䍁䅧兊灁䅁䅁条䅉䕁䅧䅁䉂䝁䅍睙療䡁䅕杢あ䡁䅍䅉卂䝁䅕睙求䝁䅫杤桂䝁䅉䅢求䍁䅷䅉ㅁ䍁䅁兗祂䍁䄴䅉䑂䕁䅅睒卂䍁䅁䅋汁䍁䅫䅁䵃杁䅁䅤䅁䕁䅅䅚歂䝁䅫䅤灂䝁䄸杢穂䍁䅁村桂䡁䅍党歂䍁䅁睢畂䍁䅁䅖桂䡁䅧䅉兂䝁䄸督灂䡁䅑兡療䝁䄴督杁䍁䄰䅉䑂䡁䅕杣祂䝁䅕杢あ䍁䅁兗祂䍁䄴䅉潁䙁䅉党睂䝁䄸杣あ䝁䅕䅚灁䅁䅁睂䅍䝁䅙䅁䉂䝁䅑䅚灂䡁䅑兡療䝁䄴督杁䝁䅙睢祂䍁䅁䅖桂䡁䅧䅉兂䝁䄸督灂䡁䅑兡療䝁䄴督杁䍁䄰䅉兂䡁䅉兡療䡁䅉䅉婂䡁䅉督杁䍁䅧杕求䡁䅁睢祂䡁䅑党歂䍁䅫䅁䱁睁䅁䅏䅁䕁䅅䅚煂䡁䅕督あ䝁䄰党畂䡁䅑督癁䍁䅁䅖療䡁䅑兙獂䍁䅁䅒求䝁䅉䅤杁䍁䅧兊灁䅁䅁睁䅅䙁䅷䅁䉂䝁䄰睢祂䡁䅑杌杁䝁䄸杚杁䕁䅣睢療䝁䅑睤灂䝁䅷䅢杁䝁䅅杢歂䍁䅁兓畂䡁䅑兙畂䝁䅣兡楂䝁䅷党穂䍁䅁䅋卂䝁䅕䅣療䡁䅉䅤求䝁䅑克䅁䱁䅅䅁㡁䅁䅁兑㉂䝁䅕杣桂䝁䅣党杁䕁䅫杢あ䝁䅕杣求䡁䅍䅤杁䙁䅉兙あ䝁䅕䅉牁䍁䅁免杁䍁䅧兊灁䅁䅁朶䅅䑁䅷䅁䉂䡁䅙党祂䝁䅅睚求䍁䅁兓畂䡁䅑党祂䝁䅕督あ䍁䅁杕桂䡁䅑党杁䍁䅳䅉祁䍁䅁䅋汁䍁䅫䅁畄允䅁䅐䅁䕁䅅杤求䡁䅉兙湂䝁䅕䅉䩂䝁䄴䅤求䡁䅉党穂䡁䅑䅉卂䝁䅅䅤求䍁䅁睋杁䑁䅍䅉潁䍁䅕克䅁佁䉷䅁㡁䅁䅁兑㉂䝁䅕杣桂䝁䅣党杁䕁䅫杢あ䝁䅕杣求䡁䅍䅤杁䙁䅉兙あ䝁䅕䅉牁䍁䅁䅎杁䍁䅧兊灁䅁䅁朵䅅䑁䅷䅁䉂䡁䅙党祂䝁䅅睚求䍁䅁兓畂䡁䅑党祂䝁䅕督あ䍁䅁杕桂䡁䅑党杁䍁䅳䅉ㅁ䍁䅁䅋汁䍁䅫䅁睄允䅁杔䅁䕁䅅杤求䡁䅉兙湂䝁䅕䅉䩂䝁䄴䅤求䡁䅉党穂䡁䅑䅉卂䝁䅅䅤求䍁䅷䅉䉂䝁䅙䅤求䡁䅉䅉ㅁ䍁䅁兗祂䡁䅍䅉潁䍁䅕克䅁佁䉑䅁獁䅁䅁睑䩂䙁䅅䅉䑂䝁䅅䅢橂䡁䅕䅢桂䡁䅑兡療䝁䄴䅉啂䡁䅫䅣求䍁䅁䅁瑁睁䅁䅌䅁䕁䅍兓剂䍁䅁杕求䡁䅍䅤桂䡁䅑党瑂䝁䅕杢あ䍁䅁䅖㕂䡁䅁党杁䅁䅁睋䅍䑁䅙䅁䑂䕁䅫兕杁䙁䅉党㉂䝁䅕杢ㅂ䝁䅕䅉䙂䡁䅍䅤杁䍁䅧杕求䡁䅁睢祂䡁䅑党歂䍁䅫䅁⭁䅁䅁䅕䅁䕁䅍兓剂䍁䅁杕求䡁䅙党畂䡁䅕党杁䕁䅕督あ䍁䅁䅕求䡁䅉兡療䝁䅑䅉䙂䝁䄴䅚杁䍁䅧兢瑂䍁䄸䅚歂䍁䄸入㕂䡁䅫入灁䅁䅁䅓䅁䕁䅯䅁䑂䝁䅅䅣畁䍁䅁䅔求䝁䅅督求䍁䅁䅕桂䡁䅫兢求䝁䄴䅤杁䕁䅑兤求䍁䅁睋硁䍁䅁䅋卂䝁䅕䅣療䡁䅉䅤求䝁䅑克䅁䭁䉯䅁䭂䅁䅁睑桂䡁䅁杌杁䕁䅷党桂䡁䅍党杁䙁䅁兙㕂䝁䄰党畂䡁䅑䅉䕂䡁䅕党杁䍁䅳杍杁䍁䅧杕求䡁䅁睢祂䡁䅑党歂䍁䅫䅁獃允䅁杓䅁䕁䅍兙睂䍁䄴䅉䵂䝁䅕兙穂䝁䅕䅉兂䝁䅅入瑂䝁䅕杢あ䍁䅁䅒ㅂ䝁䅕䅉牁䑁䅍䅉潁䙁䅉党睂䝁䄸杣あ䝁䅕䅚灁䅁䅁杲䅅䕁䅯䅁䑂䝁䅅䅣畁䍁䅁䅔求䝁䅅督求䍁䅁䅕桂䡁䅫兢求䝁䄴䅤杁䕁䅑兤求䍁䅁睋ぁ䍁䅁䅋卂䝁䅕䅣療䡁䅉䅤求䝁䅑克䅁䱁䉑䅁䭂䅁䅁睑桂䡁䅁杌杁䕁䅷党桂䡁䅍党杁䙁䅁兙㕂䝁䄰党畂䡁䅑䅉䕂䡁䅕党杁䍁䅳兎杁䍁䅧杕求䡁䅁睢祂䡁䅑党歂䍁䅫䅁睃允䅁杘䅁䕁䅍兙睂䍁䄴䅉䵂䝁䅕兙穂䝁䅕䅉兂䝁䅅入瑂䝁䅕杢あ䍁䅁䅒ㅂ䝁䅕䅌杁䕁䅅杚あ䝁䅕杣杁䑁䅕䅉婂䡁䅉督杁䍁䅧杕求䡁䅁睢祂䡁䅑党歂䍁䅫䅁祃允䅁䅘䅁䕁䅍兙睂䍁䄴䅉䵂䝁䅕兙穂䝁䅕䅉兂䝁䅅入瑂䝁䅕杢あ䍁䅁䅒ㅂ䝁䅕䅌杁䕁䄴党㑂䡁䅑䅉ㅁ䍁䅁兗祂䡁䅍䅉潁䙁䅉党睂䝁䄸杣あ䝁䅕䅚灁䅁䅁杴䅅䑁䅧䅁䑂䝁䅅䅣畁䍁䅁䅔求䝁䅅督求䡁䅍睌杁䙁䅑睢あ䝁䅅䅢杁䕁䅑党楂䡁䅑䅉潁䍁䅕克䅁偁䅳䅁佂䅁䅁睑桂䡁䅁兡あ䝁䅅䅢杁䕁䅕䅥睂䝁䅕杢歂䝁䅫䅤ㅂ䡁䅉党穂䍁䅷䅉硁䍁䅁兗祂䍁䄴䅉䡂䡁䅉睢㍂䡁䅑䅡杁䍁䅧兊灁䅁䅁䅎䅉䕁䅯䅁䑂䝁䅅䅣灂䡁䅑兙獂䍁䅁兒㑂䡁䅁党畂䝁䅑兡あ䡁䅕杣求䡁䅍䅌杁䑁䅉䅉婂䡁䅉杌杁䕁䅍兑䡂䙁䅉䅉潁䍁䅕克䅁䕁䍁䅁䭂䅁䅁睑桂䡁䅁兡あ䝁䅅䅢杁䕁䅕䅥睂䝁䅕杢歂䝁䅫䅤ㅂ䡁䅉党穂䍁䅷䅉穁䍁䅁兗祂䍁䄴䅉䑂䕁䅅睒卂䍁䅁䅋汁䍁䅫䅁䍃杁䅁杓䅁䕁䅍兙睂䝁䅫䅤桂䝁䅷䅉䙂䡁䅧䅣求䝁䄴䅚灂䡁䅑兤祂䝁䅕督獁䍁䅁兎杁䙁䅫杣畁䍁䅁睑䉂䕁䅣杕杁䍁䅧兊灁䅁䅁䅱䅉䝁䄴䅁䑂䝁䅅䅣灂䡁䅑兙獂䍁䅁䅔療䡁䅍督杁䕁䅍兙祂䡁䅉入浂䝁䄸杣㍂䝁䅅杣歂䍁䅷䅉䉂䝁䅙䅤求䡁䅉䅉䝂䝁䅫杤求䍁䅁兗求䝁䅅杣穂䍁䅁䅋卂䝁䅕䅣療䡁䅉䅤求䝁䅑克䅁乁䍫䅁浂䅁䅁睑桂䡁䅁兡あ䝁䅅䅢杁䕁䅷睢穂䡁䅍䅉䑂䝁䅅杣祂䡁䅫杚療䡁䅉睤桂䡁䅉䅚獁䍁䅁睑ㅂ䡁䅉杣求䝁䄴䅤杁䙁䅫党桂䡁䅉䅉潁䙁䅉党睂䝁䄸杣あ䝁䅕䅚灁䅁䅁儳䅉䝁䄴䅁䑂䝁䅅䅣灂䡁䅑兙獂䍁䅁䅔療䡁䅍督杁䕁䅍兙祂䡁䅉入浂䝁䄸杣㍂䝁䅅杣歂䍁䅷䅉䑂䡁䅕杣祂䝁䅕杢あ䍁䅁兗求䝁䅅杣杁䍁䅳䅉硁䍁䅁䅋卂䝁䅕䅣療䡁䅉䅤求䝁䅑克䅁乁䌸䅁畂䅁䅁睑桂䡁䅁兡あ䝁䅅䅢杁䕁䅷睢穂䡁䅍䅉䑂䝁䅅杣祂䡁䅫杚療䡁䅉睤桂䡁䅉䅚獁䍁䅁睑ㅂ䡁䅉杣求䝁䄴䅤杁䙁䅫党桂䡁䅉䅉牁䍁䅁杍杁䍁䅧杕求䡁䅁睢祂䡁䅑党歂䍁䅫䅁桄杁䅁杢䅁䕁䅍兙睂䝁䅫䅤桂䝁䅷䅉䵂䝁䄸督穂䍁䅁睑桂䡁䅉杣㕂䝁䅙睢祂䡁䅣兙祂䝁䅑䅌杁䕁䅍兤祂䡁䅉党畂䡁䅑䅉婂䝁䅕兙祂䍁䅁睋杁䑁䅍䅉潁䙁䅉党睂䝁䄸杣あ䝁䅕䅚灁䅁䅁眴䅉䝁䄴䅁䑂䝁䅅䅣灂䡁䅑兙獂䍁䅁䅔療䡁䅍督杁䕁䅍兙祂䡁䅉入浂䝁䄸杣㍂䝁䅅杣歂䍁䅷䅉䑂䡁䅕杣祂䝁䅕杢あ䍁䅁兗求䝁䅅杣杁䍁䅳䅉ぁ䍁䅁䅋卂䝁䅕䅣療䡁䅉䅤求䝁䅑克䅁佁䍕䅁潂䅁䅁睑桂䡁䅁兡あ䝁䅅䅢杁䕁䅷睢穂䡁䅍䅉䑂䝁䅅杣祂䡁䅫杚療䡁䅉睤桂䡁䅉䅚獁䍁䅁杔療䍁䅁兒㑂䡁䅁兡祂䝁䅅䅤灂䝁䄸杢杁䍁䅧杕求䡁䅁睢祂䡁䅑党歂䍁䅫䅁瑄杁䅁杓䅁䕁䅍兙穂䝁䅧䅉流䍁䅁睕潂䝁䄸杣あ䍁䅁䅖求䡁䅉兢杁䕁䅫杢㉂䝁䅕督あ䝁䄰党畂䡁䅑督杁䍁䅧䅊睁䑁䅁䅍灁䅁䅁䅢䅁䙁䅉䅁䑂䝁䅅督潂䍁䅁杊杁䙁䅍䅡療䡁䅉䅤杁䙁䅑党祂䝁䄰䅉䩂䝁䄴杤求䡁䅍䅤瑂䝁䅕杢あ䡁䅍䅉潁䙁䅉党睂䝁䄸杣あ䝁䅕䅚灁䅁䅁兆䅁䕁䄴䅁䑂䝁䅅督潂䍁䅁杒祂䝁䄸兢杁䕁䄸䅣求䡁䅉兙あ䝁䅫睢畂䡁䅍䅌杁䑁䅅䅉婂䡁䅉杌杁䕁䅣杣療䡁䅣䅤潂䍁䅁䅋汁䍁䅫䅁祁杁䅁杓䅁䕁䅍兙穂䝁䅧䅉䝂䡁䅉睢瑂䍁䅁睔睂䝁䅕杣桂䡁䅑兡療䝁䄴督獁䍁䅁杍杁䙁䅫杣畁䍁䅁睑䉂䕁䅣杕杁䍁䅧兊灁䅁䅁䅘䅉䕁䅯䅁䑂䝁䅅督潂䍁䅁杒祂䝁䄸兢杁䕁䄸䅣求䡁䅉兙あ䝁䅫睢畂䡁䅍䅌杁䑁䅍䅉婂䡁䅉杌杁䕁䅍兑䡂䙁䅉䅉潁䍁䅕克䅁䥁䍁䅁䭂䅁䅁睑桂䡁䅍䅡杁䕁䅙杣療䝁䄰䅉偂䡁䅁党祂䝁䅅䅤灂䝁䄸杢穂䍁䅷䅉ㅁ䍁䅁兗祂䍁䄴䅉䑂䕁䅅睒卂䍁䅁䅋汁䍁䅫䅁浃杁䅁来䅁䕁䅍䅡桂䝁䄴睚求䡁䅍䅉灂䝁䄴䅉噂䝁䄴杣求䝁䅍睢湂䍁䄴䅉啂䝁䅅䅥杁䕁䅉党畂䝁䅕杚灂䡁䅑䅉㍂䍁䄸兡畂䍁䅁免杁䙁䅫党桂䡁䅉䅉瑁䍁䅁兔桂䡁䅧䅉潁䙁䅉党睂䝁䄸杣あ䝁䅕䅚灁䅁䅁儸䅉䡁䅯䅁䑂䝁䅧兙畂䝁䅣党穂䍁䅁兡畂䍁䅁兖畂䡁䅉党橂䝁䄸睚畁䍁䅁䅖桂䡁䅧䅉䍂䝁䅕杢求䝁䅙兡あ䍁䅁睤癁䝁䅫杢杁䑁䅅䅉婂䝁䅕兙祂䍁䅁兌杁䕁䄰兡畂䍁䅁䅋卂䝁䅕䅣療䡁䅉䅤求䝁䅑克䅁䉁䑣䅁䅂䅁䅁睑療䝁䄰兢療䝁䄴䅉䙂䡁䅅兤灂䡁䅑入獁䍁䅁免杁䙁䅫杣畁䍁䅁睒祂䝁䄸睤あ䝁䅧䅉潁䍁䅕克䅁䑁䍁䅁㡁䅁䅁睑療䝁䄰兢療䝁䄴䅉䙂䡁䅅兤灂䡁䅑入獁䍁䅁杍杁䙁䅫杣畁䍁䅁睑䉂䕁䅣杕杁䍁䅧兊灁䅁䅁杗䅉䑁䅷䅁䑂䝁䄸兢瑂䝁䄸杢杁䕁䅕兣ㅂ䝁䅫䅤㕂䍁䅷䅉穁䍁䅁兗祂䍁䄴䅉䑂䕁䅅睒卂䍁䅁䅋汁䍁䅫䅁⭂杁䅁䅐䅁䕁䅍睢瑂䝁䄰睢畂䍁䅁兒硂䡁䅕兡あ䡁䅫䅌杁䑁䅕䅉婂䡁䅉杌杁䕁䅍兑䡂䙁䅉䅉潁䍁䅕克䅁䭁䍑䅁坂䅁䅁睑療䝁䄴䅤祂䝁䅅睙あ䡁䅕兙獂䍁䅁睔楂䝁䅷兡湂䝁䅅䅤灂䝁䄸杢穂䍁䅁䅒ㅂ䝁䅕䅉牁䍁䅁杍杁䍁䅧杕求䡁䅁睢祂䡁䅑党歂䍁䅫䅁坄允䅁杖䅁䕁䅍睢畂䡁䅑杣桂䝁䅍䅤ㅂ䝁䅅䅢杁䕁䄸杙獂䝁䅫睚桂䡁䅑兡療䝁䄴督杁䕁䅑兤求䍁䅁睋杁䑁䅍䅉潁䙁䅉党睂䝁䄸杣あ䝁䅕䅚灁䅁䅁䄲䅅䙁䅙䅁䑂䝁䄸杢あ䡁䅉兙橂䡁䅑兤桂䝁䅷䅉偂䝁䅉䅢灂䝁䅣兙あ䝁䅫睢畂䡁䅍䅉䕂䡁䅕党杁䍁䅳䅉ぁ䍁䅁䅋卂䝁䅕䅣療䡁䅉䅤求䝁䅑克䅁乁䉯䅁坂䅁䅁睑療䝁䄴䅤祂䝁䅅睙あ䡁䅕兙獂䍁䅁睔楂䝁䅷兡湂䝁䅅䅤灂䝁䄸杢穂䍁䅁䅒ㅂ䝁䅕䅉牁䍁䅁兎杁䍁䅧杕求䡁䅁睢祂䡁䅑党歂䍁䅫䅁捄允䅁䅖䅁䕁䅍睢畂䡁䅑杣桂䝁䅍䅤ㅂ䝁䅅䅢杁䕁䄸杙獂䝁䅫睚桂䡁䅑兡療䝁䄴督杁䕁䅑兤求䍁䅁睋硁䍁䅁䅋卂䝁䅕䅣療䡁䅉䅤求䝁䅑克䅁乁䉑䅁潂䅁䅁睑療䝁䄴䅤祂䝁䅅睙あ䡁䅕兙獂䍁䅁睔楂䝁䅷兡湂䝁䅅䅤灂䝁䄸杢穂䍁䅁䅒ㅂ䝁䅕䅌杁䕁䅅杚あ䝁䅕杣杁䑁䅕䅉婂䡁䅉督杁䍁䅧杕求䡁䅁睢祂䡁䅑党歂䍁䅫䅁杄允䅁杚䅁䕁䅍睢畂䡁䅑杣桂䝁䅍䅤ㅂ䝁䅅䅢杁䕁䄸杙獂䝁䅫睚桂䡁䅑兡療䝁䄴督杁䕁䅑兤求䍁䅷䅉佂䝁䅕䅥あ䍁䅁兎杁䙁䅫杣穂䍁䅁䅋卂䝁䅕䅣療䡁䅉䅤求䝁䅑克䅁乁䈴䅁䥂䅁䅁睑療䝁䄴杤求䡁䅉䅤灂䝁䅉䅢求䍁䅁䅒求䝁䅉䅤杁䍁䄰䅉啂䝁䄸䅤桂䝁䅷䅉潁䙁䅉党睂䝁䄸杣あ䝁䅕䅚灁䅁䅁先䅅䝁䅧䅁䑂䡁䅕杣祂䍁䄴䅉兂䝁䄸杣あ䍁䄴䅉療䝁䅙䅉䵂䙁䅑䅉䕂䝁䅕杙あ䍁䅁杊杁䕁䅍兙睂䍁䅁䅔求䝁䅅督求䡁䅍睌杁䙁䅑睢あ䝁䅅䅢杁䕁䅑党楂䡁䅑䅉潁䍁䅕克䅁䙁䉍䅁煂䅁䅁睑ㅂ䡁䅉杣求䝁䄴䅤杁䕁䅷睢畂䝁䅣䅉啂䝁䅕杣瑂䍁䅁䅒求䝁䅉䅤杁䝁䅅杢歂䍁䅁睑桂䡁䅁兡あ䝁䅅䅢杁䕁䅷党桂䡁䅍党穂䍁䅁䅋卂䝁䅕䅣療䡁䅉䅤求䝁䅑克䅁䍁䈰䅁楁䅁䅁睑ㅂ䡁䅉杣求䝁䄴䅤癁䙁䅉党穂䡁䅑兙あ䝁䅕䅚䅁䅁䅉䅁䵂䅁䅁䅒桂䝁䅫䅢㕂䍁䅁兑㉂䝁䅕杣桂䝁䅣党杁䙁䅉党㉂䝁䅕杢ㅂ䝁䅕䅉啂䡁䅉兙歂䝁䅕督杁䍁䅧兙橂䡁䅑兤桂䝁䅷克䅁䥁䑯䅁潁䅁䅁䅒桂䡁䅫䅉䑂䝁䅷睢穂䝁䅕䅉兂䡁䅉兡橂䝁䅕䅉潁䍁䅑克䅁䝁䅅䅁㉁䅁䅁䅒桂䡁䅫䅉䑂䝁䅷睢穂䝁䅕䅉兂䡁䅉兡橂䝁䅕䅉潁䙁䅉党睂䝁䄸杣あ䝁䅕䅚灁䅁䅁睅䅁䕁䅙䅁䕂䝁䅕杚求䡁䅉杣求䝁䅑䅉䕂䝁䄸兢求䡁䅍䅤灂䝁䅍䅉啂䝁䅅䅥求䡁䅍䅉潁䙁䅉党睂䝁䄸杣あ䝁䅕䅚灁䅁䅁杪䅍䕁䅑䅁䕂䝁䅕杚求䡁䅉杣求䝁䅑䅉䝂䝁䄸杣求䝁䅫睚畂䍁䅁䅖桂䡁䅧党穂䍁䅁䅋卂䝁䅕䅣療䡁䅉䅤求䝁䅑克䅁䩁䑁䅁䍂䅁䅁䅒求䡁䅁杣求䝁䅍兡桂䡁䅑兡療䝁䄴䅉流䍁䅁兑瑂䝁䄸杣あ䍁䄴䅉潁䙁䅉党睂䝁䄸杣あ䝁䅕䅚灁䅁䅁睰䅁䙁䅧䅁䕂䝁䅫䅢ㅂ䡁䅑党歂䍁䅁兒兂䙁䅍䅉䍂䝁䅕杚療䡁䅉党杁䕁䅕䅥あ䡁䅉兙獁䍁䅁免杁䙁䅫党桂䡁䅉䅉䡂䡁䅉睢㍂䡁䅑䅡杁䍁䅧兊灁䅁䅁䅚䅁䙁䅉䅁䕂䝁䅫䅢ㅂ䡁䅑党歂䍁䅁兒兂䙁䅍䅉䍂䝁䅕杚療䡁䅉党杁䕁䅕䅥あ䡁䅉兙獁䍁䅁杍杁䙁䅫杣畁䍁䅁睑䉂䕁䅣杕杁䍁䅧兊灁䅁䅁䅖䅉䙁䅉䅁䕂䝁䅫䅢ㅂ䡁䅑党歂䍁䅁兒兂䙁䅍䅉䍂䝁䅕杚療䡁䅉党杁䕁䅕䅥あ䡁䅉兙獁䍁䅁睍杁䙁䅫杣畁䍁䅁睑䉂䕁䅣杕杁䍁䅧兊灁䅁䅁䅤䅉䙁䅉䅁䕂䝁䅫䅢ㅂ䡁䅑党歂䍁䅁兒兂䙁䅍䅉䍂䝁䅕杚療䡁䅉党杁䕁䅕䅥あ䡁䅉兙獁䍁䅁兎杁䙁䅫杣畁䍁䅁睑䉂䕁䅣杕杁䍁䅧兊灁䅁䅁杭䅉䕁䅑䅁䕂䝁䅫䅢ㅂ䡁䅑党歂䍁䅁兒兂䙁䅍䅉䙂䡁䅧睙獂䍁䄴䅉䙂䡁䅧䅤祂䝁䅅䅉䩂䡁䅑党瑂䡁䅍䅉潁䍁䅑克䅁䝁䅉䅁卂䅁䅁䅒灂䝁䅷兤あ䝁䅕䅚杁䕁䅕䅕呂䍁䅁兒㑂䝁䅍䅢畁䍁䅁兒㑂䡁䅑杣桂䍁䅁兓あ䝁䅕兢穂䍁䅁䅋卂䝁䅕䅣療䡁䅉䅤求䝁䅑克䅁䉁䅅䅁䭂䅁䅁䅒灂䡁䅙兡歂䝁䅕杢歂䍁䅁䅕求䡁䅉䅉呂䝁䅧兙祂䝁䅕䅌杁䑁䅅䅉婂䡁䅉杌杁䕁䅣杣療䡁䅣䅤潂䍁䅁䅋汁䍁䅫䅁㑁杁䅁䅓䅁䕁䅑兡㉂䝁䅫䅚求䝁䄴䅚杁䙁䅁党祂䍁䅁睕潂䝁䅅杣求䍁䅷䅉祁䍁䅁兗求䝁䅅杣杁䕁䅍兑䡂䙁䅉䅉潁䍁䅕克䅁䝁䍁䅁䝂䅁䅁䅒灂䡁䅙兡歂䝁䅕杢歂䍁䅁䅕求䡁䅉䅉呂䝁䅧兙祂䝁䅕䅌杁䑁䅍䅉婂䡁䅉杌杁䕁䅍兑䡂䙁䅉䅉潁䍁䅕克䅁䥁䍧䅁䝂䅁䅁䅒灂䡁䅙兡歂䝁䅕杢歂䍁䅁䅕求䡁䅉䅉呂䝁䅧兙祂䝁䅕䅌杁䑁䅕䅉婂䡁䅉杌杁䕁䅍兑䡂䙁䅉䅉潁䍁䅕克䅁䭁䌴䅁奁䅁䅁兒䍂䕁䅫䅖杁䍁䅧䅊睁䑁䅁䅍灁䅁䅁睚䅁䍁䅁䅁䙂䕁䅉兓啂䍁䅁兔桂䡁䅉睚灂䝁䄴䅉潁䍁䅕克䅁䅁䍧䅁畁䅁䅁兒䍂䕁䅫䅖獁䍁䅁免杁䙁䅫杣畁䍁䅁睒祂䝁䄸睤あ䝁䅧䅉潁䍁䅕克䅁䍁䍙䅁煁䅁䅁兒䍂䕁䅫䅖獁䍁䅁杍杁䙁䅫杣畁䍁䅁睑䉂䕁䅣杕杁䍁䅧兊灁䅁䅁䅕䅉䍁䅯䅁䙂䕁䅉兓啂䍁䅷䅉穁䍁䅁兗祂䍁䄴䅉䑂䕁䅅睒卂䍁䅁䅋汁䍁䅫䅁㉂杁䅁杋䅁䕁䅕村䩂䙁䅑䅌杁䑁䅕䅉婂䡁䅉杌杁䕁䅍兑䡂䙁䅉䅉潁䍁䅕克䅁䩁䍙䅁楁䅁䅁兒䍂䕁䅫䅖䉂䍁䅁兔桂䡁䅉睚灂䝁䄴䅉潁䍁䅕克䅁䅁䍙䅁睁䅁䅁兒䍂䕁䅫䅖䉂䍁䅷䅉硁䍁䅁兗祂䍁䄴䅉䡂䡁䅉睢㍂䡁䅑䅡杁䍁䅧兊灁䅁䅁杆䅉䍁䅷䅁䙂䕁䅉兓啂䕁䅅䅌杁䑁䅉䅉婂䡁䅉杌杁䕁䅍兑䡂䙁䅉䅉潁䍁䅕克䅁䕁䌴䅁獁䅁䅁兒䍂䕁䅫䅖䉂䍁䅷䅉穁䍁䅁兗祂䍁䄴䅉䑂䕁䅅睒卂䍁䅁䅋汁䍁䅫䅁祂杁䅁䅌䅁䕁䅕村䩂䙁䅑兑獁䍁䅁兎杁䙁䅫杣畁䍁䅁睑䉂䕁䅣杕杁䍁䅧兊灁䅁䅁杫䅉䉁䅷䅁䙂䕁䅉兓啂䕁䅑兑杁䍁䅧䅊睁䑁䅁䅍灁䅁䅁兡䅁䍁䅑䅁䙂䕁䅉兓啂䕁䅑兑杁䍁䅧杕求䡁䅁睢祂䡁䅑党歂䍁䅫䅁䭁䅁䅁䅊䅁䕁䅕村䩂䙁䅑䅒䉂䍁䅁兔桂䡁䅉睚灂䝁䄴䅉潁䍁䅕克䅁䅁䍉䅁祁䅁䅁兒䍂䕁䅫䅖䕂䕁䅅䅌杁䑁䅅䅉婂䡁䅉杌杁䕁䅣杣療䡁䅣䅤潂䍁䅁䅋汁䍁䅫䅁歁杁䅁杍䅁䕁䅕村䩂䙁䅑䅒䉂䍁䅷䅉祁䍁䅁兗求䝁䅅杣穂䍁䅁睑䉂䕁䅣杕杁䍁䅧兊灁䅁䅁䅓䅉䑁䅉䅁䙂䕁䅉兓啂䕁䅑兑獁䍁䅁睍杁䙁䅫党桂䡁䅉督杁䕁䅍兑䡂䙁䅉䅉潁䍁䅕克䅁䝁䌴䅁祁䅁䅁兒䍂䕁䅫䅖䕂䕁䅅䅌杁䑁䅕䅉婂䝁䅕兙祂䡁䅍䅉䑂䕁䅅睒卂䍁䅁䅋汁䍁䅫䅁元杁䅁杙䅁䕁䅕兙祂䝁䄴兡畂䝁䅣督杁䕁䅙杣療䝁䄰䅉䑂䝁䄸杢あ䍁䄴䅉偂䡁䅁党祂䝁䅅䅤灂䝁䄸杢穂䍁䅷䅉硁䍁䅁兗祂䍁䄴䅉䡂䡁䅉睢㍂䡁䅑䅡杁䍁䅧兊灁䅁䅁杉䅉䙁䄴䅁䙂䝁䅅杣畂䝁䅫杢湂䡁䅍䅉䝂䡁䅉睢瑂䍁䅁睑療䝁䄴䅤畁䍁䅁睔睂䝁䅕杣桂䡁䅑兡療䝁䄴督獁䍁䅁杍杁䙁䅫杣畁䍁䅁睑䉂䕁䅣杕杁䍁䅧兊灁䅁䅁杒䅉䙁䄴䅁䙂䝁䅅杣畂䝁䅫杢湂䡁䅍䅉䝂䡁䅉睢瑂䍁䅁睑療䝁䄴䅤畁䍁䅁睔睂䝁䅕杣桂䡁䅑兡療䝁䄴督獁䍁䅁睍杁䙁䅫杣畁䍁䅁睑䉂䕁䅣杕杁䍁䅧兊灁䅁䅁䅢䅉䙁䄴䅁䙂䝁䅅杣畂䝁䅫杢湂䡁䅍䅉䝂䡁䅉睢瑂䍁䅁睑療䝁䄴䅤畁䍁䅁睔睂䝁䅕杣桂䡁䅑兡療䝁䄴督獁䍁䅁兎杁䙁䅫杣畁䍁䅁睑䉂䕁䅣杕杁䍁䅧兊灁䅁䅁杪䅉䕁䅑䅁䙂䝁䅅杣畂䝁䅫杢湂䡁䅍䅉浂䡁䅉睢瑂䍁䅁睑療䝁䄴䅤杁䕁䄸䅣穂䍁䅁兔桂䡁䅉睚灂䝁䄴䅉潁䍁䅕克䅁䅁䍯䅁䅂䅁䅁兒桂䡁䅉杢灂䝁䄴睚穂䍁䅁杚祂䝁䄸兢杁䕁䅍睢畂䡁䅑杌杁䕁䄸䅣穂䍁䄴䅉潁䍁䅑䅍睁䑁䅁克䅁䝁䅯䅁䥂䅁䅁兒桂䡁䅉杢灂䝁䄴睚穂䍁䅁杚祂䝁䄸兢杁䕁䅍睢畂䡁䅑杌杁䕁䄸䅣穂䍁䄴䅉潁䙁䅉党睂䝁䄸杣あ䝁䅕䅚灁䅁䅁兄䅁䉁䅙䅁䙂䝁䄴䅤灂䡁䅑入杁䕁䅫䅒杁䅁䅁杉䅁䉁䅯䅁䙂䝁䄴䅤灂䡁䅑入杁䕁䄴兙瑂䝁䅕䅉䅁䍁䅑䅁䵂䅁䅁兒㑂䡁䅁䅢療䡁䅉兙あ䝁䅫睢畂䍁䄸䅒祂䝁䅫䅢獂䝁䅫杢湂䍁䅁睑療䡁䅍䅤穂䍁䅁䅋卂䝁䅕䅣療䡁䅉䅤求䝁䅑克䅁䭁䅫䅁䭁䅁䅁杒婂䍁䅳免䅁䑁䄰䅁䭁䅁䅁杒婂䍁䄰免䅁䉁䄸䅁䥁䅁䅁杒婂䑁䅁䅁䵁䅁䅁䅚䅁䕁䅙兙灂䡁䅉䅉坂䝁䅅䅢ㅂ䝁䅕䅉䑂䝁䅧兙畂䝁䅣党杁䕁䅫杢橂䝁䅷兤歂䝁䅕䅚杁䝁䅫杢杁䕁䅕兙祂䝁䄴兡畂䝁䅣督杁䍁䅧杕求䡁䅁睢祂䡁䅑党歂䍁䅫䅁灁睁䅁䅑䅁䕁䅙兙灂䡁䅉䅉坂䝁䅅䅢ㅂ䝁䅕䅉療䝁䅙䅉䉂䡁䅍督求䡁䅑督杁䍁䅧杕求䡁䅁睢祂䡁䅑党歂䍁䅫䅁㍄杁䅁杓䅁䕁䅙兙灂䡁䅉䅉坂䝁䅅䅢ㅂ䝁䅕䅉療䝁䅙䅉䵂䝁䅫兙楂䝁䅫䅢灂䡁䅑兡求䡁䅍䅉潁䙁䅉党睂䝁䄸杣あ䝁䅕䅚灁䅁䅁睊䅍䑁䅙䅁䝂䝁䅫䅥求䝁䅑䅉卂䝁䅅䅤求䍁䅁䅒求䝁䅉䅤杁䍁䅧杕求䡁䅁睢祂䡁䅑党歂䍁䅫䅁穁允䅁䅑䅁䕁䅙兡㑂䝁䅕䅚杁䙁䅉兙あ䝁䅕䅉䕂䝁䅕杙あ䍁䄸䅉啂䝁䄸䅤桂䝁䅷䅉䕂䝁䅕杙あ䍁䅁䅋汁䍁䅫䅁療允䅁杏䅁䕁䅣党畂䝁䅕杣桂䝁䅷睌偂䡁䅑䅡求䡁䅉䅉䍂䝁䄸杣祂䝁䄸睤灂䝁䄴睚穂䍁䅁䅋汁䍁䅫䅁硄䅁䅁䅋䅁䕁䅣杣療䡁䅍督杁䙁䅁杣療䝁䅙兡あ䍁䅁䅋歁䑁䅁䅍睁䍁䅫䅁潂䅁䅁䅍䅁䕁䅣杣療䡁䅍督杁䙁䅁杣療䝁䅙兡あ䍁䅁䅋卂䝁䅕䅣療䡁䅉䅤求䝁䅑克䅁䅁䅧䅁睁䅁䅁睒祂䝁䄸督穂䍁䅁䅕祂䝁䄸杚灂䡁䅑䅉乂䝁䅅杣湂䝁䅫杢杁䍁䅧兊灁䅁䅁末䅅䑁䄴䅁䡂䡁䅉睢穂䡁䅍䅉兂䡁䅉睢浂䝁䅫䅤獁䍁䅁免杁䙁䅫杣畁䍁䅁睒祂䝁䄸睤あ䝁䅧䅉潁䍁䅕克䅁䉁䍷䅁㙁䅁䅁睒祂䝁䄸督穂䍁䅁䅕祂䝁䄸杚灂䡁䅑䅌杁䑁䅉䅉婂䡁䅉杌杁䕁䅍兑䡂䙁䅉䅉潁䍁䅕克䅁䕁䍯䅁㙁䅁䅁睒祂䝁䄸督穂䍁䅁䅕祂䝁䄸杚灂䡁䅑䅌杁䑁䅍䅉婂䡁䅉杌杁䕁䅍兑䡂䙁䅉䅉潁䍁䅕克䅁䝁䍉䅁㙁䅁䅁睒祂䝁䄸督穂䍁䅁䅕祂䝁䄸杚灂䡁䅑䅌杁䑁䅕䅉婂䡁䅉杌杁䕁䅍兑䡂䙁䅉䅉潁䍁䅕克䅁䥁䍯䅁捂䅁䅁䅓求䝁䅑睚灂䝁䄴睚杁䝁䅅杢歂䍁䅁䅒求䡁䅉兡㉂䝁䅅䅤灂䡁䅙党杁䕁䅅䅚煂䡁䅕督あ䝁䄰党畂䡁䅑督杁䍁䅧杕求䡁䅁睢祂䡁䅑党歂䍁䅫䅁偂允䅁杄䅁䕁䅫村乂䍁䄰兖呂䅁䅁䅭䅕䑁䅧䅁䩂䙁䅅睘䉂䕁䅍睑啂䙁䄸杕䙂䕁䅍杖時䑁䅅兗卂䙁䄸兑佂䕁䄴睘䡂䙁䅉睔塂䙁䅑䅓䅁䉁䌸䅁㑁䅁䅁兓剂䙁䄸兑䑂䕁䅍䅖時䙁䅉兒䑂䙁䅙睘祁䙁䅫杕時䕁䅅杔佂䙁䄸睒卂䕁䄸睖啂䕁䅧䅁䑂杁䅁䅏䅁䕁䅫兕時䕁䅅睑䑂䙁䅑睘卂䕁䅕睑坂䙁䄸睍婂䙁䅉睘䉂䕁䄴杔時䕁䅣杕偂䙁䅣䅖䥂䅁䅁兡䅉䑁䅧䅁䩂䙁䅅睘䉂䕁䅍睑啂䙁䄸杕䙂䕁䅍杖時䑁䅕兗卂䙁䄸兑佂䕁䄴睘䡂䙁䅉睔塂䙁䅑䅓䅁䥁䍳䅁䅂䅁䅁兓剂䙁䄸兑䕂䕁䅑睘啂䕁䅅䅗時䙁䅁睔呂䕁䅫䅖䩂䕁䄸杔呂䙁䄸睑噂䙁䅉杕䙂䕁䄴䅖時䙁䅫杕䅁䅁䑙䅁⭁䅁䅁兓剂䙁䄸兑䕂䕁䅑睘啂䕁䅅䅗時䙁䅁睔呂䕁䅫䅖䩂䕁䄸杔呂䙁䄸䅕卂䕁䅫睔卂䙁䄸兗卂䙁䅍䅁䭁睁䅁杋䅁䕁䅫兕時䕁䅅睕呂䕁䅕䅖呂䙁䄸杒䉂䕁䅫杕時䙁䅙兑䵂䙁䅕兒䅁偁䍙䅁歁䅁䅁兓剂䙁䄸兑呂䙁䅍兒啂䙁䅍睘䵂䕁䅕杖䙂䕁䅷睘硁䅁䅁䅇䅍䍁䅑䅁䩂䙁䅅睘䉂䙁䅍睕䙂䙁䅑睕時䕁䅷兒坂䕁䅕䅔時䑁䅉䅁煄杁䅁䅊䅁䕁䅫兕時䕁䅅睕呂䕁䅕䅖呂䙁䄸䅔䙂䙁䅙兒䵂䙁䄸睍䅁䉁䑯䅁䥂䅁䅁兓剂䙁䄸兑呂䙁䅍兒啂䙁䅍睘佂䕁䅕䅖啂䕁䅫杔䡂䙁䄸睔啂䕁䅧兒卂䙁䄸兑䕂䕁䅯兖呂䙁䅑兔䙂䕁䄴䅖呂䅁䅁䅈䅍䉁䅯䅁䩂䙁䅅睘䍂䕁䅅杔䱂䙁䄸䅒䙂䕁䅉䅖䅁䑁䉁䅁楁䅁䅁兓剂䙁䄸村䉂䕁䄴睓時䕁䅑兒䍂䙁䅑睘兂䕁䅍䅖䅁䙁䉧䅁畁䅁䅁兓剂䙁䄸睑䉂䕁䅷睑噂䕁䅷兑啂䕁䅫睔佂䙁䄸䅖婂䙁䅁兒時䕁䅉睕䅁䍁䑷䅁睁䅁䅁兓剂䙁䄸睑䉂䙁䅁兒奂䙁䄸免婂䙁䅉睘䉂䕁䄴杔時䕁䅣杕偂䙁䅣䅖䥂䅁䅁睍䅉䑁䅁䅁䩂䙁䅅睘䑂䕁䅅䅕䙂䙁䅧睘祁䙁䅫杕時䕁䅅杔佂䙁䄸睒卂䕁䄸睖啂䕁䅧䅁⽁杁䅁䅍䅁䕁䅫兕時䕁䅍兑兂䕁䅕䅗時䑁䅍兗卂䙁䄸兑佂䕁䄴睘䡂䙁䅉睔塂䙁䅑䅓䅁䥁䍅䅁睁䅁䅁兓剂䙁䄸睑䉂䙁䅁兒奂䙁䄸兎婂䙁䅉睘䉂䕁䄴杔時䕁䅣杕偂䙁䅣䅖䥂䅁䅁睰䅉䑁䅧䅁䩂䙁䅅睘䑂䕁䅅䅕䩂䙁䅑兑䵂䙁䄸䅔䙂䕁䅅睕䙂䙁䅍睘啂䕁䄸䅖䉂䕁䅷睘兂䕁䅍䅖䅁偁䅯䅁流䅁䅁兓剂䙁䄸睑䉂䙁䅁睘䵂䕁䄸睕呂䙁䄸睑䝂䙁䄸免婂䙁䅉䅁捄杁䅁杊䅁䕁䅫兕時䕁䅍兑兂䙁䄸䅔偂䙁䅍睕時䕁䅍杒時䑁䅉兗卂䅁䅁朳䅉䍁䅙䅁䩂䙁䅅睘䑂䕁䅅䅕時䕁䅷睔呂䙁䅍睘䑂䕁䅙睘穁䙁䅫杕䅁佁䍁䅁流䅁䅁兓剂䙁䄸睑䉂䙁䅁睘䵂䕁䄸睕呂䙁䄸睑䝂䙁䄸䅎婂䙁䅉䅁楄杁䅁杊䅁䕁䅫兕時䕁䅍兑兂䙁䄸䅔偂䙁䅍睕時䕁䅍杒時䑁䅕兗卂䅁䅁䄵䅉䑁䅑䅁䩂䙁䅅睘䑂䕁䅅䅕時䕁䅷睔呂䙁䅍睘䑂䕁䅙睘䉂䕁䅙䅖䙂䙁䅉睘䝂䕁䅫杖䙂䅁䅁䄲䅉䍁䅷䅁䩂䙁䅅睘䑂䕁䅅䅕時䕁䅷睔呂䙁䅍睘䑂䕁䅙睘佂䕁䄸睘䙂䙁䅧䅕䅁佁䍷䅁煁䅁䅁兓剂䙁䄸睑䉂䙁䅁睘䵂䕁䄸睕呂䙁䄸睑䝂䙁䄸䅖偂䙁䅑兑䵂䅁䅁朷䅉䍁䅑䅁䩂䙁䅅睘䑂䕁䅅睕䥂䙁䄸睕啂䙁䄸兓佂䙁䅙兒呂䙁䅑䅁啁䅁䅁䅌䅁䕁䅫兕時䕁䅍杒偂䙁䄸免婂䙁䅉睘䉂䕁䄴杔時䕁䅣杕偂䙁䅣䅖䥂䅁䅁免䅉䍁䅷䅁䩂䙁䅅睘䑂䕁䅙睔時䑁䅉兗卂䙁䄸兑佂䕁䄴睘䡂䙁䅉睔塂䙁䅑䅓䅁䙁䍳䅁獁䅁䅁兓剂䙁䄸睑䝂䕁䄸睘穁䙁䅫杕時䕁䅅杔佂䙁䄸睒卂䕁䄸睖啂䕁䅧䅁⽂杁䅁䅌䅁䕁䅫兕時䕁䅍杒偂䙁䄸兎婂䙁䅉睘䉂䕁䄴杔時䕁䅣杕偂䙁䅣䅖䥂䅁䅁兰䅉䕁䄴䅁䩂䙁䅅睘䑂䕁䅧兑佂䕁䅣兒時䙁䅕杔卂䕁䅕睑偂䕁䅣睘啂䕁䅅䅗時䕁䅉兒佂䕁䅕杒䩂䙁䅑睘硁䙁䄸兗卂䙁䄸兔䉂䙁䅧䅁睄杁䅁杔䅁䕁䅫兕時䕁䅍䅓䉂䕁䄴睒䙂䙁䄸兖佂䙁䅉兒䑂䕁䄸睒時䙁䅑兑奂䙁䄸村䙂䕁䄴兒䝂䕁䅫䅖時䑁䅅睘婂䙁䅉睘乂䕁䅫杔䅁䉁䑙䅁煁䅁䅁兓剂䙁䄸睑䵂䙁䄸䅒噂䕁䅕睘䉂䕁䅙䅖䙂䙁䅉睘䝂䕁䅫杖䙂䅁䅁关䅅䉁䅯䅁䩂䙁䅅睘䑂䕁䅷睘䕂䙁䅕兒時䕁䅍兗䅁䭁䉫䅁捁䅁䅁兓剂䙁䄸睑䵂䙁䄸䅒噂䕁䅕睘䑂䙁䅫免䅁䭁䉳䅁捁䅁䅁兓剂䙁䄸睑䵂䙁䄸䅒噂䕁䅕睘䑂䙁䅫杍䅁䭁䈰䅁捁䅁䅁兓剂䙁䄸睑䵂䙁䄸䅒噂䕁䅕睘䑂䙁䅫睍䅁䱁䉍䅁捁䅁䅁兓剂䙁䄸睑䵂䙁䄸䅒噂䕁䅕睘䑂䙁䅫䅎䅁䭁䈸䅁潁䅁䅁兓剂䙁䄸睑䵂䙁䄸䅒噂䕁䅕睘佂䕁䅕䅗啂䙁䄸杒䩂䙁䅙兒䅁䱁䉕䅁䅂䅁䅁兓剂䙁䄸睑偂䕁䄰兔偂䕁䄴睘䙂䙁䅅兖䩂䙁䅑兗時䑁䅅兗卂䙁䄸兑佂䕁䄴睘䡂䙁䅉睔塂䙁䅑䅓䅁䍁䌸䅁䅂䅁䅁兓剂䙁䄸睑偂䕁䄰兔偂䕁䄴睘䙂䙁䅅兖䩂䙁䅑兗時䑁䅉兗卂䙁䄸兑佂䕁䄴睘䡂䙁䅉睔塂䙁䅑䅓䅁䙁䍫䅁䅂䅁䅁兓剂䙁䄸睑偂䕁䄰兔偂䕁䄴睘䙂䙁䅅兖䩂䙁䅑兗時䑁䅍兗卂䙁䄸兑佂䕁䄴睘䡂䙁䅉睔塂䙁䅑䅓䅁䡁䌰䅁䅂䅁䅁兓剂䙁䄸睑偂䕁䄰兔偂䕁䄴睘䙂䙁䅅兖䩂䙁䅑兗時䑁䅕兗卂䙁䄸兑佂䕁䄴睘䡂䙁䅉睔塂䙁䅑䅓䅁䭁䍍䅁䕂䅁䅁兓剂䙁䄸睑偂䕁䄴䅖卂䕁䅅睑啂䙁䄸睔䍂䕁䅷兓䡂䕁䅅䅖䩂䕁䄸杔時䕁䅅杒啂䕁䅕杕時䕁䅙兓坂䕁䅕䅁晄允䅁䅎䅁䕁䅫兕時䕁䅍睔佂䙁䅑杕䉂䕁䅍䅖時䕁䄸村䵂䕁䅫睒䉂䙁䅑兓偂䕁䄴睘䑂䙁䅫䅁呄允䅁李䅁䕁䅫兕時䕁䅍睔佂䙁䅑杕䉂䕁䅍䅖時䕁䄸村䵂䕁䅫睒䉂䙁䅑兓偂䕁䄴睘䑂䙁䅫免䅁乁䉕䅁㉁䅁䅁兓剂䙁䄸睑偂䕁䄴䅖卂䕁䅅睑啂䙁䄸睔䍂䕁䅷兓䡂䕁䅅䅖䩂䕁䄸杔時䕁䅍兗祁䅁䅁眱䅅䑁䅙䅁䩂䙁䅅睘䑂䕁䄸杔啂䙁䅉兑䑂䙁䅑睘偂䕁䅉䅔䩂䕁䅣兑啂䕁䅫睔佂䙁䄸睑婂䑁䅍䅁婄允䅁李䅁䕁䅫兕時䕁䅍睔佂䙁䅑杕䉂䕁䅍䅖時䕁䄸村䵂䕁䅫睒䉂䙁䅑兓偂䕁䄴睘䑂䙁䅫䅎䅁乁䉳䅁䍂䅁䅁兓剂䙁䄸睑偂䕁䄴䅖卂䕁䅅睑啂䙁䄸睔䍂䕁䅷兓䡂䕁䅅䅖䩂䕁䄸杔時䕁䄴兒奂䙁䅑睘䝂䕁䅫杖䙂䅁䅁儳䅅䉁䅙䅁䩂䙁䅅睘䑂䕁䄸杔坂䕁䅕杕啂䅁䅁䅈䅅䉁䄴䅁䩂䙁䅅睘䑂䕁䄸杔坂䕁䅕杕啂䙁䄸䅕䑂䙁䅑䅁煁允䅁䅆䅁䕁䅫兕時䕁䅍䅕時䙁䅁睑啂䅁䅁朷䅁䙁䅯䅁䩂䙁䅅睘䑂䙁䅕杕卂䕁䅕杔啂䙁䄸䅔偂䕁䄴睒時䙁䅑兒卂䕁䄰睘䕂䕁䅕村啂䙁䄸兑佂䕁䅑睘䑂䕁䅅䅕䩂䙁䅑兑䵂䙁䄸䅔䙂䕁䅅睕䙂䙁䅍䅁獁允䅁䅋䅁䕁䅫兕時䕁䅍兖卂䙁䅉兒佂䙁䅑睘兂䕁䄸杕啂䙁䄸䅕䑂䙁䅑䅁卂允䅁䅍䅁䕁䅫兕時䕁䅑兑䩂䕁䅷兗時䕁䅅杖䡂䙁䄸杕䙂䙁䅙睘啂䙁䅉兑䕂䕁䅕睕䅁䥁䑧䅁奁䅁䅁兓剂䙁䄸䅒䉂䙁䄸睕噂䙁䅁䅕䵂䅁䅁杰䅁䍁䅁䅁䩂䙁䅅睘䕂䕁䅕村啂䙁䄸兑䕂䕁䅯睘兂䕁䅍䅖䅁䅁䉉䅁歁䅁䅁兓剂䙁䄸䅒䙂䕁䅉䅖時䙁䅑睔時䕁䅕村䩂䙁䅑䅒䉂䅁䅁睥䅅䑁䅙䅁䩂䙁䅅睘䕂䕁䅕杒䙂䙁䅉杕䙂䕁䅑睘䕂䕁䄸兔䙂䙁䅍䅖䩂䕁䅍睘啂䕁䅅䅗䙂䙁䅍䅁乃睁䅁䅎䅁䕁䅫兕時䕁䅑兒䝂䕁䅕杕卂䕁䅕䅒時䕁䅙睔卂䕁䅕兓䡂䕁䄴睘啂䕁䅅䅗䙂䙁䅍䅁偃睁䅁䅎䅁䕁䅫兕時䕁䅑兓䵂䙁䅕䅖時䕁䅕䅕呂䙁䄸村䙂䕁䅙睔卂䕁䅕睘䙂䙁䅧䅖卂䕁䅅䅁允䅁䅁䅌䅁䕁䅫兕時䕁䅑䅕呂䙁䄸免婂䙁䅉睘䉂䕁䄴杔時䕁䅣杕偂䙁䅣䅖䥂䅁䅁睎䅉䍁䅷䅁䩂䙁䅅睘䕂䙁䅁睕時䑁䅉兗卂䙁䄸兑佂䕁䄴睘䡂䙁䅉睔塂䙁䅑䅓䅁䙁䌸䅁獁䅁䅁兓剂䙁䄸䅒兂䙁䅍睘穁䙁䅫杕時䕁䅅杔佂䙁䄸睒卂䕁䄸睖啂䕁䅧䅁䡃杁䅁䅌䅁䕁䅫兕時䕁䅑䅕呂䙁䄸兎婂䙁䅉睘䉂䕁䄴杔時䕁䅣杕偂䙁䅣䅖䥂䅁䅁兲䅉䍁䅯䅁䩂䙁䅅睘䙂䕁䅅杕佂䕁䅫杔䡂䙁䅍睘䑂䕁䄸杔啂䙁䄸睔兂䙁䅍䅁䱁䅁䅁杏䅁䕁䅫兕時䕁䅕兑卂䕁䄴兓佂䕁䅣睘䑂䕁䄸睘硁䙁䅫杕時䕁䅅杔佂䙁䄸睒卂䕁䄸睖啂䕁䅧䅁桁杁䅁杏䅁䕁䅫兕時䕁䅕兑卂䕁䄴兓佂䕁䅣睘䑂䕁䄸睘祁䙁䅫杕時䕁䅅杔佂䙁䄸睒卂䕁䄸睖啂䕁䅧䅁䙂杁䅁杏䅁䕁䅫兕時䕁䅕兑卂䕁䄴兓佂䕁䅣睘䑂䕁䄸睘穁䙁䅫杕時䕁䅅杔佂䙁䄸睒卂䕁䄸睖啂䕁䅧䅁牂杁䅁杏䅁䕁䅫兕時䕁䅕兑卂䕁䄴兓佂䕁䅣睘䑂䕁䄸睘ㅁ䙁䅫杕時䕁䅅杔佂䙁䄸睒卂䕁䄸睖啂䕁䅧䅁乃杁䅁杋䅁䕁䅫兕時䕁䅕兑卂䕁䄴兓佂䕁䅣睘䑂䕁䄸睘乂䕁䅅杕䡂䕁䅫杔䅁䅁䍫䅁允䅁䅁兓剂䙁䄸兒䍂䕁䅫䅖䅁䝁䅙䅁睁䅁䅁兓剂䙁䄸兒䍂䕁䅫䅖䉂䙁䄸免婂䙁䅉睘䉂䕁䄴杔時䕁䅣杕偂䙁䅣䅖䥂䅁䅁兆䅉䑁䅁䅁䩂䙁䅅睘䙂䕁䅉兓啂䕁䅅睘祁䙁䅫杕時䕁䅅杔佂䙁䄸睒卂䕁䄸睖啂䕁䅧䅁乂杁䅁䅍䅁䕁䅫兕時䕁䅕村䩂䙁䅑兑時䑁䅍兗卂䙁䄸兑佂䕁䄴睘䡂䙁䅉睔塂䙁䅑䅓䅁䡁䍅䅁睁䅁䅁兓剂䙁䄸兒䍂䕁䅫䅖䉂䙁䄸兎婂䙁䅉睘䉂䕁䄴杔時䕁䅣杕偂䙁䅣䅖䥂䅁䅁八䅉䍁䅁䅁䩂䙁䅅睘䙂䕁䅉兓啂䕁䅅睘乂䕁䅅杕䡂䕁䅫杔䅁䅁䍕䅁啁䅁䅁兓剂䙁䄸兒䍂䕁䅫䅖䕂䕁䅅䅁䩁䅁䅁杍䅁䕁䅫兕時䕁䅕村䩂䙁䅑䅒䉂䙁䄸免婂䙁䅉睘䉂䕁䄴杔時䕁䅣杕偂䙁䅣䅖䥂䅁䅁睉䅉䑁䅉䅁䩂䙁䅅睘䙂䕁䅉兓啂䕁䅑兑時䑁䅉兗卂䙁䄸兑佂䕁䄴睘䡂䙁䅉睔塂䙁䅑䅓䅁䕁䍣䅁祁䅁䅁兓剂䙁䄸兒䍂䕁䅫䅖䕂䕁䅅睘穁䙁䅫杕時䕁䅅杔佂䙁䄸睒卂䕁䄸睖啂䕁䅧䅁瑂杁䅁杍䅁䕁䅫兕時䕁䅕村䩂䙁䅑䅒䉂䙁䄸兎婂䙁䅉睘䉂䕁䄴杔時䕁䅣杕偂䙁䅣䅖䥂䅁䅁睪䅉䍁䅉䅁䩂䙁䅅睘䙂䕁䅉兓啂䕁䅑兑時䕁䄰兑卂䕁䅣兓佂䅁䅁允䅉䍁䄴䅁䩂䙁䅅睘䙂䕁䅉兓啂䙁䄸免婂䙁䅉睘䉂䕁䄴杔時䕁䅣杕偂䙁䅣䅖䥂䅁䅁兊䅉䍁䄴䅁䩂䙁䅅睘䙂䕁䅉兓啂䙁䄸杍婂䙁䅉睘䉂䕁䄴杔時䕁䅣杕偂䙁䅣䅖䥂䅁䅁睔䅉䍁䄴䅁䩂䙁䅅睘䙂䕁䅉兓啂䙁䄸睍婂䙁䅉睘䉂䕁䄴杔時䕁䅣杕偂䙁䅣䅖䥂䅁䅁兤䅉䍁䄴䅁䩂䙁䅅睘䙂䕁䅉兓啂䙁䄸兎婂䙁䅉睘䉂䕁䄴杔時䕁䅣杕偂䙁䅣䅖䥂䅁䅁公䅉䉁䄴䅁䩂䙁䅅睘䙂䕁䅉兓啂䙁䄸兔䉂䙁䅉睒䩂䕁䄴䅁䡁杁䅁䅌䅁䕁䅫兕時䕁䅕䅕呂䙁䄸免婂䙁䅉睘䉂䕁䄴杔時䕁䅣杕偂䙁䅣䅖䥂䅁䅁睙䅁䍁䅷䅁䩂䙁䅅睘䙂䙁䅁睕時䑁䅉兗卂䙁䄸兑佂䕁䄴睘䡂䙁䅉睔塂䙁䅑䅓䅁䙁䍍䅁獁䅁䅁兓剂䙁䄸兒兂䙁䅍睘穁䙁䅫杕時䕁䅅杔佂䙁䄸睒卂䕁䄸睖啂䕁䅧䅁穂杁䅁䅌䅁䕁䅫兕時䕁䅕䅕呂䙁䄸兎婂䙁䅉睘䉂䕁䄴杔時䕁䅣杕偂䙁䅣䅖䥂䅁䅁六䅉䍁䅉䅁䩂䙁䅅睘䙂䙁䅧䅕䵂䕁䄸杕䙂䙁䄸䅒卂䕁䅫䅔䵂䅁䅁䅱䅁䕁䅙䅁䩂䙁䅅睘䝂䕁䅅兓卂䙁䄸杖䉂䕁䅷兖䙂䙁䄸睑䥂䕁䅅杔䡂䕁䅕睘䩂䕁䄴睑䵂䙁䄸兒䉂䙁䅉杔䩂䕁䄴睒呂䅁䅁䅋䅍䍁䅙䅁䩂䙁䅅睘䝂䕁䅫䅗䙂䕁䅑睘卂䕁䅅䅖䙂䙁䄸䅒䙂䕁䅉䅖䅁䑁䉉䅁畁䅁䅁兓剂䙁䄸杒䩂䙁䅧兒䕂䙁䄸杕䉂䙁䅑兒時䕁䅑兒䍂䙁䅑睘兂䕁䅍䅖䅁䝁䈴䅁䵁䅁䅁兓剂䙁䄸睒兂䅁䅁睂䅁䍁䅯䅁䩂䙁䅅睘䡂䙁䅁睘硁䙁䅫杕時䕁䅅杔佂䙁䄸睒卂䕁䄸睖啂䕁䅧䅁扁杁䅁杋䅁䕁䅫兕時䕁䅣䅕時䑁䅉兗卂䙁䄸兑佂䕁䄴睘䡂䙁䅉睔塂䙁䅑䅓䅁䕁䍫䅁煁䅁䅁兓剂䙁䄸睒兂䙁䄸睍婂䙁䅉睘䉂䕁䄴杔時䕁䅣杕偂䙁䅣䅖䥂䅁䅁兙䅉䍁䅯䅁䩂䙁䅅睘䡂䙁䅁睘ㅁ䙁䅫杕時䕁䅅杔佂䙁䄸睒卂䕁䄸睖啂䕁䅧䅁䩃杁䅁䅉䅁䕁䅫兕時䕁䅣杕偂䙁䅍睕時䕁䄰兑卂䕁䅣兓佂䅁䅁儫䅅䍁䅑䅁䩂䙁䅅睘䡂䙁䅣睘䩂䕁䄴䅖䉂䕁䄴睘䉂䕁䄰睔卂䙁䅑䅁睃䅁䅁杍䅁䕁䅫兕時䕁䅧兒䕂䕁䅣兓佂䕁䅣睘䉂䕁䄴䅒時䕁䅑兒卂䕁䅫杖時䕁䅅䅒䭂䅁䅁杔䅅䙁䅧䅁䩂䙁䅅睘䩂䕁䄰䅕䉂䕁䅍䅖時䙁䅕杔卂䕁䅕睑偂䕁䅣睘啂䕁䅅䅗時䕁䅉兒佂䕁䅕杒䩂䙁䅑睘䙂䕁䅙杒䙂䕁䅍䅖䩂䙁䅙兒時䙁䅑兑奂䅁䅁朵䅉䉁䅷䅁䩂䙁䅅睘䩂䕁䄰䅕䉂䕁䅫杕時䕁䄸兓䵂䅁䅁䅴䅁䙁䅉䅁䩂䙁䅅睘䩂䕁䄴䅖䙂䙁䅉兒呂䙁䅑睘兂䕁䅕杔䉂䕁䅷䅖䩂䕁䅕睕時䙁䅉兒䑂䕁䄸睒時䕁䅉睕時䕁䅅杒啂䕁䅕杕時䙁䅑兑奂䅁䅁䅆䅍䕁䄴䅁䩂䙁䅅睘䩂䕁䄴䅖䙂䙁䅉兒呂䙁䅑睘兂䕁䅕杔䉂䕁䅷䅖䩂䕁䅕睕時䙁䅉兒䑂䕁䄸睒時䕁䅉睕時䙁䅁杕䙂䙁䄸䅖䉂䙁䅧䅁十睁䅁䅌䅁䕁䅫兕時䕁䅫杔坂䙁䄸免婂䙁䅉睘䉂䕁䄴杔時䕁䅣杕偂䙁䅣䅖䥂䅁䅁睊䅉䍁䅷䅁䩂䙁䅅睘䩂䕁䄴杖時䑁䅉兗卂䙁䄸兑佂䕁䄴睘䡂䙁䅉睔塂䙁䅑䅓䅁䙁䍅䅁獁䅁䅁兓剂䙁䄸兓佂䙁䅙睘穁䙁䅫杕時䕁䅅杔佂䙁䄸睒卂䕁䄸睖啂䕁䅧䅁㍂杁䅁䅌䅁䕁䅫兕時䕁䅫杔坂䙁䄸兎婂䙁䅉睘䉂䕁䄴杔時䕁䅣杕偂䙁䅣䅖䥂䅁䅁睬䅉䉁䄴䅁䩂䙁䅅睘䭂䙁䅉睘呂䙁䅕村時䕁䅑兒䍂䙁䅑䅁十允䅁䅌䅁䕁䅫兕時䕁䅯杕時䙁䅍兖䍂䙁䄸䅒䙂䕁䅉䅖時䕁䅕村䩂䙁䅑䅒䉂䅁䅁睪䅅䑁䅧䅁䩂䙁䅅睘䭂䙁䅉睘呂䙁䅕村時䕁䅑兒䍂䙁䅑睘䙂䕁䅉兓啂䕁䅑兑時䕁䅍兑兂䕁䅕䅗䅁䩁䉫䅁流䅁䅁兓剂䙁䄸杓卂䙁䄸睕噂䕁䅉睘䕂䕁䅕村啂䙁䄸䅕䑂䙁䅑䅁歁允䅁杏䅁䕁䅫兕時䕁䅷兑兂䙁䅍兒時䙁䅍䅖䉂䙁䅑兖啂䕁䅕睘䵂䕁䅫兔䩂䙁䅑兑啂䕁䅫睔佂䙁䅍䅁䅄杁䅁杌䅁䕁䅫兕時䕁䅷杒䑂䕁䅙睘硁䙁䅫杕時䕁䅅杔佂䙁䄸睒卂䕁䄸睖啂䕁䅧䅁灁杁䅁杌䅁䕁䅫兕時䕁䅷杒䑂䕁䅙睘祁䙁䅫杕時䕁䅅杔佂䙁䄸睒卂䕁䄸睖啂䕁䅧䅁摂杁䅁杌䅁䕁䅫兕時䕁䅷杒䑂䕁䅙睘穁䙁䅫杕時䕁䅅杔佂䙁䄸睒卂䕁䄸睖啂䕁䅧䅁䑃杁䅁杌䅁䕁䅫兕時䕁䅷杒䑂䕁䅙睘ㅁ䙁䅫杕時䕁䅅杔佂䙁䄸睒卂䕁䄸睖啂䕁䅧䅁灃杁䅁杈䅁䕁䅫兕時䕁䅷杒䑂䕁䅙睘乂䕁䅅杕䡂䕁䅫杔䅁䉁䍅䅁ぁ䅁䅁兓剂䙁䄸䅔䩂䕁䅅村䩂䕁䅷兓啂䕁䅫兒呂䙁䄸杒䉂䕁䅫杕時䙁䅙兑䵂䙁䅕兒䅁䍁䑙䅁畁䅁䅁兓剂䙁䄸䅔䩂䕁䅅村䩂䕁䅷兓啂䕁䅫兒呂䙁䄸䅔䙂䙁䅙兒䵂䙁䄸免䅁䉁䐴䅁畁䅁䅁兓剂䙁䄸䅔䩂䕁䅅村䩂䕁䅷兓啂䕁䅫兒呂䙁䄸䅔䙂䙁䅙兒䵂䙁䄸杍䅁䍁䑁䅁畁䅁䅁兓剂䙁䄸䅔䩂䕁䅅村䩂䕁䅷兓啂䕁䅫兒呂䙁䄸䅔䙂䙁䅙兒䵂䙁䄸睍䅁䍁䑉䅁卂䅁䅁兓剂䙁䄸䅔䩂䕁䅅村䩂䕁䅷兓啂䕁䅫兒呂䙁䄸杔䙂䙁䅑䅖䩂䕁䄴睒時䕁䄸䅖䥂䕁䅕杕時䕁䅅䅒䭂䙁䅕睕啂䕁䄰兒佂䙁䅑睕䅁䍁䑑䅁獁䅁䅁兓剂䙁䄸䅔啂䕁䅑睘䕂䙁䅕兒時䕁䅅杒啂䕁䅕杕時䕁䅙兓坂䕁䅕䅁汃允䅁䅈䅁䕁䅫兕時䕁䅷䅖䕂䙁䄸䅒噂䕁䅕睘䑂䙁䅫䅁扃允䅁杈䅁䕁䅫兕時䕁䅷䅖䕂䙁䄸䅒噂䕁䅕睘䑂䙁䅫免䅁䩁䈰䅁敁䅁䅁兓剂䙁䄸䅔啂䕁䅑睘䕂䙁䅕兒時䕁䅍兗祁䅁䅁睮䅅䉁䄴䅁䩂䙁䅅睘䵂䙁䅑䅒時䕁䅑兖䙂䙁䄸睑婂䑁䅍䅁桃允䅁杈䅁䕁䅫兕時䕁䅷䅖䕂䙁䄸䅒噂䕁䅕睘䑂䙁䅫䅎䅁䭁䉍䅁煁䅁䅁兓剂䙁䄸䅔啂䕁䅑睘䕂䙁䅕兒時䕁䄴兒奂䙁䅑睘䝂䕁䅫杖䙂䅁䅁睰䅅䑁䅑䅁䩂䙁䅅睘䵂䙁䅑睘䕂䕁䅕村啂䙁䄸睑䉂䙁䅁兓啂䕁䅅䅔時䕁䅷兒䉂䙁䅍兒呂䅁䅁杌䅅䑁䅷䅁䩂䙁䅅睘䵂䙁䅑睘䕂䕁䅕村啂䙁䄸睑䉂䙁䅁兓啂䕁䅅䅔時䕁䅷兒䉂䙁䅍兒呂䙁䄸䅕䑂䙁䅑䅁啂允䅁杋䅁䕁䅫兕時䕁䅷䅖時䕁䅑兒䍂䙁䅑睘啂䕁䄸睘䙂䙁䅅兖䩂䙁䅑兗䅁䱁䍉䅁㑁䅁䅁兓剂䙁䄸䅔啂䙁䄸䅒䙂䕁䅉䅖時䙁䅑睔時䙁䅑睔啂䕁䅅䅔時䕁䅍兑兂䕁䅫䅖䉂䕁䅷䅁ぃ杁䅁杕䅁䕁䅫兕時䕁䄰兑奂䙁䄸兗卂䙁䄸杒偂䙁䅉睘䑂䕁䅅䅕䩂䙁䅑兑䵂䙁䄸䅔偂䙁䅍睕時䕁䅍兑卂䙁䅉兗時䕁䅙睔卂䙁䅣兑卂䕁䅑䅁祄杁䅁䅑䅁䕁䅫兕時䕁䄰兑奂䙁䄸兗卂䙁䄸杒偂䙁䅉睘佂䕁䄸䅔時䕁䅍兑卂䙁䅉兗時䕁䅙睔卂䙁䅣兑卂䕁䅑䅁潄杁䅁䅕䅁䕁䅫兕時䕁䄰兑奂䙁䄸兗卂䙁䄸杒偂䙁䅉睘啂䕁䅅䅗時䕁䅉兒佂䕁䅕杒䩂䙁䅑睘䑂䕁䅅杕卂䙁䅫睘䝂䕁䄸杕塂䕁䅅杕䕂䅁䅁䅁䅍䍁䅯䅁䩂䙁䅅睘乂䕁䅫杔偂䙁䅉兓啂䙁䅫睘䩂䕁䄴䅖䙂䙁䅉兒呂䙁䅑䅁捁䅁䅁䅇䅁䕁䅫兕時䕁䄴兒啂䙁䄸䅒䙂䕁䅉䅖䅁䉁䉁䅁流䅁䅁兓剂䙁䄸杔䙂䙁䅑睘䕂䕁䅕村啂䙁䄸兒䍂䕁䅫䅖䕂䕁䅅䅁䙃允䅁杍䅁䕁䅫兕時䕁䄴兒啂䙁䄸䅒䙂䕁䅉䅖時䕁䅕村䩂䙁䅑䅒䉂䙁䄸睑䉂䙁䅁兒奂䅁䅁睨䅅䍁䅯䅁䩂䙁䅅睘佂䕁䅫睘硁䙁䅫杕時䕁䅅杔佂䙁䄸睒卂䕁䄸睖啂䕁䅧䅁摁杁䅁杋䅁䕁䅫兕時䕁䄴兓時䑁䅉兗卂䙁䄸兑佂䕁䄴睘䡂䙁䅉睔塂䙁䅑䅓䅁䑁䍫䅁煁䅁䅁兓剂䙁䄸杔䩂䙁䄸睍婂䙁䅉睘䉂䕁䄴杔時䕁䅣杕偂䙁䅣䅖䥂䅁䅁睢䅉䍁䅯䅁䩂䙁䅅睘佂䕁䅫睘ㅁ䙁䅫杕時䕁䅅杔佂䙁䄸睒卂䕁䄸睖啂䕁䅧䅁扃杁䅁䅍䅁䕁䅫兕時䕁䄴兓時䕁䅅杖䉂䕁䅫䅔時䕁䅕䅗䑂䕁䅷睘乂䕁䅅杕䡂䕁䅫杔䅁䅁䌰䅁慁䅁䅁兓剂䙁䄸杔䩂䙁䄸兔䉂䙁䅉睒䩂䕁䄴䅁䱁杁䅁䅎䅁䕁䅫兕時䕁䄴兓時䕁䄴睔卂䕁䄰睘硁䙁䅫杕時䕁䅅杔佂䙁䄸睒卂䕁䄸睖啂䕁䅧䅁塁杁䅁䅎䅁䕁䅫兕時䕁䄴兓時䕁䄴睔卂䕁䄰睘祁䙁䅫杕時䕁䅅杔佂䙁䄸睒卂䕁䄸睖啂䕁䅧䅁䉂杁䅁䅎䅁䕁䅫兕時䕁䄴兓時䕁䄴睔卂䕁䄰睘穁䙁䅫杕時䕁䅅杔佂䙁䄸睒卂䕁䄸睖啂䕁䅧䅁橂杁䅁䅎䅁䕁䅫兕時䕁䄴兓時䕁䄴睔卂䕁䄰睘ㅁ䙁䅫杕時䕁䅅杔佂䙁䄸睒卂䕁䄸睖啂䕁䅧䅁呃杁䅁䅊䅁䕁䅫兕時䕁䄴兓時䕁䄴睔卂䕁䄰睘乂䕁䅅杕䡂䕁䅫杔䅁䅁䌸䅁捁䅁䅁兓剂䙁䄸杔偂䕁䅷睘䑂䕁䅙睘硁䙁䅫杕䅁䵁䍧䅁捁䅁䅁兓剂䙁䄸杔偂䕁䅷睘䑂䕁䅙睘祁䙁䅫杕䅁乁䍁䅁捁䅁䅁兓剂䙁䄸杔偂䕁䅷睘䑂䕁䅙睘穁䙁䅫杕䅁乁䍉䅁捁䅁䅁兓剂䙁䄸杔偂䕁䅷睘䑂䕁䅙睘ぁ䙁䅫杕䅁乁䍑䅁捁䅁䅁兓剂䙁䄸杔偂䕁䅷睘䑂䕁䅙睘ㅁ䙁䅫杕䅁䵁䍉䅁煁䅁䅁兓剂䙁䄸杔偂䕁䅷睘䑂䕁䅙睘䉂䕁䅙䅖䙂䙁䅉睘䝂䕁䅫杖䙂䅁䅁䅺䅉䍁䅉䅁䩂䙁䅅睘佂䕁䄸䅔時䕁䅍杒時䕁䄴睔時䕁䅕䅗兂䅁䅁杺䅉䍁䅁䅁䩂䙁䅅睘佂䕁䄸䅔時䕁䅍杒時䙁䅑睔啂䕁䅅䅔䅁乁䍯䅁潁䅁䅁兓剂䙁䄸杔偂䕁䄴杕䙂䕁䅍睔噂䙁䅉睕䙂䙁䄸䅒䙂䕁䅉䅖䅁䕁䉧䅁睁䅁䅁兓剂䙁䄸杔偂䕁䄴杕䙂䕁䅍睔噂䙁䅉睕䙂䙁䄸䅒䙂䕁䅉䅖時䙁䅁睑啂䅁䅁䅤䅅䍁䄴䅁䩂䙁䅅睘佂䙁䅁䅕䙂䙁䄸免婂䙁䅉睘䉂䕁䄴杔時䕁䅣杕偂䙁䅣䅖䥂䅁䅁兇䅉䍁䄴䅁䩂䙁䅅睘佂䙁䅁䅕䙂䙁䄸杍婂䙁䅉睘䉂䕁䄴杔時䕁䅣杕偂䙁䅣䅖䥂䅁䅁睏䅉䍁䄴䅁䩂䙁䅅睘佂䙁䅁䅕䙂䙁䄸睍婂䙁䅉睘䉂䕁䄴杔時䕁䅣杕偂䙁䅣䅖䥂䅁䅁党䅉䍁䄴䅁䩂䙁䅅睘佂䙁䅁䅕䙂䙁䄸兎婂䙁䅉睘䉂䕁䄴杔時䕁䅣杕偂䙁䅣䅖䥂䅁䅁兮䅉䍁䄴䅁䩂䙁䅅睘佂䙁䅕兔時䙁䅑杕䉂䕁䅑兒呂䙁䄸兒奂䕁䅕睑噂䙁䅑兒䕂䅁䅁睩䅍䍁䅷䅁䩂䙁䅅睘偂䕁䅷睘䑂䕁䄸兔乂䙁䄸兑䝂䙁䅑兒卂䙁䄸杒䩂䙁䅙兒䅁䵁䉍䅁捁䅁䅁兓剂䙁䄸睔䵂䙁䄸睑偂䕁䄰兔時䕁䅍兗䅁䱁䉣䅁敁䅁䅁兓剂䙁䄸睔䵂䙁䄸睑偂䕁䄰兔時䕁䅍兗硁䅁䅁兵䅅䉁䄴䅁䩂䙁䅅睘偂䕁䅷睘䑂䕁䄸兔乂䙁䄸睑婂䑁䅉䅁㝃允䅁杈䅁䕁䅫兕時䕁䄸䅔時䕁䅍睔乂䕁䄰睘䑂䙁䅫睍䅁䱁䈰䅁敁䅁䅁兓剂䙁䄸睔䵂䙁䄸睑偂䕁䄰兔時䕁䅍兗ぁ䅁䅁睶䅅䍁䅯䅁䩂䙁䅅睘偂䕁䅷睘䑂䕁䄸兔乂䙁䄸杔䙂䙁䅧䅖時䕁䅙兓坂䕁䅕䅁䉄允䅁䅊䅁䕁䅫兕時䕁䄸䅕啂䕁䅫睔佂䙁䅍睘䍂䕁䅕睒時䕁䄸睕䅁䍁䐴䅁煁䅁䅁兓剂䙁䄸睔兂䙁䅑兓偂䕁䄴睕時䕁䅍兑佂䕁䅍兒䵂䕁䅷兒䕂䅁䅁䅏䅍䍁䅑䅁䩂䙁䅅睘偂䙁䅁䅖䩂䕁䄸杔呂䙁䄸兒佂䕁䅑睘偂䙁䅍䅁㙁睁䅁杋䅁䕁䅫兕時䕁䄸䅕啂䕁䅫睔佂䙁䅍睘䙂䙁䅧兒卂䕁䅍兓呂䕁䅕䅒䅁䑁䑙䅁流䅁䅁兓剂䙁䄸睔兂䙁䅑兓偂䕁䄴睕時</t>
  </si>
  <si>
    <t>Debt / Capital</t>
  </si>
  <si>
    <t>Price / Book</t>
  </si>
  <si>
    <t>睕ㅂ䝁䄰兢桂䡁䅉入桁䍁䅑睑歁䑁䅑䅁捁䅂䅁䅥䅁䙁䅳兔䩂䙁䄸睑療䝁䄰䅣桂䝁䄴入時䕁䅳党㕂䙁䅍䅤桂䡁䅑督時䡁䅙免畁䡁䅧䅢穂䝁䄰兘䑂䝁䅅䅣灂䡁䅑兙獂䙁䄸睕あ䡁䅉兤橂䡁䅑兤祂䝁䅕睘呂䡁䅕兢瑂䝁䅅杣㕂䍁䅅䅊䑂䍁䅑兎䅁䍁䕁䅁㑂䅁䅁睗乂䕁䅫睘䑂䝁䄸兢睂䝁䅅杢㕂䙁䄸睓求䡁䅫睕あ䝁䅅䅤穂䙁䄸杤硁䍁䄴䅥獂䡁䅍兢摂䕁䅍兙睂䝁䅫䅤桂䝁䅷睘呂䡁䅑杣ㅂ䝁䅍䅤ㅂ䡁䅉党時䙁䅍兤瑂䝁䄰兙祂䡁䅫光歁䕁䅍䅊㉁䅁䅁䅶䅕䡁䅧䅁扂䕁䄰兓時䕁䅍睢瑂䡁䅁兙畂䡁䅫睘䱂䝁䅕入呂䡁䅑兙あ䡁䅍睘㉂䑁䅅杌㑂䝁䅷督瑂䙁䄰睑桂䡁䅁兡あ䝁䅅䅢時䙁䅍䅤祂䡁䅕睙あ䡁䅕杣求䙁䄸睕ㅂ䝁䄰兢桂䡁䅉入桁䍁䅑睑歁䑁䅣䅁䅄兂䅁杨䅁䙁䅳兔䩂䙁䄸睑療䝁䄰䅣桂䝁䄴入時䕁䅳党㕂䙁䅍䅤桂䡁䅑督時䡁䅙免畁䡁䅧䅢穂䝁䄰兘䑂䝁䅅䅣灂䡁䅑兙獂䙁䄸睕あ䡁䅉兤橂䡁䅑兤祂䝁䅕睘呂䡁䅕兢瑂䝁䅅杣㕂䍁䅅䅊䕂䍁䅑杍㍁䑁䅯䅊䕂䍁䅑睎㑁䅁䅁杉䅑䥁䅙䅁扂䕁䄰兓時䕁䅍睢瑂䡁䅁兙畂䡁䅫睘䱂䝁䅕入呂䡁䅑兙あ䡁䅍睘㉂䑁䅅杌㑂䝁䅷督瑂䙁䄰睑桂䡁䅁兡あ䝁䅅䅢時䙁䅍䅤祂䡁䅕睙あ䡁䅕杣求䙁䄸睕ㅂ䝁䄰兢桂䡁䅉入桁䍁䅑䅒歁䑁䅉兏㙁䍁䅑䅒歁䑁䅧䅍䅁䵁䙉䅁䍃䅁䅁睗乂䕁䅫睘䑂䝁䄸兢睂䝁䅅杢㕂䙁䄸睓求䡁䅫睕あ䝁䅅䅤穂䙁䄸杤硁䍁䄴䅥獂䡁䅍兢摂䕁䅍兙睂䝁䅫䅤桂䝁䅷睘呂䡁䅑杣ㅂ䝁䅍䅤ㅂ䡁䅉党時䙁䅍兤瑂䝁䄰兙祂䡁䅫光歁䕁䅕䅊ぁ䑁䅯䅊偂䍁䅑䅎䅁䉁䔰䅁䍃䅁䅁睗乂䕁䅫睘䑂䝁䄸兢睂䝁䅅杢㕂䙁䄸睓求䡁䅫睕あ䝁䅅䅤穂䙁䄸杤硁䍁䄴䅥獂䡁䅍兢摂䕁䅍兙睂䝁䅫䅤桂䝁䅷睘呂䡁䅑杣ㅂ䝁䅍䅤ㅂ䡁䅉党時䙁䅍兤瑂䝁䄰兙祂䡁䅫光歁䕁䅕䅊ㅁ䑁䅯䅊偂䍁䅑兎䅁䉁䔸䅁䍃䅁䅁睗乂䕁䅫睘䑂䝁䄸兢睂䝁䅅杢㕂䙁䄸睓求䡁䅫睕あ䝁䅅䅤穂䙁䄸杤硁䍁䄴䅥獂䡁䅍兢摂䕁䅍兙睂䝁䅫䅤桂䝁䅷睘呂䡁䅑杣ㅂ䝁䅍䅤ㅂ䡁䅉党時䙁䅍兤瑂䝁䄰兙祂䡁䅫光歁䕁䅕䅊㉁䑁䅯䅊偂䍁䅑李䅁䱁䘰䅁䍃䅁䅁睗乂䕁䅫睘䑂䝁䄸兢睂䝁䅅杢㕂䙁䄸睓求䡁䅫睕あ䝁䅅䅤穂䙁䄸杤硁䍁䄴䅥獂䡁䅍兢摂䕁䅍兙睂䝁䅫䅤桂䝁䅷睘呂䡁䅑杣ㅂ䝁䅍䅤ㅂ䡁䅉党時䙁䅍兤瑂䝁䄰兙祂䡁䅫光歁䕁䅕䅊㍁䑁䅯䅊偂䍁䅑睎䅁䱁䘸䅁䝃䅁䅁睗乂䕁䅫睘䑂䝁䄸兢睂䝁䅅杢㕂䙁䄸睓求䡁䅫睕あ䝁䅅䅤穂䙁䄸杤硁䍁䄴䅥獂䡁䅍兢摂䕁䅍兙睂䝁䅫䅤桂䝁䅷睘呂䡁䅑杣ㅂ䝁䅍䅤ㅂ䡁䅉党時䙁䅍兤瑂䝁䄰兙祂䡁䅫光歁䕁䅙䅊硁䑁䅁杏歁䙁䅁䅊硁䑁䅁䅁䉄兂䅁杨䅁䙁䅳兔䩂䙁䄸睑療䝁䄰䅣桂䝁䄴入時䕁䅳党㕂䙁䅍䅤桂䡁䅑督時䡁䅙免畁䡁䅧䅢穂䝁䄰兘䑂䝁䅅䅣灂䡁䅑兙獂䙁䄸睕あ䡁䅉兤橂䡁䅑兤祂䝁䅕睘呂䡁䅕兢瑂䝁䅅杣㕂䍁䅅䅊䝂䍁䅑免硁䑁䅯䅊兂䍁䅑免硁䅁䅁睷䅕䥁䅉䅁扂䕁䄰兓時䕁䅍睢瑂䡁䅁兙畂䡁䅫睘䱂䝁䅕入呂䡁䅑兙あ䡁䅍睘㉂䑁䅅杌㑂䝁䅷督瑂䙁䄰睑桂䡁䅁兡あ䝁䅅䅢時䙁䅍䅤祂䡁䅕睙あ䡁䅕杣求䙁䄸睕ㅂ䝁䄰兢桂䡁䅉入桁䍁䅑杒歁䑁䅧杏歁䙁䅁䅊㑁䅁䅁光䅑䥁䅉䅁扂䕁䄰兓時䕁䅍睢瑂䡁䅁兙畂䡁䅫睘䱂䝁䅕入呂䡁䅑兙あ䡁䅍睘㉂䑁䅅杌㑂䝁䅷督瑂䙁䄰睑桂䡁䅁兡あ䝁䅅䅢時䙁䅍䅤祂䡁䅕睙あ䡁䅕杣求䙁䄸睕ㅂ䝁䄰兢桂䡁䅉入桁䍁䅑杒歁䑁䅫杏歁䙁䅁䅊㕁䅁䅁睉䅑䝁䅉䅁扂䕁䄰兓時䕁䅍睢瑂䡁䅁兙畂䡁䅫睘䱂䝁䅕入呂䡁䅑兙あ䡁䅍睘㉂䑁䅅杌㑂䝁䅷督瑂䙁䄰睑桂䡁䅁兡あ䝁䅅䅢灂䡁䅯兙あ䝁䅫睢畂䍁䅅䅊䑂䍁䅑䅎䅁䉁䕁䅁歂䅁䅁睗乂䕁䅫睘䑂䝁䄸兢睂䝁䅅杢㕂䙁䄸睓求䡁䅫睕あ䝁䅅䅤穂䙁䄸杤硁䍁䄴䅥獂䡁䅍兢摂䕁䅍兙睂䝁䅫䅤桂䝁䅷兡㙂䝁䅅䅤灂䝁䄸杢桁䍁䅑睑歁䑁䅑睎䅁䉁䕧䅁歂䅁䅁睗乂䕁䅫睘䑂䝁䄸兢睂䝁䅅杢㕂䙁䄸睓求䡁䅫睕あ䝁䅅䅤穂䙁䄸杤硁䍁䄴䅥獂䡁䅍兢摂䕁䅍兙睂䝁䅫䅤桂䝁䅷兡㙂䝁䅅䅤灂䝁䄸杢桁䍁䅑睑歁䑁䅑䅏䅁䉁䕑䅁歂䅁䅁睗乂䕁䅫睘䑂䝁䄸兢睂䝁䅅杢㕂䙁䄸睓求䡁䅫睕あ䝁䅅䅤穂䙁䄸杤硁䍁䄴䅥獂䡁䅍兢摂䕁䅍兙睂䝁䅫䅤桂䝁䅷兡㙂䝁䅅䅤灂䝁䄸杢桁䍁䅑睑歁䑁䅕䅍䅁䉁䕙䅁睂䅁䅁睗乂䕁䅫睘䑂䝁䄸兢睂䝁䅅杢㕂䙁䄸睓求䡁䅫睕あ䝁䅅䅤穂䙁䄸杤硁䍁䄴䅥獂䡁䅍兢摂䕁䅍兙睂䝁䅫䅤桂䝁䅷兡㙂䝁䅅䅤灂䝁䄸杢桁䍁䅑睑歁䑁䅕睍㙁䍁䅑睑歁䑁䅕䅎䅁䉁䕯䅁畂䅁䅁睗乂䕁䅫睘䑂䝁䄸兢睂䝁䅅杢㕂䙁䄸睓求䡁䅫睕あ䝁䅅䅤穂䙁䄸杤硁䍁䄴䅥獂䡁䅍兢摂䕁䅍兙睂䝁䅫䅤桂䝁䅷兡㙂䝁䅅䅤灂䝁䄸杢桁䍁䅑睑歁䑁䅫杏歁䕁䅍䅊祁䑁䅕䅁十䅂䅁䅣䅁䙁䅳兔䩂䙁䄸睑療䝁䄰䅣桂䝁䄴入時䕁䅳党㕂䙁䅍䅤桂䡁䅑督時䡁䅙免畁䡁䅧䅢穂䝁䄰兘䑂䝁䅅䅣灂䡁䅑兙獂䝁䅫来桂䡁䅑兡療䝁䄴光歁䕁䅕䅊ぁ䑁䅣杏歁䕁䅯䅊ぁ䑁䅣䅁敃䅂䅁䅣䅁䙁䅳兔䩂䙁䄸睑療䝁䄰䅣桂䝁䄴入時䕁䅳党㕂䙁䅍䅤桂䡁䅑督時䡁䅙免畁䡁䅧䅢穂䝁䄰兘䑂䝁䅅䅣灂䡁䅑兙獂䝁䅫来桂䡁䅑兡療䝁䄴光歁䕁䅕䅊ぁ䑁䅣杏歁䙁䅁䅊ぁ䑁䅣䅁噁䅂䅁䅣䅁䙁䅳兔䩂䙁䄸睑療䝁䄰䅣桂䝁䄴入時䕁䅳党㕂䙁䅍䅤桂䡁䅑督時䡁䅙免畁䡁䅧䅢穂䝁䄰兘䑂䝁䅅䅣灂䡁䅑兙獂䝁䅫来桂䡁䅑兡療䝁䄴光歁䕁䅕䅊ぁ䑁䅧杏歁䕁䅯䅊ぁ䑁䅧䅁晃䅂䅁䅣䅁䙁䅳兔䩂䙁䄸睑療䝁䄰䅣桂䝁䄴入時䕁䅳党㕂䙁䅍䅤桂䡁䅑督時䡁䅙免畁䡁䅧䅢穂䝁䄰兘䑂䝁䅅䅣灂䡁䅑兙獂䝁䅫来桂䡁䅑兡療䝁䄴光歁䕁䅕䅊ぁ䑁䅧杏歁䙁䅁䅊ぁ䑁䅧䅁塁䅂䅁䅢䅁䙁䅳兔䩂䙁䄸睑療䝁䄰䅣桂䝁䄴入時䕁䅳党㕂䙁䅍䅤桂䡁䅑督時䡁䅙免畁䡁䅧䅢穂䝁䄰兘䑂䝁䅅䅣灂䡁䅑兙獂䝁䅫来桂䡁䅑兡療䝁䄴光歁䕁䅕䅊ぁ䑁䅯䅊䭂䍁䅑䅎䅁䉁䕅䅁睂䅁䅁睗乂䕁䅫睘䑂䝁䄸兢睂䝁䅅杢㕂䙁䄸睓求䡁䅫睕あ䝁䅅䅤穂䙁䄸杤硁䍁䄴䅥獂䡁䅍兢摂䕁䅍兙睂䝁䅫䅤桂䝁䅷兡㙂䝁䅅䅤灂䝁䄸杢桁䍁䅑兒歁䑁䅕免㙁䍁䅑杓歁䑁䅕免䅁䉁䕫䅁睂䅁䅁睗乂䕁䅫睘䑂䝁䄸兢睂䝁䅅杢㕂䙁䄸睓求䡁䅫睕あ䝁䅅䅤穂䙁䄸杤硁䍁䄴䅥獂䡁䅍兢摂䕁䅍兙睂䝁䅫䅤桂䝁䅷兡㙂䝁䅅䅤灂䝁䄸杢桁䍁䅑兒歁䑁䅕杍㙁䍁䅑杓歁䑁䅕杍䅁䉁䕳䅁獂䅁䅁睗乂䕁䅫睘䑂䝁䄸兢睂䝁䅅杢㕂䙁䄸睓求䡁䅫睕あ䝁䅅䅤穂䙁䄸杤硁䍁䄴䅥獂䡁䅍兢摂䕁䅍兙睂䝁䅫䅤桂䝁䅷兡㙂䝁䅅䅤灂䝁䄸杢桁䍁䅑兒歁䑁䅕杏歁䕁䅯䅊ㅁ䅁䅁睅䅑䝁䅙䅁扂䕁䄰兓時䕁䅍睢瑂䡁䅁兙畂䡁䅫睘䱂䝁䅕入呂䡁䅑兙あ䡁䅍睘㉂䑁䅅杌㑂䝁䅷督瑂䙁䄰睑桂䡁䅍䅡時䕁䅙䅢療䡁䅣光歁䕁䅍䅊硁䑁䅅杏歁䕁䅍䅊㕁䑁䅉䅁㙃兂䅁䅗䅁䙁䅳兔䩂䙁䄸睑療䝁䄰䅣桂䝁䄴入時䕁䅳党㕂䙁䅍䅤桂䡁䅑督時䡁䅙免畁䡁䅧䅢穂䝁䄰兘䑂䝁䅅督潂䙁䄸杒獂䝁䄸睤桁䍁䅑睑歁䑁䅑䅁䵁䅂䅁䅗䅁䙁䅳兔䩂䙁䄸睑療䝁䄰䅣桂䝁䄴入時䕁䅳党㕂䙁䅍䅤桂䡁䅑督時䡁䅙免畁䡁䅧䅢穂䝁䄰兘䑂䝁䅅督潂䙁䄸杒獂䝁䄸睤桁䍁䅑睑歁䑁䅙䅁㑃兂䅁䅚䅁䙁䅳兔䩂䙁䄸睑療䝁䄰䅣桂䝁䄴入時䕁䅳党㕂䙁䅍䅤桂䡁䅑督時䡁䅙免畁䡁䅧䅢穂䝁䄰兘䑂䝁䅅督潂䙁䄸杒獂䝁䄸睤桁䍁䅑睑歁䑁䅫杏歁䕁䅍䅊㕁䑁䅁䅁佁䅂䅁杙䅁䙁䅳兔䩂䙁䄸睑療䝁䄰䅣桂䝁䄴入時䕁䅳党㕂䙁䅍䅤桂䡁䅑督時䡁䅙免畁䡁䅧䅢穂䝁䄰兘䑂䝁䅅督潂䙁䄸杒獂䝁䄸睤桁䍁䅑兒歁䑁䅑杏歁䙁䅁䅊ぁ䅁䅁兄䅑䝁䅉䅁扂䕁䄰兓時䕁䅍睢瑂䡁䅁兙畂䡁䅫睘䱂䝁䅕入呂䡁䅑兙あ䡁䅍睘㉂䑁䅅杌㑂䝁䅷督瑂䙁䄰睑桂䡁䅍䅡時䕁䅙䅢療䡁䅣光歁䕁䅕䅊ㅁ䑁䅯䅊兂䍁䅑兎䅁䅁䔸䅁楂䅁䅁睗乂䕁䅫睘䑂䝁䄸兢睂䝁䅅杢㕂䙁䄸睓求䡁䅫睕あ䝁䅅䅤穂䙁䄸杤硁䍁䄴䅥獂䡁䅍兢摂䕁䅍兙穂䝁䅧睘䝂䝁䅷睢㍂䍁䅅䅊䙂䍁䅑李㙁䍁䅑䅕歁䑁䅙䅁㕃兂䅁杙䅁䙁䅳兔䩂䙁䄸睑療䝁䄰䅣桂䝁䄴入時䕁䅳党㕂䙁䅍䅤桂䡁䅑督時䡁䅙免畁䡁䅧䅢穂䝁䄰兘䑂䝁䅅督潂䙁䄸杒獂䝁䄸睤桁䍁䅑兒歁䑁䅣杏歁䙁䅁䅊㍁䅁䅁睵䅕䡁䅙䅁扂䕁䄰兓時䕁䅍睢瑂䡁䅁兙畂䡁䅫睘䱂䝁䅕入呂䡁䅑兙あ䡁䅍睘㉂䑁䅅杌㑂䝁䅷督瑂䙁䄰兓畂䝁䅍睢瑂䝁䅕睘呂䡁䅑兙あ䝁䅕兢求䝁䄴䅤桁䍁䅑睑歁䑁䅅免㙁䍁䅑睑歁䑁䅅睎ㅁ䅁䅁杳䅕䝁䅯䅁扂䕁䄰兓時䕁䅍睢瑂䡁䅁兙畂䡁䅫睘䱂䝁䅕入呂䡁䅑兙あ䡁䅍睘㉂䑁䅅杌㑂䝁䅷督瑂䙁䄰兓畂䝁䅍睢瑂䝁䅕睘呂䡁䅑兙あ䝁䅕兢求䝁䄴䅤桁䍁䅑睑歁䑁䅅睎㉁䅁䅁兯䅑䝁䅯䅁扂䕁䄰兓時䕁䅍睢瑂䡁䅁兙畂䡁䅫睘䱂䝁䅕入呂䡁䅑兙あ䡁䅍睘㉂䑁䅅杌㑂䝁䅷督瑂䙁䄰兓畂䝁䅍睢瑂䝁䅕睘呂䡁䅑兙あ䝁䅕兢求䝁䄴䅤桁䍁䅑睑歁䑁䅅睎㕁䅁䅁睯䅑䝁䅙䅁扂䕁䄰兓時䕁䅍睢瑂䡁䅁兙畂䡁䅫睘䱂䝁䅕入呂䡁䅑兙あ䡁䅍睘㉂䑁䅅杌㑂䝁䅷督瑂䙁䄰兓畂䝁䅍睢瑂䝁䅕睘呂䡁䅑兙あ䝁䅕兢求䝁䄴䅤桁䍁䅑睑歁䑁䅑䅁䕁䅂䅁杚䅁䙁䅳兔䩂䙁䄸睑療䝁䄰䅣桂䝁䄴入時䕁䅳党㕂䙁䅍䅤桂䡁䅑督時䡁䅙免畁䡁䅧䅢穂䝁䄰兘䩂䝁䄴睙療䝁䄰党時䙁䅍䅤桂䡁䅑党瑂䝁䅕杢あ䍁䅅䅊䑂䍁䅑李䅁䱁䙁䅁あ䅁䅁睗乂䕁䅫睘䑂䝁䄸兢睂䝁䅅杢㕂䙁䄸睓求䡁䅫睕あ䝁䅅䅤穂䙁䄸杤硁䍁䄴䅥獂䡁䅍兢摂䕁䅫杢橂䝁䄸兢求䙁䄸睕あ䝁䅅䅤求䝁䄰党畂䡁䅑光歁䕁䅍䅊㕁䑁䅯䅊䑂䍁䅑免㍁䑁䅍䅁䝁䅂䅁䅥䅁䙁䅳兔䩂䙁䄸睑療䝁䄰䅣桂䝁䄴入時䕁䅳党㕂䙁䅍䅤桂䡁䅑督時䡁䅙免畁䡁䅧䅢穂䝁䄰兘䩂䝁䄴睙療䝁䄰党時䙁䅍䅤桂䡁䅑党瑂䝁䅕杢あ䍁䅅䅊䙂䍁䅑免㍁䑁䅙杏歁䙁䅁䅊硁䑁䅣李䅁䭁䕉䅁㑂䅁䅁睗乂䕁䅫睘䑂䝁䄸兢睂䝁䅅杢㕂䙁䄸睓求䡁䅫睕あ䝁䅅䅤穂䙁䄸杤硁䍁䄴䅥獂䡁䅍兢摂䕁䅫杢橂䝁䄸兢求䙁䄸睕あ䝁䅅䅤求䝁䄰党畂䡁䅑光歁䕁䅕䅊硁䑁䅣睎㙁䍁䅑䅕歁䑁䅅睎㍁䅁䅁䅰䅑䡁䅁䅁扂䕁䄰兓時䕁䅍睢瑂䡁䅁兙畂䡁䅫睘䱂䝁䅕入呂䡁䅑兙あ䡁䅍睘㉂䑁䅅杌㑂䝁䅷督瑂䙁䄰兓畂䝁䅍睢瑂䝁䅕睘呂䡁䅑兙あ䝁䅕兢求䝁䄴䅤桁䍁䅑兒歁䑁䅑杏歁䙁䅁䅊ぁ䅁䅁兂䅑䡁䅁䅁扂䕁䄰兓時䕁䅍睢瑂䡁䅁兙畂䡁䅫睘䱂䝁䅕入呂䡁䅑兙あ䡁䅍睘㉂䑁䅅杌㑂䝁䅷督瑂䙁䄰兓畂䝁䅍睢瑂䝁䅕睘呂䡁䅑兙あ䝁䅕兢求䝁䄴䅤桁䍁䅑兒歁䑁䅕杏歁䙁䅁䅊ㅁ䅁䅁睂䅑䡁䅁䅁扂䕁䄰兓時䕁䅍睢瑂䡁䅁兙畂䡁䅫睘䱂䝁䅕入呂䡁䅑兙あ䡁䅍睘㉂䑁䅅杌㑂䝁䅷督瑂䙁䄰兓畂䝁䅍睢瑂䝁䅕睘呂䡁䅑兙あ䝁䅕兢求䝁䄴䅤桁䍁䅑兒歁䑁䅙杏歁䙁䅁䅊㉁䅁䅁关䅕䡁䅁䅁扂䕁䄰兓時䕁䅍睢瑂䡁䅁兙畂䡁䅫睘䱂䝁䅕入呂䡁䅑兙あ䡁䅍睘㉂䑁䅅杌㑂䝁䅷督瑂䙁䄰兓畂䝁䅍睢瑂䝁䅕睘呂䡁䅑兙あ䝁䅕兢求䝁䄴䅤桁䍁䅑兒歁䑁䅣杏歁䙁䅁䅊㍁䅁䅁睳䅕䙁䅷䅁扂䕁䄰兓時䕁䅍睢瑂䡁䅁兙畂䡁䅫睘䱂䝁䅕入呂䡁䅑兙あ䡁䅍睘㉂䑁䅅杌㑂䝁䅷督瑂䙁䄰睓求䡁䅫睘呂䡁䅑兙あ䡁䅍光歁䕁䅉䅊硁䑁䅁杍䅁偁䑑䅁捂䅁䅁睗乂䕁䅫睘䑂䝁䄸兢睂䝁䅅杢㕂䙁䄸睓求䡁䅫睕あ䝁䅅䅤穂䙁䄸杤硁䍁䄴䅥獂䡁䅍兢摂䕁䅳党㕂䙁䄸睕あ䝁䅅䅤穂䍁䅅䅊䍂䍁䅑免睁䑁䅍䅁䡁兂䅁䅘䅁䙁䅳兔䩂䙁䄸睑療䝁䄰䅣桂䝁䄴入時䕁䅳党㕂䙁䅍䅤桂䡁䅑督時䡁䅙免畁䡁䅧䅢穂䝁䄰兘䱂䝁䅕入時䙁䅍䅤桂䡁䅑督桁䍁䅑村歁䑁䅅䅍ぁ䅁䅁䅬䅑䙁䅷䅁扂䕁䄰兓時䕁䅍睢瑂䡁䅁兙畂䡁䅫睘䱂䝁䅕入呂䡁䅑兙あ䡁䅍睘㉂䑁䅅杌㑂䝁䅷督瑂䙁䄰睓求䡁䅫睘呂䡁䅑兙あ䡁䅍光歁䕁䅉䅊硁䑁䅁兎䅁䩁䕧䅁捂䅁䅁睗乂䕁䅫睘䑂䝁䄸兢睂䝁䅅杢㕂䙁䄸睓求䡁䅫睕あ䝁䅅䅤穂䙁䄸杤硁䍁䄴䅥獂䡁䅍兢摂䕁䅳党㕂䙁䄸睕あ䝁䅅䅤穂䍁䅅䅊䍂䍁䅑免睁䑁䅙䅁硃䅂䅁杗䅁䙁䅳兔䩂䙁䄸睑療䝁䄰䅣桂䝁䄴入時䕁䅳党㕂䙁䅍䅤桂䡁䅑督時䡁䅙免畁䡁䅧䅢穂䝁䄰兘䱂䝁䅕入時䙁䅍䅤桂䡁䅑督桁䍁䅑村歁䑁䅉杍䅁偁䑁䅁慂䅁䅁睗乂䕁䅫睘䑂䝁䄸兢睂䝁䅅杢㕂䙁䄸睓求䡁䅫睕あ䝁䅅䅤穂䙁䄸杤硁䍁䄴䅥獂䡁䅍兢摂䕁䅳党㕂䙁䄸睕あ䝁䅅䅤穂䍁䅅䅊䍂䍁䅑杍穁䅁䅁䄫䅍䙁䅯䅁扂䕁䄰兓時䕁䅍睢瑂䡁䅁兙畂䡁䅫睘䱂䝁䅕入呂䡁䅑兙あ䡁䅍睘㉂䑁䅅杌㑂䝁䅷督瑂䙁䄰睓求䡁䅫睘呂䡁䅑兙あ䡁䅍光歁䕁䅉䅊祁䑁䅑䅁䕃䅂䅁杗䅁䙁䅳兔䩂䙁䄸睑療䝁䄰䅣桂䝁䄴入時䕁䅳党㕂䙁䅍䅤桂䡁䅑督時䡁䅙免畁䡁䅧䅢穂䝁䄰兘䱂䝁䅕入時䙁䅍䅤桂䡁䅑督桁䍁䅑村歁䑁䅉兎䅁䥁䕧䅁慂䅁䅁睗乂䕁䅫睘䑂䝁䄸兢睂䝁䅅杢㕂䙁䄸睓求䡁䅫睕あ䝁䅅䅤穂䙁䄸杤硁䍁䄴䅥獂䡁䅍兢摂䕁䅳党㕂䙁䄸睕あ䝁䅅䅤穂䍁䅅䅊䍂䍁䅑杍㉁䅁䅁睱䅑䙁䅯䅁扂䕁䄰兓時䕁䅍睢瑂䡁䅁兙畂䡁䅫睘䱂䝁䅕入呂䡁䅑兙あ䡁䅍睘㉂䑁䅅杌㑂䝁䅷督瑂䙁䄰睓求䡁䅫睘呂䡁䅑兙あ䡁䅍光歁䕁䅉䅊ㅁ䑁䅉䅁㡄睁䅁杗䅁䙁䅳兔䩂䙁䄸睑療䝁䄰䅣桂䝁䄴入時䕁䅳党㕂䙁䅍䅤桂䡁䅑督時䡁䅙免畁䡁䅧䅢穂䝁䄰兘䱂䝁䅕入時䙁䅍䅤桂䡁䅑督桁䍁䅑村歁䑁䅕睍䅁䥁䕷䅁慂䅁䅁睗乂䕁䅫睘䑂䝁䄸兢睂䝁䅅杢㕂䙁䄸睓求䡁䅫睕あ䝁䅅䅤穂䙁䄸杤硁䍁䄴䅥獂䡁䅍兢摂䕁䅳党㕂䙁䄸睕あ䝁䅅䅤穂䍁䅅䅊䍂䍁䅑兎ぁ䅁䅁杲䅑䙁䅯䅁扂䕁䄰兓時䕁䅍睢瑂䡁䅁兙畂䡁䅫睘䱂䝁䅕入呂䡁䅑兙あ䡁䅍睘㉂䑁䅅杌㑂䝁䅷督瑂䙁䄰睓求䡁䅫睘呂䡁䅑兙あ䡁䅍光歁䕁䅉䅊ㅁ䑁䅕䅁㉂兂䅁杗䅁䙁䅳兔䩂䙁䄸睑療䝁䄰䅣桂䝁䄴入時䕁䅳党㕂䙁䅍䅤桂䡁䅑督時䡁䅙免畁䡁䅧䅢穂䝁䄰兘䱂䝁䅕入時䙁䅍䅤桂䡁䅑督桁䍁䅑村歁䑁䅕兏䅁䅁䕁䅁慂䅁䅁睗乂䕁䅫睘䑂䝁䄸兢睂䝁䅅杢㕂䙁䄸睓求䡁䅫睕あ䝁䅅䅤穂䙁䄸杤硁䍁䄴䅥獂䡁䅍兢摂䕁䅳党㕂䙁䄸睕あ䝁䅅䅤穂䍁䅅䅊䍂䍁䅑李硁䅁䅁䅫䅑䙁䅯䅁扂䕁䄰兓時䕁䅍睢瑂䡁䅁兙畂䡁䅫睘䱂䝁䅕入呂䡁䅑兙あ䡁䅍睘㉂䑁䅅杌㑂䝁䅷督瑂䙁䄰睓求䡁䅫睘呂䡁䅑兙あ䡁䅍光歁䕁䅉䅊㉁䑁䅉䅁ぃ䅂䅁条䅁䙁䅳兔䩂䙁䄸睑療䝁䄰䅣桂䝁䄴入時䕁䅳党㕂䙁䅍䅤桂䡁䅑督時䡁䅙免畁䡁䅧䅢穂䝁䄰兘䱂䝁䅕入時䙁䅍䅤桂䡁䅑督桁䍁䅑睑歁䑁䅅䅍ㅁ䑁䅯䅊䑂䍁䅑免睁䑁䅫䅁㉄睁䅁条䅁䙁䅳兔䩂䙁䄸睑療䝁䄰䅣桂䝁䄴入時䕁䅳党㕂䙁䅍䅤桂䡁䅑督時䡁䅙免畁䡁䅧䅢穂䝁䄰兘䱂䝁䅕入時䙁䅍䅤桂䡁䅑督桁䍁䅑睑歁䑁䅅䅍㉁䑁䅯䅊䑂䍁䅑免硁䑁䅁䅁䙁兂䅁条䅁䙁䅳兔䩂䙁䄸睑療䝁䄰䅣桂䝁䄴入時䕁䅳党㕂䙁䅍䅤桂䡁䅑督時䡁䅙免畁䡁䅧䅢穂䝁䄰兘䱂䝁䅕入時䙁䅍䅤桂䡁䅑督桁䍁䅑睑歁䑁䅅䅍㍁䑁䅯䅊䑂䍁䅑免硁䑁䅅䅁坃䅂䅁条䅁䙁䅳兔䩂䙁䄸睑療䝁䄰䅣桂䝁䄴入時䕁䅳党㕂䙁䅍䅤桂䡁䅑督時䡁䅙免畁䡁䅧䅢穂䝁䄰兘䱂䝁䅕入時䙁䅍䅤桂䡁䅑督桁䍁䅑睑歁䑁䅅䅍㑁䑁䅯䅊䑂䍁䅑免硁䑁䅉䅁婃䅂䅁条䅁䙁䅳兔䩂䙁䄸睑療䝁䄰䅣桂䝁䄴入時䕁䅳党㕂䙁䅍䅤桂䡁䅑督時䡁䅙免畁䡁䅧䅢穂䝁䄰兘䱂䝁䅕入時䙁䅍䅤桂䡁䅑督桁䍁䅑睑歁䑁䅅䅍㕁䑁䅯䅊䑂䍁䅑免硁䑁䅍䅁捃䅂䅁条䅁䙁䅳兔䩂䙁䄸睑療䝁䄰䅣桂䝁䄴入時䕁䅳党㕂䙁䅍䅤桂䡁䅑督時䡁䅙免畁䡁䅧䅢穂䝁䄰兘䱂䝁䅕入時䙁䅍䅤桂䡁䅑督桁䍁䅑睑歁䑁䅅䅍㕁䑁䅯䅊䑂䍁䅑免硁䑁䅑䅁㍂兂䅁条䅁䙁䅳兔䩂䙁䄸睑療䝁䄰䅣桂䝁䄴入時䕁䅳党㕂䙁䅍䅤桂䡁䅑督時䡁䅙免畁䡁䅧䅢穂䝁䄰兘䱂䝁䅕入時䙁䅍䅤桂䡁䅑督桁䍁䅑睑歁䑁䅅䅍㕁䑁䅯䅊䑂䍁䅑免硁䑁䅕䅁癃兂䅁条䅁䙁䅳兔䩂䙁䄸睑療䝁䄰䅣桂䝁䄴入時䕁䅳党㕂䙁䅍䅤桂䡁䅑督時䡁䅙免畁䡁䅧䅢穂䝁䄰兘䱂䝁䅕入時䙁䅍䅤桂䡁䅑督桁䍁䅑睑歁䑁䅅免睁䑁䅯䅊䑂䍁䅑免硁䑁䅑䅁祃䅂䅁杚䅁䙁䅳兔䩂䙁䄸睑療䝁䄰䅣桂䝁䄴入時䕁䅳党㕂䙁䅍䅤桂䡁䅑督時䡁䅙免畁䡁䅧䅢穂䝁䄰兘䱂䝁䅕入時䙁䅍䅤桂䡁䅑督桁䍁䅑睑歁䑁䅉兎㙁䍁䅑睑歁䑁䅑兏䅁偁䑉䅁浂䅁䅁睗乂䕁䅫睘䑂䝁䄸兢睂䝁䅅杢㕂䙁䄸睓求䡁䅫睕あ䝁䅅䅤穂䙁䄸杤硁䍁䄴䅥獂䡁䅍兢摂䕁䅳党㕂䙁䄸睕あ䝁䅅䅤穂䍁䅅䅊䑂䍁䅑杍㍁䑁䅯䅊䑂䍁䅑兎硁䅁䅁杨䅑䝁䅙䅁扂䕁䄰兓時䕁䅍睢瑂䡁䅁兙畂䡁䅫睘䱂䝁䅕入呂䡁䅑兙あ䡁䅍睘㉂䑁䅅杌㑂䝁䅷督瑂䙁䄰睓求䡁䅫睘呂䡁䅑兙あ䡁䅍光歁䕁䅍䅊祁䑁䅧杏歁䕁䅍䅊ㅁ䑁䅉䅁灃䅂䅁杚䅁䙁䅳兔䩂䙁䄸睑療䝁䄰䅣桂䝁䄴入時䕁䅳党㕂䙁䅍䅤桂䡁䅑督時䡁䅙免畁䡁䅧䅢穂䝁䄰兘䱂䝁䅕入時䙁䅍䅤桂䡁䅑督桁䍁䅑睑歁䑁䅕䅎㙁䍁䅑睑歁䑁䅕兎䅁偁䐴䅁浂䅁䅁睗乂䕁䅫睘䑂䝁䄸兢睂䝁䅅杢㕂䙁䄸睓求䡁䅫睕あ䝁䅅䅤穂䙁䄸杤硁䍁䄴䅥獂䡁䅍兢摂䕁䅳党㕂䙁䄸睕あ䝁䅅䅤穂䍁䅅䅊䑂䍁䅑兎㉁䑁䅯䅊䑂䍁䅑兎㍁䅁䅁杪䅑䝁䅙䅁扂䕁䄰兓時䕁䅍睢瑂䡁䅁兙畂䡁䅫睘䱂䝁䅕入呂䡁䅑兙あ䡁䅍睘㉂䑁䅅杌㑂䝁䅷督瑂䙁䄰睓求䡁䅫睘呂䡁䅑兙あ䡁䅍光歁䕁䅍䅊ㅁ䑁䅣杏歁䕁䅍䅊ㅁ䑁䅧䅁癃䅂䅁杚䅁䙁䅳兔䩂䙁䄸睑療䝁䄰䅣桂䝁䄴入時䕁䅳党㕂䙁䅍䅤桂䡁䅑督時䡁䅙免畁䡁䅧䅢穂䝁䄰兘䱂䝁䅕入時䙁䅍䅤桂䡁䅑督桁䍁䅑睑歁䑁䅙免㙁䍁䅑睑歁䑁䅙睎䅁䅁䕉䅁浂䅁䅁睗乂䕁䅫睘䑂䝁䄸兢睂䝁䅅杢㕂䙁䄸睓求䡁䅫睕あ䝁䅅䅤穂䙁䄸杤硁䍁䄴䅥獂䡁䅍兢摂䕁䅳党㕂䙁䄸睕あ䝁䅅䅤穂䍁䅅䅊䑂䍁䅑李祁䑁䅯䅊䑂䍁䅑李㑁䅁䅁杂䅕䝁䅙䅁扂䕁䄰兓時䕁䅍睢瑂䡁䅁兙畂䡁䅫睘䱂䝁䅕入呂䡁䅑兙あ䡁䅍睘㉂䑁䅅杌㑂䝁䅷督瑂䙁䄰睓求䡁䅫睘呂䡁䅑兙あ䡁䅍光歁䕁䅍䅊㉁䑁䅍杏歁䕁䅍䅊㉁䑁䅫䅁千䅂䅁杚䅁䙁䅳兔䩂䙁䄸睑療䝁䄰䅣桂䝁䄴入時䕁䅳党㕂䙁䅍䅤桂䡁䅑督時䡁䅙免畁䡁䅧䅢穂䝁䄰兘䱂䝁䅕入時䙁䅍䅤桂䡁䅑督桁䍁䅑睑歁䑁䅙䅎㙁䍁䅑睑歁䑁䅣䅍䅁䩁䕳䅁浂䅁䅁睗乂䕁䅫睘䑂䝁䄸兢睂䝁䅅杢㕂䙁䄸睓求䡁䅫睕あ䝁䅅䅤穂䙁䄸杤硁䍁䄴䅥獂䡁䅍兢摂䕁䅳党㕂䙁䄸睕あ䝁䅅䅤穂䍁䅅䅊䑂䍁䅑李ㅁ䑁䅯䅊䑂䍁䅑睎硁䅁䅁兴䅑䝁䅙䅁扂䕁䄰兓時䕁䅍睢瑂䡁䅁兙畂䡁䅫睘䱂䝁䅕入呂䡁䅑兙あ䡁䅍睘㉂䑁䅅杌㑂䝁䅷督瑂䙁䄰睓求䡁䅫睘呂䡁䅑兙あ䡁䅍光歁䕁䅑䅊祁䑁䅕杏歁䕁䅑䅊ぁ䑁䅫䅁㙄睁䅁杚䅁䙁䅳兔䩂䙁䄸睑療䝁䄰䅣桂䝁䄴入時䕁䅳党㕂䙁䅍䅤桂䡁䅑督時䡁䅙免畁䡁䅧䅢穂䝁䄰兘䱂䝁䅕入時䙁䅍䅤桂䡁䅑督桁䍁䅑䅒歁䑁䅉睎㙁䍁䅑䅒歁䑁䅕免䅁䥁䕯䅁浂䅁䅁睗乂䕁䅫睘䑂䝁䄸兢睂䝁䅅杢㕂䙁䄸睓求䡁䅫睕あ䝁䅅䅤穂䙁䄸杤硁䍁䄴䅥獂䡁䅍兢摂䕁䅳党㕂䙁䄸睕あ䝁䅅䅤穂䍁䅅䅊䕂䍁䅑杍㑁䑁䅯䅊䕂䍁䅑兎祁䅁䅁䅲䅑䝁䅙䅁扂䕁䄰兓時䕁䅍睢瑂䡁䅁兙畂䡁䅫睘䱂䝁䅕入呂䡁䅑兙あ䡁䅍睘㉂䑁䅅杌㑂䝁䅷督瑂䙁䄰睓求䡁䅫睘呂䡁䅑兙あ䡁䅍光歁䕁䅑䅊ㅁ䑁䅑杏歁䕁䅑䅊ㅁ䑁䅕䅁⽄睁䅁杚䅁䙁䅳兔䩂䙁䄸睑療䝁䄰䅣桂䝁䄴入時䕁䅳党㕂䙁䅍䅤桂䡁䅑督時䡁䅙免畁䡁䅧䅢穂䝁䄰兘䱂䝁䅕入時䙁䅍䅤桂䡁䅑督桁䍁䅑䅒歁䑁䅕睎㙁䍁䅑䅒歁䑁䅕䅏䅁䱁䕷䅁煂䅁䅁睗乂䕁䅫睘䑂䝁䄸兢睂䝁䅅杢㕂䙁䄸睓求䡁䅫睕あ䝁䅅䅤穂䙁䄸杤硁䍁䄴䅥獂䡁䅍兢摂䕁䅳党㕂䙁䄸睕あ䝁䅅䅤穂䍁䅅䅊䙂䍁䅑免睁䑁䅍杏歁䕁䅣䅊硁䑁䅁睍䅁偁䑕䅁煂䅁䅁睗乂䕁䅫睘䑂䝁䄸兢睂䝁䅅杢㕂䙁䄸睓求䡁䅫睕あ䝁䅅䅤穂䙁䄸杤硁䍁䄴䅥獂䡁䅍兢摂䕁䅳党㕂䙁䄸睕あ䝁䅅䅤穂䍁䅅䅊䙂䍁䅑免睁䑁䅑杏歁䕁䅣䅊硁䑁䅁䅎䅁偁䑣䅁煂䅁䅁睗乂䕁䅫睘䑂䝁䄸兢睂䝁䅅杢㕂䙁䄸睓求䡁䅫睕あ䝁䅅䅤穂䙁䄸杤硁䍁䄴䅥獂䡁䅍兢摂䕁䅳党㕂䙁䄸睕あ䝁䅅䅤穂䍁䅅䅊䙂䍁䅑免睁䑁䅕杏歁䕁䅣䅊硁䑁䅁兎䅁䩁䕕䅁煂䅁䅁睗乂䕁䅫睘䑂䝁䄸兢睂䝁䅅杢㕂䙁䄸睓求䡁䅫睕あ䝁䅅䅤穂䙁䄸杤硁䍁䄴䅥獂䡁䅍兢摂䕁䅳党㕂䙁䄸睕あ䝁䅅䅤穂䍁䅅䅊䙂䍁䅑免睁䑁䅙杏歁䕁䅣䅊硁䑁䅁李䅁䩁䕣䅁煂䅁䅁睗乂䕁䅫睘䑂䝁䄸兢睂䝁䅅杢㕂䙁䄸睓求䡁䅫睕あ䝁䅅䅤穂䙁䄸杤硁䍁䄴䅥獂䡁䅍兢摂䕁䅳党㕂䙁䄸睕あ䝁䅅䅤穂䍁䅅䅊䙂䍁䅑免睁䑁䅣杏歁䕁䅣䅊硁䑁䅁睎䅁䩁䕯䅁煂䅁䅁睗乂䕁䅫睘䑂䝁䄸兢睂䝁䅅杢㕂䙁䄸睓求䡁䅫睕あ䝁䅅䅤穂䙁䄸杤硁䍁䄴䅥獂䡁䅍兢摂䕁䅳党㕂䙁䄸睕あ䝁䅅䅤穂䍁䅅䅊䙂䍁䅑免睁䑁䅧杏歁䕁䅣䅊硁䑁䅁䅏䅁䱁䕍䅁浂䅁䅁睗乂䕁䅫睘䑂䝁䄸兢睂䝁䅅杢㕂䙁䄸睓求䡁䅫睕あ䝁䅅䅤穂䙁䄸杤硁䍁䄴䅥獂䡁䅍兢摂䕁䅳党㕂䙁䄸睕あ䝁䅅䅤穂䍁䅅䅊䙂䍁䅑杍祁䑁䅯䅊䩂䍁䅑杍祁䅁䅁儸䅍䝁䅙䅁扂䕁䄰兓時䕁䅍睢瑂䡁䅁兙畂䡁䅫睘䱂䝁䅕入呂䡁䅑兙あ䡁䅍睘㉂䑁䅅杌㑂䝁䅷督瑂䙁䄰睓求䡁䅫睘呂䡁䅑兙あ䡁䅍光歁䕁䅕䅊祁䑁䅉杏歁䕁䅯䅊祁䑁䅉䅁䍃䅂䅁杚䅁䙁䅳兔䩂䙁䄸睑療䝁䄰䅣桂䝁䄴入時䕁䅳党㕂䙁䅍䅤桂䡁䅑督時䡁䅙免畁䡁䅧䅢穂䝁䄰兘䱂䝁䅕入時䙁䅍䅤桂䡁䅑督桁䍁䅑兒歁䑁䅉杍㙁䍁䅑䅔歁䑁䅉杍䅁䡁䕙䅁浂䅁䅁睗乂䕁䅫睘䑂䝁䄸兢睂䝁䅅杢㕂䙁䄸睓求䡁䅫睕あ䝁䅅䅤穂䙁䄸杤硁䍁䄴䅥獂䡁䅍兢摂䕁䅳党㕂䙁䄸睕あ䝁䅅䅤穂䍁䅅䅊䙂䍁䅑杍穁䑁䅯䅊䩂䍁䅑杍穁䅁䅁眸䅍䝁䅙䅁扂䕁䄰兓時䕁䅍睢瑂䡁䅁兙畂䡁䅫睘䱂䝁䅕入呂䡁䅑兙あ䡁䅍睘㉂䑁䅅杌㑂䝁䅷督瑂䙁䄰睓求䡁䅫睘呂䡁䅑兙あ䡁䅍光歁䕁䅕䅊祁䑁䅍杏歁䕁䅯䅊祁䑁䅍䅁䑃䅂䅁杚䅁䙁䅳兔䩂䙁䄸睑療䝁䄰䅣桂䝁䄴入時䕁䅳党㕂䙁䅍䅤桂䡁䅑督時䡁䅙免畁䡁䅧䅢穂䝁䄰兘䱂䝁䅕入時䙁䅍䅤桂䡁䅑督桁䍁䅑兒歁䑁䅉睍㙁䍁䅑䅔歁䑁䅉睍䅁䡁䕣䅁浂䅁䅁睗乂䕁䅫睘䑂䝁䄸兢睂䝁䅅杢㕂䙁䄸睓求䡁䅫睕あ䝁䅅䅤穂䙁䄸杤硁䍁䄴䅥獂䡁䅍兢摂䕁䅳党㕂䙁䄸睕あ䝁䅅䅤穂䍁䅅䅊䙂䍁䅑杍ぁ䑁䅯䅊䭂䍁䅑杍ぁ䅁䅁全䅑䝁䅙䅁扂䕁䄰兓時䕁䅍睢瑂䡁䅁兙畂䡁䅫睘䱂䝁䅕入呂䡁䅑兙あ䡁䅍睘㉂䑁䅅杌㑂䝁䅷督瑂䙁䄰睓求䡁䅫睘呂䡁䅑兙あ䡁䅍光歁䕁䅕䅊祁䑁䅕杏歁䕁䅯䅊祁䑁䅕䅁䡃䅂䅁杚䅁䙁䅳兔䩂䙁䄸睑療䝁䄰䅣桂䝁䄴入時䕁䅳党㕂䙁䅍䅤桂䡁䅑督時䡁䅙免畁䡁䅧䅢穂䝁䄰兘䱂䝁䅕入時䙁䅍䅤桂䡁䅑督桁䍁䅑兒歁䑁䅉兎㙁䍁䅑䅔歁䑁䅉兎䅁䱁䕯䅁浂䅁䅁睗乂䕁䅫睘䑂䝁䄸兢睂䝁䅅杢㕂䙁䄸睓求䡁䅫睕あ䝁䅅䅤穂䙁䄸杤硁䍁䄴䅥獂䡁䅍兢摂䕁䅳党㕂䙁䄸睕あ䝁䅅䅤穂䍁䅅䅊䙂䍁䅑杍㉁䑁䅯䅊䭂䍁䅑杍㉁䅁䅁東䅑䝁䅙䅁扂䕁䄰兓時䕁䅍睢瑂䡁䅁兙畂䡁䅫睘䱂䝁䅕入呂䡁䅑兙あ䡁䅍睘㉂䑁䅅杌㑂䝁䅷督瑂䙁䄰睓求䡁䅫睘呂䡁䅑兙あ䡁䅍光歁䕁䅕䅊祁䑁䅙杏歁䕁䅷䅊祁䑁䅙䅁㝃䅂䅁杗䅁䙁䅳兔䩂䙁䄸睑療䝁䄰䅣桂䝁䄴入時䕁䅳党㕂䙁䅍䅤桂䡁䅑督時䡁䅙免畁䡁䅧䅢穂䝁䄰兘䱂䝁䅕入時䙁䅍䅤桂䡁䅑督桁䍁䅑兒歁䑁䅕杍䅁偁䐰䅁慂䅁䅁睗乂䕁䅫睘䑂䝁䄸兢睂䝁䅅杢㕂䙁䄸睓求䡁䅫睕あ䝁䅅䅤穂䙁䄸杤硁䍁䄴䅥獂䡁䅍兢摂䕁䅳党㕂䙁䄸睕あ䝁䅅䅤穂䍁䅅䅊䙂䍁䅑兎穁䅁䅁兪䅑䙁䅯䅁扂䕁䄰兓時䕁䅍睢瑂䡁䅁兙畂䡁䅫睘䱂䝁䅕入呂䡁䅑兙あ䡁䅍睘㉂䑁䅅杌㑂䝁䅷督瑂䙁䄰睓求䡁䅫睘呂䡁䅑兙あ䡁䅍光歁䕁䅕䅊ㅁ䑁䅑䅁偃䅂䅁杗䅁䙁䅳兔䩂䙁䄸睑療䝁䄰䅣桂䝁䄴入時䕁䅳党㕂䙁䅍䅤桂䡁䅑督時䡁䅙免畁䡁䅧䅢穂䝁䄰兘䱂䝁䅕入時䙁䅍䅤桂䡁䅑督桁䍁䅑兒歁䑁䅕兎䅁䱁䕁䅁慂䅁䅁睗乂䕁䅫睘䑂䝁䄸兢睂䝁䅅杢㕂䙁䄸睓求䡁䅫睕あ䝁䅅䅤穂䙁䄸杤硁䍁䄴䅥獂䡁䅍兢摂䕁䅳党㕂䙁䄸睕あ䝁䅅䅤穂䍁䅅䅊䙂䍁䅑兎㕁䅁䅁允䅑䙁䅯䅁扂䕁䄰兓時䕁䅍睢瑂䡁䅁兙畂䡁䅫睘䱂䝁䅕入呂䡁䅑兙あ䡁䅍睘㉂䑁䅅杌㑂䝁䅷督瑂䙁䄰睓求䡁䅫睘呂䡁䅑兙あ䡁䅍光歁䕁䅕䅊㉁䑁䅁䅁䑁䅂䅁杗䅁䙁䅳兔䩂䙁䄸睑療䝁䄰䅣桂䝁䄴入時䕁䅳党㕂䙁䅍䅤桂䡁䅑督時䡁䅙免畁䡁䅧䅢穂䝁䄰兘䱂䝁䅕入時䙁䅍䅤桂䡁䅑督桁䍁䅑兒歁䑁䅙免䅁䩁䕅䅁慂䅁䅁睗乂䕁䅫睘䑂䝁䄸兢睂䝁䅅杢㕂䙁䄸睓求䡁䅫睕あ䝁䅅䅤穂䙁䄸杤硁䍁䄴䅥獂䡁䅍兢摂䕁䅳党㕂䙁䄸睕あ䝁䅅䅤穂䍁䅅䅊䙂䍁䅑李祁䅁䅁睫䅑䙁䅯䅁扂䕁䄰兓時䕁䅍睢瑂䡁䅁兙畂䡁䅫睘䱂䝁䅕入呂䡁䅑兙あ䡁䅍睘㉂䑁䅅杌㑂䝁䅷督瑂䙁䄰睓求䡁䅫睘呂䡁䅑兙あ䡁䅍光歁䕁䅕䅊㉁䑁䅍䅁㉃䅂䅁杚䅁䙁䅳兔䩂䙁䄸睑療䝁䄰䅣桂䝁䄴入時䕁䅳党㕂䙁䅍䅤桂䡁䅑督時䡁䅙免畁䡁䅧䅢穂䝁䄰兘䱂䝁䅕入時䙁䅍䅤桂䡁䅑督桁䍁䅑杓歁䑁䅉杍㙁䍁䅑䅔歁䑁䅉杍䅁偁䑫䅁浂䅁䅁睗乂䕁䅫睘䑂䝁䄸兢睂䝁䅅杢㕂䙁䄸睓求䡁䅫睕あ䝁䅅䅤穂䙁䄸杤硁䍁䄴䅥獂䡁䅍兢摂䕁䅳党㕂䙁䄸睕あ䝁䅅䅤穂䍁䅅䅊䭂䍁䅑杍穁䑁䅯䅊䵂䍁䅑杍穁䅁䅁眫䅍䝁䅙䅁扂䕁䄰兓時䕁䅍睢瑂䡁䅁兙畂䡁䅫睘䱂䝁䅕入呂䡁䅑兙あ䡁䅍睘㉂䑁䅅杌㑂䝁䅷督瑂䙁䄰睓求䡁䅫睘呂䡁䅑兙あ䡁䅍光歁䕁䄰䅊祁䑁䅉杏歁䕁䄸䅊祁䑁䅉䅁㑂䅂䅁杚䅁䙁䅳兔䩂䙁䄸睑療䝁䄰䅣桂䝁䄴入時䕁䅳党㕂䙁䅍䅤桂䡁䅑督時䡁䅙免畁䡁䅧䅢穂䝁䄰兘䱂䝁䅕入時䙁䅍䅤桂䡁䅑督桁䍁䅑兔歁䑁䅉睍㙁䍁䅑睔歁䑁䅉睍䅁䡁䕫䅁浂䅁䅁睗乂䕁䅫睘䑂䝁䄸兢睂䝁䅅杢㕂䙁䄸睓求䡁䅫睕あ䝁䅅䅤穂䙁䄸杤硁䍁䄴䅥獂䡁䅍兢摂䕁䅳党㕂䙁䄸睕あ䝁䅅䅤穂䍁䅅䅊乂䍁䅑杍ぁ䑁䅯䅊偂䍁䅑杍ぁ䅁䅁兩䅑䝁䅙䅁扂䕁䄰兓時䕁䅍睢瑂䡁䅁兙畂䡁䅫睘䱂䝁䅕入呂䡁䅑兙あ䡁䅍睘㉂䑁䅅杌㑂䝁䅷督瑂䙁䄰睓求䡁䅫睘呂䡁䅑兙あ䡁䅍光歁䕁䄰䅊祁䑁䅕杏歁䕁䄸䅊祁䑁䅕䅁䱃䅂䅁杚䅁䙁䅳兔䩂䙁䄸睑療䝁䄰䅣桂䝁䄴入時䕁䅳党㕂䙁䅍䅤桂䡁䅑督時䡁䅙免畁䡁䅧䅢穂䝁䄰兘䱂䝁䅕入時䙁䅍䅤桂䡁䅑督桁䍁䅑兔歁䑁䅉李㙁䍁䅑睔歁䑁䅉李䅁䭁䔰䅁慂䅁䅁睗乂䕁䅫睘䑂䝁䄸兢睂䝁䅅杢㕂䙁䄸睓求䡁䅫睕あ䝁䅅䅤穂䙁䄸杤硁䍁䄴䅥獂䡁䅍兢摂䕁䅳党㕂䙁䄸睕あ䝁䅅䅤穂䍁䅅䅊呂䍁䅑兎ㅁ䅁䅁䅮䅕䝁䅙䅁扂䕁䄰兓時䕁䅍睢瑂䡁䅁兙畂䡁䅫睘䱂䝁䅕入呂䡁䅑兙あ䡁䅍睘㉂䑁䅅杌㑂䝁䅷督瑂䙁䄰睓求䡁䅫睘呂䡁䅑兙あ䡁䅍光歁䙁䅍䅊ㅁ䑁䅧杏歁䙁䅍䅊㉁䑁䅅䅁獃兂䅁杚䅁䙁䅳兔䩂䙁䄸睑療䝁䄰䅣桂䝁䄴入時䕁䅳党㕂䙁䅍䅤桂䡁䅑督時䡁䅙免畁䡁䅧䅢穂䝁䄰兘䱂䝁䅕入時䙁䅍䅤桂䡁䅑督桁䍁䅑睕歁䑁䅕䅏㙁䍁䅑睕歁䑁䅙杍䅁䩁䘰䅁浂䅁䅁睗乂䕁䅫睘䑂䝁䄸兢睂䝁䅅杢㕂䙁䄸睓求䡁䅫睕あ䝁䅅䅤穂䙁䄸杤硁䍁䄴䅥獂䡁䅍兢摂䕁䅳党㕂䙁䄸睕あ䝁䅅䅤穂䍁䅅䅊啂䍁䅑兎㑁䑁䅯䅊啂䍁䅑李硁䅁䅁杲䅕䝁䅙䅁扂䕁䄰兓時䕁䅍睢瑂䡁䅁兙畂䡁䅫睘䱂䝁䅕入呂䡁䅑兙あ䡁䅍睘㉂䑁䅅杌㑂䝁䅷督瑂䙁䄰睓求䡁䅫睘呂䡁䅑兙あ䡁䅍光歁䙁䅑䅊ㅁ䑁䅧杏歁䙁䅑䅊㉁䑁䅉䅁晃兂䅁杚䅁䙁䅳兔䩂䙁䄸睑療䝁䄰䅣桂䝁䄴入時䕁䅳党㕂䙁䅍䅤桂䡁䅑督時䡁䅙免畁䡁䅧䅢穂䝁䄰兘䱂䝁䅕入時䙁䅍䅤桂䡁䅑督桁䍁䅑杖歁䑁䅕睎㙁䍁䅑睖歁䑁䅕睎䅁䭁䘰䅁浂䅁䅁睗乂䕁䅫睘䑂䝁䄸兢睂䝁䅅杢㕂䙁䄸睓求䡁䅫睕あ䝁䅅䅤穂䙁䄸杤硁䍁䄴䅥獂䡁䅍兢摂䕁䅳党㕂䙁䄸睕あ䝁䅅䅤穂䍁䅅䅊坂䍁䅑兎㍁䑁䅯䅊婂䍁䅑兎㍁䅁䅁杮䅕䝁䅉䅁扂䕁䄰兓時䕁䅍睢瑂䡁䅁兙畂䡁䅫睘䱂䝁䅕入呂䡁䅑兙あ䡁䅍睘㉂䑁䅅杌㑂䝁䅷督瑂䙁䄰杕桂䡁䅑兡療䡁䅍光歁䕁䅍䅊硁䑁䅅杏歁䕁䅍䅊硁䑁䅕杍䅁䵁䙙䅁卂䅁䅁睗乂䕁䅫睘䑂䝁䄸兢睂䝁䅅杢㕂䙁䄸睓求䡁䅫睕あ䝁䅅䅤穂䙁䄸杤硁䍁䄴䅥獂䡁䅍兢摂䙁䅉兙あ䝁䅫睢穂䍁䅅䅊䑂䍁䅑䅎䅁䍁䕑䅁卂䅁䅁睗乂䕁䅫睘䑂䝁䄸兢睂䝁䅅杢㕂䙁䄸睓求䡁䅫睕あ䝁䅅䅤穂䙁䄸杤硁䍁䄴䅥獂䡁䅍兢摂䙁䅉兙あ䝁䅫睢穂䍁䅅䅊䑂䍁䅑李䅁䵁䙑䅁杂䅁䅁睗乂䕁䅫睘䑂䝁䄸兢睂䝁䅅杢㕂䙁䄸睓求䡁䅫睕あ䝁䅅䅤穂䙁䄸杤硁䍁䄴䅥獂䡁䅍兢摂䙁䅉兙あ䝁䅫睢穂䍁䅅䅊䑂䍁䅑兏㙁䍁䅑睑歁䑁䅅兎睁䅁䅁杊䅑䙁䅷䅁扂䕁䄰兓時䕁䅍睢瑂䡁䅁兙畂䡁䅫睘䱂䝁䅕入呂䡁䅑兙あ䡁䅍睘㉂䑁䅅杌㑂䝁䅷督瑂䙁䄰杕桂䡁䅑兡療䡁䅍光歁䕁䅑䅊ぁ䑁䅯䅊䩂䍁䅑䅎䅁䍁䕕䅁捂䅁䅁睗乂䕁䅫睘䑂䝁䄸兢睂䝁䅅杢㕂䙁䄸睓求䡁䅫睕あ䝁䅅䅤穂䙁䄸杤硁䍁䄴䅥獂䡁䅍兢摂䙁䅉兙あ䝁䅫睢穂䍁䅅䅊䕂䍁䅑兎㙁䍁䅑兓歁䑁䅕䅁湁䅂䅁䅘䅁䙁䅳兔䩂䙁䄸睑療䝁䄰䅣桂䝁䄴入時䕁䅳党㕂䙁䅍䅤桂䡁䅑督時䡁䅙免畁䡁䅧䅢穂䝁䄰兘卂䝁䅅䅤灂䝁䄸督桁䍁䅑䅒歁䑁䅙杏歁䕁䅫䅊㉁䅁䅁典䅕䙁䅷䅁扂䕁䄰兓時䕁䅍睢瑂䡁䅁兙畂䡁䅫睘䱂䝁䅕入呂䡁䅑兙あ䡁䅍睘㉂䑁䅅杌㑂䝁䅷督瑂䙁䄰杕桂䡁䅑兡療䡁䅍光歁䕁䅑䅊㍁䑁䅯䅊䩂䍁䅑睎䅁䵁䙣䅁畂䅁䅁睗乂䕁䅫睘䑂䝁䄸兢睂䝁䅅杢㕂䙁䄸睓求䡁䅫睕あ䝁䅅䅤穂䙁䄸杤硁䍁䄴䅥獂䡁䅍兢摂䙁䅍兤睂䡁䅁䅢求䝁䄰党畂䡁䅑兙獂䍁䅅䅊䑂䍁䅑免硁䑁䅯䅊䑂䍁䅑免㉁䑁䅙䅁䭄兂䅁杘䅁䙁䅳兔䩂䙁䄸睑療䝁䄰䅣桂䝁䄴入時䕁䅳党㕂䙁䅍䅤桂䡁䅑督時䡁䅙免畁䡁䅧䅢穂䝁䄰兘呂䡁䅕䅣睂䝁䅷党瑂䝁䅕杢あ䝁䅅䅢桁䍁䅑睑歁䑁䅑䅁潁䅂䅁杘䅁䙁䅳兔䩂䙁䄸睑療䝁䄰䅣桂䝁䄴入時䕁䅳党㕂䙁䅍䅤桂䡁䅑督時䡁䅙免畁䡁䅧䅢穂䝁䄰兘呂䡁䅕䅣睂䝁䅷党瑂䝁䅕杢あ䝁䅅䅢桁䍁䅑睑歁䑁䅙䅁䥄兂䅁䅢䅁䙁䅳兔䩂䙁䄸睑療䝁䄰䅣桂䝁䄴入時䕁䅳党㕂䙁䅍䅤桂䡁䅑督時䡁䅙免畁䡁䅧䅢穂䝁䄰兘呂䡁䅕䅣睂䝁䅷党瑂䝁䅕杢あ䝁䅅䅢桁䍁䅑睑歁䑁䅫杏歁䕁䅍䅊硁䑁䅙䅎䅁䍁䕯䅁潂䅁䅁睗乂䕁䅫睘䑂䝁䄸兢睂䝁䅅杢㕂䙁䄸睓求䡁䅫睕あ䝁䅅䅤穂䙁䄸杤硁䍁䄴䅥獂䡁䅍兢摂䙁䅍兤睂䡁䅁䅢求䝁䄰党畂䡁䅑兙獂䍁䅅䅊䕂䍁䅑䅎㙁䍁䅑兓歁䑁䅑䅁灁䅂䅁䅡䅁䙁䅳兔䩂䙁䄸睑療䝁䄰䅣桂䝁䄴入時䕁䅳党㕂䙁䅍䅤桂䡁䅑督時䡁䅙免畁䡁䅧䅢穂䝁䄰兘呂䡁䅕䅣睂䝁䅷党瑂䝁䅕杢あ䝁䅅䅢桁䍁䅑䅒歁䑁䅕杏歁䕁䅫䅊ㅁ䅁䅁睋䅑䝁䅧䅁扂䕁䄰兓時䕁䅍睢瑂䡁䅁兙畂䡁䅫睘䱂䝁䅕入呂䡁䅑兙あ䡁䅍睘㉂䑁䅅杌㑂䝁䅷督瑂䙁䄰睕ㅂ䡁䅁䅣獂䝁䅕兢求䝁䄴䅤桂䝁䅷光歁䕁䅑䅊㉁䑁䅯䅊䩂䍁䅑李䅁䵁䙫䅁潂䅁䅁睗乂䕁䅫睘䑂䝁䄸兢睂䝁䅅杢㕂䙁䄸睓求䡁䅫睕あ䝁䅅䅤穂䙁䄸杤硁䍁䄴䅥獂䡁䅍兢摂䙁䅍兤睂䡁䅁䅢求䝁䄰党畂䡁䅑兙獂䍁䅅䅊䕂䍁䅑睎㙁䍁䅑兓歁䑁䅣䅁䱄兂䅁杙䅁䙁䅳兔䩂䙁䄸睑療䝁䄰䅣桂䝁䄴入時䕁䅳党㕂䙁䅍䅤桂䡁䅑督時䡁䅙免偂䝁䅷䅚畁䡁䅧䅢穂䝁䄰兘䱂䝁䅕入時䙁䅍䅤桂䡁䅑督桁䍁䅑村歁䑁䅅䅍祁䅁䅁杦䅑䝁䅁䅁扂䕁䄰兓時䕁䅍睢瑂䡁䅁兙畂䡁䅫睘䱂䝁䅕入呂䡁䅑兙あ䡁䅍睘㉂䑁䅅睔獂䝁䅑杌㑂䝁䅷督瑂䙁䄰睓求䡁䅫睘呂䡁䅑兙あ䡁䅍光歁䕁䅉䅊祁䑁䅍䅁㙂䅂䅁䅣䅁䙁䅳兔䩂䙁䄸睑療䝁䄰䅣桂䝁䄴入時䕁䅳党㕂䙁䅍䅤桂䡁䅑督時䡁䅙免偂䝁䅷䅚畁䡁䅧䅢穂䝁䄰兘䱂䝁䅕入時䙁䅍䅤桂䡁䅑督桁䍁䅑睑歁䑁䅅䅍ㅁ䑁䅯䅊䑂䍁䅑免睁䑁䅫䅁䅃䅂䅁䅢䅁䙁䅳兔䩂䙁䄸睑療䝁䄰䅣桂䝁䄴入時䕁䅳党㕂䙁䅍䅤桂䡁䅑督時䡁䅙免偂䝁䅷䅚畁䡁䅧䅢穂䝁䄰兘䱂䝁䅕入時䙁䅍䅤桂䡁䅑督桁䍁䅑䅒歁䑁䅉兎㙁䍁䅑䅒歁䑁䅑兏䅁䡁䕷䅁睂䅁䅁睗乂䕁䅫睘䑂䝁䄸兢睂䝁䅅杢㕂䙁䄸睓求䡁䅫睕あ䝁䅅䅤穂䙁䄸杤硁䕁䄸䅢歂䍁䄴䅥獂䡁䅍兢摂䕁䅳党㕂䙁䄸睕あ䝁䅅䅤穂䍁䅅䅊䙂䍁䅑免睁䑁䅍杏歁䕁䅣䅊硁䑁䅁睍䅁䡁䔸䅁睂䅁䅁睗乂䕁䅫睘䑂䝁䄸兢睂䝁䅅杢㕂䙁䄸睓求䡁䅫睕あ䝁䅅䅤穂䙁䄸杤硁䕁䄸䅢歂䍁䄴䅥獂䡁䅍兢摂䕁䅳党㕂䙁䄸睕あ䝁䅅䅤穂䍁䅅䅊䙂䍁䅑免睁䑁䅑杏歁䕁䅣䅊硁䑁䅁䅎䅁䥁䕅䅁獂䅁䅁睗乂䕁䅫睘䑂䝁䄸兢睂䝁䅅杢㕂䙁䄸睓求䡁䅫睕あ䝁䅅䅤穂䙁䄸杤硁䕁䄸䅢歂䍁䄴䅥獂䡁䅍兢摂䕁䅳党㕂䙁䄸睕あ䝁䅅䅤穂䍁䅅䅊䭂䍁䅑杍祁䑁䅯䅊䵂䍁䅑杍祁䅁䅁睥䅑䝁䅷䅁扂䕁䄰兓時䕁䅍睢瑂䡁䅁兙畂䡁䅫睘䱂䝁䅕入呂䡁䅑兙あ䡁䅍睘㉂䑁䅅睔獂䝁䅑杌㑂䝁䅷督瑂䙁䄰睓求䡁䅫睘呂䡁䅑兙あ䡁䅍光歁䕁䅯䅊祁䑁䅍杏歁䕁䅷䅊祁䑁䅍䅁㥂䅂䅁杚䅁䙁䅳兔䩂䙁䄸睑療䝁䄰䅣桂䝁䄴入時䕁䅳党㕂䙁䅍䅤桂䡁䅑督時䡁䅙免時䍁䄴䅥獂䡁䅍兢摂䕁䅉兙獂䝁䅅杢橂䝁䅕睘呂䝁䅧党求䡁䅑光歁䕁䅍䅊硁䑁䅑睍䅁乁䔰䅁浂䅁䅁睗乂䕁䅫睘䑂䝁䄸兢睂䝁䅅杢㕂䙁䄸睓求䡁䅫睕あ䝁䅅䅤穂䙁䄸杤硁䙁䄸杌㑂䝁䅷督瑂䙁䄰村桂䝁䅷兙畂䝁䅍党時䙁䅍䅡求䝁䅕䅤桁䍁䅑睑歁䑁䅅䅎㉁䅁䅁眳䅑䝁䅉䅁扂䕁䄰兓時䕁䅍睢瑂䡁䅁兙畂䡁䅫睘䱂䝁䅕入呂䡁䅑兙あ䡁䅍睘㉂䑁䅅睘畁䡁䅧䅢穂䝁䄰兘䍂䝁䅅䅢桂䝁䄴睙求䙁䄸睕潂䝁䅕党あ䍁䅅䅊䑂䍁䅑䅎䅁乁䕫䅁睂䅁䅁睗乂䕁䅫睘䑂䝁䄸兢睂䝁䅅杢㕂䙁䄸睓求䡁䅫睕あ䝁䅅䅤穂䙁䄸杤硁䙁䄸杌㑂䝁䅷督瑂䙁䄰村桂䝁䅷兙畂䝁䅍党時䙁䅍䅡求䝁䅕䅤桁䍁䅑睑歁䑁䅫杏歁䕁䅍䅊硁䑁䅍兏䅁乁䕳䅁あ䅁䅁睗乂䕁䅫睘䑂䝁䄸兢睂䝁䅅杢㕂䙁䄸睓求䡁䅫睕あ䝁䅅䅤穂䙁䄸杤硁䙁䄸杌㑂䝁䅷督瑂䙁䄰村桂䝁䅷兙畂䝁䅍党時䙁䅍䅡求䝁䅕䅤桁䍁䅑兒歁䑁䅅䅎穁䑁䅯䅊兂䍁䅑免ぁ䑁䅍䅁敄䅂䅁䅤䅁䙁䅳兔䩂䙁䄸睑療䝁䄰䅣桂䝁䄴入時䕁䅳党㕂䙁䅍䅤桂䡁䅑督時䡁䅙免時䍁䄴䅥獂䡁䅍兢摂䕁䅉兙獂䝁䅅杢橂䝁䅕睘呂䝁䅧党求䡁䅑光歁䕁䅕䅊硁䑁䅑䅎㙁䍁䅑䅕歁䑁䅅䅎ぁ䅁䅁䄴䅑䝁䅷䅁扂䕁䄰兓時䕁䅍睢瑂䡁䅁兙畂䡁䅫睘䱂䝁䅕入呂䡁䅑兙あ䡁䅍睘㉂䑁䅅睘畁䡁䅧䅢穂䝁䄰兘䍂䝁䅅䅢桂䝁䄴睙求䙁䄸睕潂䝁䅕党あ䍁䅅䅊䙂䍁䅑䅎㙁䍁䅑䅕歁䑁䅑䅁慄䅂䅁䅢䅁䙁䅳兔䩂䙁䄸睑療䝁䄰䅣桂䝁䄴入時䕁䅳党㕂䙁䅍䅤桂䡁䅑督時䡁䅙免時䍁䄴䅥獂䡁䅍兢摂䕁䅉兙獂䝁䅅杢橂䝁䅕睘呂䝁䅧党求䡁䅑光歁䕁䅕䅊ㅁ䑁䅯䅊兂䍁䅑兎䅁乁䕷䅁䭃䅁䅁睗乂䕁䅫睘䑂䝁䄸兢睂䝁䅅杢㕂䙁䄸睓求䡁䅫睕あ䝁䅅䅤穂䙁䄸杤硁䙁䄸杌㑂䝁䅷督瑂䙁䄰睑桂䡁䅁兡あ䝁䅅䅢時䙁䅍䅤祂䡁䅕睙あ䡁䅕杣求䙁䄸睕ㅂ䝁䄰兢桂䡁䅉入桁䍁䅑睑歁䑁䅅睍㙁䍁䅑睑歁䑁䅅兎睁䅁䅁眸䅑䡁䅯䅁扂䕁䄰兓時䕁䅍睢瑂䡁䅁兙畂䡁䅫睘䱂䝁䅕入呂䡁䅑兙あ䡁䅍睘㉂䑁䅅睘畁䡁䅧䅢穂䝁䄰兘䑂䝁䅅䅣灂䡁䅑兙獂䙁䄸睕あ䡁䅉兤橂䡁䅑兤祂䝁䅕睘呂䡁䅕兢瑂䝁䅅杣㕂䍁䅅䅊䑂䍁䅑䅎䅁偁䕅䅁㙂䅁䅁睗乂䕁䅫睘䑂䝁䄸兢睂䝁䅅杢㕂䙁䄸睓求䡁䅫睕あ䝁䅅䅤穂䙁䄸杤硁䙁䄸杌㑂䝁䅷督瑂䙁䄰睑桂䡁䅁兡あ䝁䅅䅢時䙁䅍䅤祂䡁䅕睙あ䡁䅕杣求䙁䄸睕ㅂ䝁䄰兢桂䡁䅉入桁䍁䅑睑歁䑁䅕䅁ㅄ䅂䅁䅩䅁䙁䅳兔䩂䙁䄸睑療䝁䄰䅣桂䝁䄴入時䕁䅳党㕂䙁䅍䅤桂䡁䅑督時䡁䅙免時䍁䄴䅥獂䡁䅍兢摂䕁䅍兙睂䝁䅫䅤桂䝁䅷睘呂䡁䅑杣ㅂ䝁䅍䅤ㅂ䡁䅉党時䙁䅍兤瑂䝁䄰兙祂䡁䅫光歁䕁䅑䅊祁䑁䅣杏歁䕁䅑䅊㍁䑁䅧䅁㍄䅂䅁䅨䅁䙁䅳兔䩂䙁䄸睑療䝁䄰䅣桂䝁䄴入時䕁䅳党㕂䙁䅍䅤桂䡁䅑督時䡁䅙免時䍁䄴䅥獂䡁䅍兢摂䕁䅍兙睂䝁䅫䅤桂䝁䅷睘呂䡁䅑杣ㅂ䝁䅍䅤ㅂ䡁䅉党時䙁䅍兤瑂䝁䄰兙祂䡁䅫光歁䕁䅕䅊ぁ䑁䅯䅊偂䍁䅑䅎䅁偁䕉䅁䕃䅁䅁睗乂䕁䅫睘䑂䝁䄸兢睂䝁䅅杢㕂䙁䄸睓求䡁䅫睕あ䝁䅅䅤穂䙁䄸杤硁䙁䄸杌㑂䝁䅷督瑂䙁䄰睑桂䡁䅁兡あ䝁䅅䅢時䙁䅍䅤祂䡁䅕睙あ䡁䅕杣求䙁䄸睕ㅂ䝁䄰兢桂䡁䅉入桁䍁䅑兒歁䑁䅕杏歁䕁䄸䅊ㅁ䅁䅁䄹䅑䥁䅑䅁扂䕁䄰兓時䕁䅍睢瑂䡁䅁兙畂䡁䅫睘䱂䝁䅕入呂䡁䅑兙あ䡁䅍睘㉂䑁䅅睘畁䡁䅧䅢穂䝁䄰兘䑂䝁䅅䅣灂䡁䅑兙獂䙁䄸睕あ䡁䅉兤橂䡁䅑兤祂䝁䅕睘呂䡁䅕兢瑂䝁䅅杣㕂䍁䅅䅊䝂䍁䅑䅏㙁䍁䅑䅕歁䑁䅧䅁㉄䅂䅁䅨䅁䙁䅳兔䩂䙁䄸睑療䝁䄰䅣桂䝁䄴入時䕁䅳党㕂䙁䅍䅤桂䡁䅑督時䡁䅙免時䍁䄴䅥獂䡁䅍兢摂䕁䅍兙睂䝁䅫䅤桂䝁䅷睘呂䡁䅑杣ㅂ䝁䅍䅤ㅂ䡁䅉党時䙁䅍兤瑂䝁䄰兙祂䡁䅫光歁䕁䅙䅊㕁䑁䅯䅊兂䍁䅑兏䅁偁䕧䅁歂䅁䅁睗乂䕁䅫睘䑂䝁䄸兢睂䝁䅅杢㕂䙁䄸睓求䡁䅫睕あ䝁䅅䅤穂䙁䄸杤硁䙁䄸杌㑂䝁䅷督瑂䙁䄰睑桂䡁䅁兡あ䝁䅅䅢灂䡁䅯兙あ䝁䅫睢畂䍁䅅䅊䑂䍁䅑䅎䅁佁䕕䅁浂䅁䅁睗乂䕁䅫睘䑂䝁䄸兢睂䝁䅅杢㕂䙁䄸睓求䡁䅫睕あ䝁䅅䅤穂䙁䄸杤硁䙁䄸杌㑂䝁䅷督瑂䙁䄰睑桂䡁䅁兡あ䝁䅅䅢灂䡁䅯兙あ䝁䅫睢畂䍁䅅䅊䑂䍁䅑䅎㍁䅁䅁儷䅑䝁䅙䅁扂䕁䄰兓時䕁䅍睢瑂䡁䅁兙畂䡁䅫睘䱂䝁䅕入呂䡁䅑兙あ䡁䅍睘㉂䑁䅅睘畁䡁䅧䅢穂䝁䄰兘䑂䝁䅅䅣灂䡁䅑兙獂䝁䅫来桂䡁䅑兡療䝁䄴光歁䕁䅍䅊ぁ䑁䅧䅁灄䅂䅁杚䅁䙁䅳兔䩂䙁䄸睑療䝁䄰䅣桂䝁䄴入時䕁䅳党㕂䙁䅍䅤桂䡁䅑督時䡁䅙免時䍁䄴䅥獂䡁䅍兢摂䕁䅍兙睂䝁䅫䅤桂䝁䅷兡㙂䝁䅅䅤灂䝁䄸杢桁䍁䅑睑歁䑁䅕䅍䅁佁䕳䅁祂䅁䅁睗乂䕁䅫睘䑂䝁䄸兢睂䝁䅅杢㕂䙁䄸睓求䡁䅫睕あ䝁䅅䅤穂䙁䄸杤硁䙁䄸杌㑂䝁䅷督瑂䙁䄰睑桂䡁䅁兡あ䝁䅅䅢灂䡁䅯兙あ䝁䅫睢畂䍁䅅䅊䑂䍁䅑兎穁䑁䅯䅊䑂䍁䅑兎ぁ䅁䅁眷䅑䡁䅁䅁扂䕁䄰兓時䕁䅍睢瑂䡁䅁兙畂䡁䅫睘䱂䝁䅕入呂䡁䅑兙あ䡁䅍睘㉂䑁䅅睘畁䡁䅧䅢穂䝁䄰兘䑂䝁䅅䅣灂䡁䅑兙獂䝁䅫来桂䡁䅑兡療䝁䄴光歁䕁䅍䅊㕁䑁䅯䅊䑂䍁䅑杍ㅁ䅁䅁眵䅑䡁䅉䅁扂䕁䄰兓時䕁䅍睢瑂䡁䅁兙畂䡁䅫睘䱂䝁䅕入呂䡁䅑兙あ䡁䅍睘㉂䑁䅅睘畁䡁䅧䅢穂䝁䄰兘䑂䝁䅅䅣灂䡁䅑兙獂䝁䅫来桂䡁䅑兡療䝁䄴光歁䕁䅕䅊ぁ䑁䅣杏歁䕁䅯䅊ぁ䑁䅣䅁煄䅂䅁杣䅁䙁䅳兔䩂䙁䄸睑療䝁䄰䅣桂䝁䄴入時䕁䅳党㕂䙁䅍䅤桂䡁䅑督時䡁䅙免時䍁䄴䅥獂䡁䅍兢摂䕁䅍兙睂䝁䅫䅤桂䝁䅷兡㙂䝁䅅䅤灂䝁䄸杢桁䍁䅑兒歁䑁䅑䅏㙁䍁䅑杓歁䑁䅑䅏䅁佁䕷䅁畂䅁䅁睗乂䕁䅫睘䑂䝁䄸兢睂䝁䅅杢㕂䙁䄸睓求䡁䅫睕あ䝁䅅䅤穂䙁䄸杤硁䙁䄸杌㑂䝁䅷督瑂䙁䄰睑桂䡁䅁兡あ䝁䅅䅢灂䡁䅯兙あ䝁䅫睢畂䍁䅅䅊䙂䍁䅑䅎㙁䍁䅑杓歁䑁䅑䅁浄䅂䅁杣䅁䙁䅳兔䩂䙁䄸睑療䝁䄰䅣桂䝁䄴入時䕁䅳党㕂䙁䅍䅤桂䡁䅑督時䡁䅙免時䍁䄴䅥獂䡁䅍兢摂䕁䅍兙睂䝁䅫䅤桂䝁䅷兡㙂䝁䅅䅤灂䝁䄸杢桁䍁䅑兒歁䑁䅕免㙁䍁䅑杓歁䑁䅕免䅁佁䔴䅁祂䅁䅁睗乂䕁䅫睘䑂䝁䄸兢睂䝁䅅杢㕂䙁䄸睓求䡁䅫睕あ䝁䅅䅤穂䙁䄸杤硁䙁䄸杌㑂䝁䅷督瑂䙁䄰睑桂䡁䅁兡あ䝁䅅䅢灂䡁䅯兙あ䝁䅫睢畂䍁䅅䅊䙂䍁䅑兎祁䑁䅯䅊䭂䍁䅑兎祁䅁䅁䄸䅑䝁䄴䅁扂䕁䄰兓時䕁䅍睢瑂䡁䅁兙畂䡁䅫睘䱂䝁䅕入呂䡁䅑兙あ䡁䅍睘㉂䑁䅅睘畁䡁䅧䅢穂䝁䄰兘䑂䝁䅅䅣灂䡁䅑兙獂䝁䅫来桂䡁䅑兡療䝁䄴光歁䕁䅕䅊ㅁ䑁䅯䅊䭂䍁䅑兎䅁佁䕧䅁慂䅁䅁睗乂䕁䅫睘䑂䝁䄸兢睂䝁䅅杢㕂䙁䄸睓求䡁䅫睕あ䝁䅅䅤穂䙁䄸杤硁䙁䄸杌㑂䝁䅷督瑂䙁䄰睑桂䡁䅍䅡時䕁䅙䅢療䡁䅣光歁䕁䅍䅊ぁ䅁䅁儴䅑䝁䅙䅁扂䕁䄰兓時䕁䅍睢瑂䡁䅁兙畂䡁䅫睘䱂䝁䅕入呂䡁䅑兙あ䡁䅍睘㉂䑁䅅睘畁䡁䅧䅢穂䝁䄰兘䑂䝁䅅督潂䙁䄸杒獂䝁䄸睤桁䍁䅑睑歁䑁䅫杏歁䕁䅍䅊㕁䑁䅁䅁橄䅂䅁䅚䅁䙁䅳兔䩂䙁䄸睑療䝁䄰䅣桂䝁䄴入時䕁䅳党㕂䙁䅍䅤桂䡁䅑督時䡁䅙免時䍁䄴䅥獂䡁䅍兢摂䕁䅍兙穂䝁䅧睘䝂䝁䅷睢㍂䍁䅅䅊䙂䍁䅑䅎㙁䍁䅑䅕歁䑁䅑䅁楄䅂䅁䅚䅁䙁䅳兔䩂䙁䄸睑療䝁䄰䅣桂䝁䄴入時䕁䅳党㕂䙁䅍䅤桂䡁䅑督時䡁䅙免時䍁䄴䅥獂䡁䅍兢摂䕁䅍兙穂䝁䅧睘䝂䝁䅷睢㍂䍁䅅䅊䙂䍁䅑兎㙁䍁䅑䅕歁䑁䅕䅁歄䅂䅁䅢䅁䙁䅳兔䩂䙁䄸睑療䝁䄰䅣桂䝁䄴入時䕁䅳党㕂䙁䅍䅤桂䡁䅑督時䡁䅙免時䍁䄴䅥獂䡁䅍兢摂䕁䅫杢橂䝁䄸兢求䙁䄸睕あ䝁䅅䅤求䝁䄰党畂䡁䅑光歁䕁䅍䅊硁䑁䅣李䅁乁䕕䅁獂䅁䅁睗乂䕁䅫睘䑂䝁䄸兢睂䝁䅅杢㕂䙁䄸睓求䡁䅫睕あ䝁䅅䅤穂䙁䄸杤硁䙁䄸杌㑂䝁䅷督瑂䙁䄰兓畂䝁䅍睢瑂䝁䅕睘呂䡁䅑兙あ䝁䅕兢求䝁䄴䅤桁䍁䅑睑歁䑁䅅睎㕁䅁䅁眱䅑䝁䅧䅁扂䕁䄰兓時䕁䅍睢瑂䡁䅁兙畂䡁䅫睘䱂䝁䅕入呂䡁䅑兙あ䡁䅍睘㉂䑁䅅睘畁䡁䅧䅢穂䝁䄰兘䩂䝁䄴睙療䝁䄰党時䙁䅍䅤桂䡁䅑党瑂䝁䅕杢あ䍁䅅䅊䑂䍁䅑䅎䅁乁䕅䅁㉂䅁䅁睗乂䕁䅫睘䑂䝁䄸兢睂䝁䅅杢㕂䙁䄸睓求䡁䅫睕あ䝁䅅䅤穂䙁䄸杤硁䙁䄸杌㑂䝁䅷督瑂䙁䄰兓畂䝁䅍睢瑂䝁䅕睘呂䡁䅑兙あ䝁䅕兢求䝁䄴䅤桁䍁䅑睑歁䑁䅫杏歁䕁䅍䅊硁䑁䅣睍䅁乁䕍䅁㙂䅁䅁睗乂䕁䅫睘䑂䝁䄸兢睂䝁䅅杢㕂䙁䄸睓求䡁䅫睕あ䝁䅅䅤穂䙁䄸杤硁䙁䄸杌㑂䝁䅷督瑂䙁䄰兓畂䝁䅍睢瑂䝁䅕睘呂䡁䅑兙あ䝁䅕兢求䝁䄴䅤桁䍁䅑兒歁䑁䅅睎㉁䑁䅯䅊兂䍁䅑免㍁䑁䅙䅁坄䅂䅁来䅁䙁䅳兔䩂䙁䄸睑療䝁䄰䅣桂䝁䄴入時䕁䅳党㕂䙁䅍䅤桂䡁䅑督時䡁䅙免時䍁䄴䅥獂䡁䅍兢摂䕁䅫杢橂䝁䄸兢求䙁䄸睕あ䝁䅅䅤求䝁䄰党畂䡁䅑光歁䕁䅕䅊硁䑁䅣睎㙁䍁䅑䅕歁䑁䅅睎㍁䅁䅁䄲䅑䡁䅉䅁扂䕁䄰兓時䕁䅍睢瑂䡁䅁兙畂䡁䅫睘䱂䝁䅕入呂䡁䅑兙あ䡁䅍睘㉂䑁䅅睘畁䡁䅧䅢穂䝁䄰兘䩂䝁䄴睙療䝁䄰党時䙁䅍䅤桂䡁䅑党瑂䝁䅕杢あ䍁䅅䅊䙂䍁䅑䅎㙁䍁䅑䅕歁䑁䅑䅁卄䅂䅁杣䅁䙁䅳兔䩂䙁䄸睑療䝁䄰䅣桂䝁䄴入時䕁䅳党㕂䙁䅍䅤桂䡁䅑督時䡁䅙免時䍁䄴䅥獂䡁䅍兢摂䕁䅫杢橂䝁䄸兢求䙁䄸睕あ䝁䅅䅤求䝁䄰党畂䡁䅑光歁䕁䅕䅊ㅁ䑁䅯䅊兂䍁䅑兎䅁乁䕑䅁敂䅁䅁睗乂䕁䅫睘䑂䝁䄸兢睂䝁䅅杢㕂䙁䄸睓求䡁䅫睕あ䝁䅅䅤穂䙁䄸杤硁䙁䄸杌㑂䝁䅷督瑂䙁䄰睓求䡁䅫睘呂䡁䅑兙あ䡁䅍光歁䕁䅉䅊硁䑁䅁李䅁䵁䔰䅁捂䅁䅁睗乂䕁䅫睘䑂䝁䄸兢睂䝁䅅杢㕂䙁䄸睓求䡁䅫睕あ䝁䅅䅤穂䙁䄸杤硁䙁䄸杌㑂䝁䅷督瑂䙁䄰睓求䡁䅫睘呂䡁䅑兙あ䡁䅍光歁䕁䅉䅊祁䑁䅕䅁㥃䅂䅁䅘䅁䙁䅳兔䩂䙁䄸睑療䝁䄰䅣桂䝁䄴入時䕁䅳党㕂䙁䅍䅤桂䡁䅑督時䡁䅙免時䍁䄴䅥獂䡁䅍兢摂䕁䅳党㕂䙁䄸睕あ䝁䅅䅤穂䍁䅅䅊䍂䍁䅑杍㉁䅁䅁具䅑䙁䅷䅁扂䕁䄰兓時䕁䅍睢瑂䡁䅁兙畂䡁䅫睘䱂䝁䅕入呂䡁䅑兙あ䡁䅍睘㉂䑁䅅睘畁䡁䅧䅢穂䝁䄰兘䱂䝁䅕入時䙁䅍䅤桂䡁䅑督桁䍁䅑村歁䑁䅕䅎䅁䵁䕕䅁捂䅁䅁睗乂䕁䅫睘䑂䝁䄸兢睂䝁䅅杢㕂䙁䄸睓求䡁䅫睕あ䝁䅅䅤穂䙁䄸杤硁䙁䄸杌㑂䝁䅷督瑂䙁䄰睓求䡁䅫睘呂䡁䅑兙あ䡁䅍光歁䕁䅉䅊㉁䑁䅉䅁䩄䅂䅁䅢䅁䙁䅳兔䩂䙁䄸睑療䝁䄰䅣桂䝁䄴入時䕁䅳党㕂䙁䅍䅤桂䡁䅑督時䡁䅙免時䍁䄴䅥獂䡁䅍兢摂䕁䅳党㕂䙁䄸睕あ䝁䅅䅤穂䍁䅅䅊䑂䍁䅑免硁䑁䅁杏歁䕁䅍䅊硁䑁䅅䅎䅁䵁䔸䅁潂䅁䅁睗乂䕁䅫睘䑂䝁䄸兢睂䝁䅅杢㕂䙁䄸睓求䡁䅫睕あ䝁䅅䅤穂䙁䄸杤硁䙁䄸杌㑂䝁䅷督瑂䙁䄰睓求䡁䅫睘呂䡁䅑兙あ䡁䅍光歁䕁䅍䅊祁䑁䅧杏歁䕁䅍䅊ㅁ䑁䅉䅁⽃䅂䅁䅡䅁䙁䅳兔䩂䙁䄸睑療䝁䄰䅣桂䝁䄴入時䕁䅳党㕂䙁䅍䅤桂䡁䅑督時䡁䅙免時䍁䄴䅥獂䡁䅍兢摂䕁䅳党㕂䙁䄸睕あ䝁䅅䅤穂䍁䅅䅊䑂䍁䅑兎㍁䑁䅯䅊䑂䍁䅑兎㑁䅁䅁睸䅑䝁䅧䅁扂䕁䄰兓時䕁䅍睢瑂䡁䅁兙畂䡁䅫睘䱂䝁䅕入呂䡁䅑兙あ䡁䅍睘㉂䑁䅅睘畁䡁䅧䅢穂䝁䄰兘䱂䝁䅕入時䙁䅍䅤桂䡁䅑督桁䍁䅑睑歁䑁䅙兎㙁䍁䅑睑歁䑁䅣免䅁䵁䕳䅁潂䅁䅁睗乂䕁䅫睘䑂䝁䄸兢睂䝁䅅杢㕂䙁䄸睓求䡁䅫睕あ䝁䅅䅤穂䙁䄸杤硁䙁䄸杌㑂䝁䅷督瑂䙁䄰睓求䡁䅫睘呂䡁䅑兙あ䡁䅍光歁䕁䅑䅊祁䑁䅧杏歁䕁䅑䅊ㅁ䑁䅉䅁䑄䅂䅁䅡䅁䙁䅳兔䩂䙁䄸睑療䝁䄰䅣桂䝁䄴入時䕁䅳党㕂䙁䅍䅤桂䡁䅑督時䡁䅙免時䍁䄴䅥獂䡁䅍兢摂䕁䅳党㕂䙁䄸睕あ䝁䅅䅤穂䍁䅅䅊䕂䍁䅑兎㍁䑁䅯䅊䕂䍁䅑兎㑁䅁䅁䅹䅑䝁䅷䅁扂䕁䄰兓時䕁䅍睢瑂䡁䅁兙畂䡁䅫睘䱂䝁䅕入呂䡁䅑兙あ䡁䅍睘㉂䑁䅅睘畁䡁䅧䅢穂䝁䄰兘䱂䝁䅕入時䙁䅍䅤桂䡁䅑督桁䍁䅑兒歁䑁䅅䅍㍁䑁䅯䅊䡂䍁䅑免睁䑁䅣䅁佄䅂䅁䅢䅁䙁䅳兔䩂䙁䄸睑療䝁䄰䅣桂䝁䄴入時䕁䅳党㕂䙁䅍䅤桂䡁䅑督時䡁䅙免時䍁䄴䅥獂䡁䅍兢摂䕁䅳党㕂䙁䄸睕あ䝁䅅䅤穂䍁䅅䅊䙂䍁䅑免睁䑁䅧杏歁䕁䅣䅊硁䑁䅁䅏䅁乁䕁䅁潂䅁䅁睗乂䕁䅫睘䑂䝁䄸兢睂䝁䅅杢㕂䙁䄸睓求䡁䅫睕あ䝁䅅䅤穂䙁䄸杤硁䙁䄸杌㑂䝁䅷督瑂䙁䄰睓求䡁䅫睘呂䡁䅑兙あ䡁䅍光歁䕁䅕䅊祁䑁䅕杏歁䕁䅯䅊祁䑁䅕䅁⭃䅂䅁䅡䅁䙁䅳兔䩂䙁䄸睑療䝁䄰䅣桂䝁䄴入時䕁䅳党㕂䙁䅍䅤桂䡁䅑督時䡁䅙免時䍁䄴䅥獂䡁䅍兢摂䕁䅳党㕂䙁䄸睕あ䝁䅅䅤穂䍁䅅䅊䙂䍁䅑杍㉁䑁䅯䅊䭂䍁䅑杍㉁䅁䅁䅷䅑䙁䅷䅁扂䕁䄰兓時䕁䅍睢瑂䡁䅁兙畂䡁䅫睘䱂䝁䅕入呂䡁䅑兙あ䡁䅍睘㉂䑁䅅睘畁䡁䅧䅢穂䝁䄰兘䱂䝁䅕入時䙁䅍䅤桂䡁䅑督桁䍁䅑兒歁䑁䅕䅎䅁䵁䕙䅁捂䅁䅁睗乂䕁䅫睘䑂䝁䄸兢睂䝁䅅杢㕂䙁䄸睓求䡁䅫睕あ䝁䅅䅤穂䙁䄸杤硁䙁䄸杌㑂䝁䅷督瑂䙁䄰睓求䡁䅫睘呂䡁䅑兙あ䡁䅍光歁䕁䅕䅊㉁䑁䅉䅁䭄䅂䅁䅘䅁䙁䅳兔䩂䙁䄸睑療䝁䄰䅣桂䝁䄴入時䕁䅳党㕂䙁䅍䅤桂䡁䅑督時䡁䅙免時䍁䄴䅥獂䡁䅍兢摂䕁䅳党㕂䙁䄸睕あ䝁䅅䅤穂䍁䅅䅊䙂䍁䅑李穁䅁䅁䅺䅑䝁䅧䅁扂䕁䄰兓時䕁䅍睢瑂䡁䅁兙畂䡁䅫睘䱂䝁䅕入呂䡁䅑兙あ䡁䅍睘㉂䑁䅅睘畁䡁䅧䅢穂䝁䄰兘䱂䝁䅕入時䙁䅍䅤桂䡁䅑督桁䍁䅑兔歁䑁䅉兎㙁䍁䅑睔歁䑁䅉兎䅁䵁䕉䅁潂䅁䅁睗乂䕁䅫睘䑂䝁䄸兢睂䝁䅅杢㕂䙁䄸睓求䡁䅫睕あ䝁䅅䅤穂䙁䄸杤硁䙁䄸杌㑂䝁䅷督瑂䙁䄰睓求䡁䅫睘呂䡁䅑兙あ䡁䅍光歁䕁䄰䅊祁䑁䅙杏歁䕁䄸䅊祁䑁䅙䅁䕄䅂䅁䅖䅁䙁䅳兔䩂䙁䄸睑療䝁䄰䅣桂䝁䄴入時䕁䅳党㕂䙁䅍䅤桂䡁䅑督時䡁䅙免時䍁䄴䅥獂䡁䅍兢摂䙁䅉兙あ䝁䅫睢穂䍁䅅䅊䑂䍁䅑䅎䅁偁䕫䅁楂䅁䅁睗乂䕁䅫睘䑂䝁䄸兢睂䝁䅅杢㕂䙁䄸睓求䡁䅫睕あ䝁䅅䅤穂䙁䄸杤硁䙁䄸杌㑂䝁䅷督瑂䙁䄰杕桂䡁䅑兡療䡁䅍光歁䕁䅍䅊㕁䑁䅯䅊䑂䍁䅑免ㅁ䑁䅁䅁㝄䅂䅁杘䅁䙁䅳兔䩂䙁䄸睑療䝁䄰䅣桂䝁䄴入時䕁䅳党㕂䙁䅍䅤桂䡁䅑督時䡁䅙免時䍁䄴䅥獂䡁䅍兢摂䙁䅉兙あ䝁䅫睢穂䍁䅅䅊䕂䍁䅑䅎㙁䍁䅑兓歁䑁䅑䅁㙄䅂䅁杘䅁䙁䅳兔䩂䙁䄸睑療䝁䄰䅣桂䝁䄴入時䕁䅳党㕂䙁䅍䅤桂䡁䅑督時䡁䅙免時䍁䄴䅥獂䡁䅍兢摂䙁䅉兙あ䝁䅫睢穂䍁䅅䅊䕂䍁䅑兎㙁䍁䅑兓歁䑁䅕䅁㡄䅂䅁䅙䅁䙁䅳兔䩂䙁䄸睑療䝁䄰䅣桂䝁䄴入時䕁䅳党㕂䙁䅍䅤桂䡁䅑督時䡁䅙免時䍁䄴䅥獂䡁䅍兢摂䙁䅍兤睂䡁䅁䅢求䝁䄰党畂䡁䅑兙獂䍁䅅䅊䑂䍁䅑䅎䅁偁䔰䅁畂䅁䅁睗乂䕁䅫睘䑂䝁䄸兢睂䝁䅅杢㕂䙁䄸睓求䡁䅫睕あ䝁䅅䅤穂䙁䄸杤硁䙁䄸杌㑂䝁䅷督瑂䙁䄰睕ㅂ䡁䅁䅣獂䝁䅕兢求䝁䄴䅤桂䝁䅷光歁䕁䅍䅊㕁䑁䅯䅊䑂䍁䅑免㉁䑁䅑䅁⽄䅂䅁条䅁䙁䅳兔䩂䙁䄸睑療䝁䄰䅣桂䝁䄴入時䕁䅳党㕂䙁䅍䅤桂䡁䅑督時䡁䅙免時䍁䄴䅥獂䡁䅍兢摂䙁䅍兤睂䡁䅁䅢求䝁䄰党畂䡁䅑兙獂䍁䅅䅊䕂䍁䅑䅎㙁䍁䅑兓歁䑁䅑䅁⭄䅂䅁条䅁䙁䅳兔䩂䙁䄸睑療䝁䄰䅣桂䝁䄴入時䕁䅳党㕂䙁䅍䅤桂䡁䅑督時䡁䅙免時䍁䄴䅥獂䡁䅍兢摂䙁䅍兤睂䡁䅁䅢求䝁䄰党畂䡁䅑兙獂䍁䅅䅊䕂䍁䅑兎㙁䍁䅑兓歁䑁䅕䅁䅁兂䅁䅕䅁䙁䅳兔䩂䙁䄸睓求䡁䅫睕あ䝁䅅䅤穂䙁䄸杤硁䍁䄴䅥獂䡁䅍兢摂䕁䅉兙獂䝁䅅杢橂䝁䅕睘呂䝁䅧党求䡁䅑光歁䕁䅍䅊ぁ䅁䅁公䅍䙁䄴䅁扂䕁䄰兓時䕁䅳党㕂䙁䅍䅤桂䡁䅑督時䡁䅙免畁䡁䅧䅢穂䝁䄰兘䍂䝁䅅䅢桂䝁䄴睙求䙁䄸睕潂䝁䅕党あ䍁䅅䅊䑂䍁䅑兏㙁䍁䅑睑歁䑁䅅睍㍁䅁䅁睬䅍䙁䄴䅁扂䕁䄰兓時䕁䅳党㕂䙁䅍䅤桂䡁䅑督時䡁䅙免畁䡁䅧䅢穂䝁䄰兘䍂䝁䅅䅢桂䝁䄴睙求䙁䄸睕潂䝁䅕党あ䍁䅅䅊䑂䍁䅑兏㙁䍁䅑睑歁䑁䅅睍㑁䅁䅁杶䅍䙁䄴䅁扂䕁䄰兓時䕁䅳党㕂䙁䅍䅤桂䡁䅑督時䡁䅙免畁䡁䅧䅢穂䝁䄰兘䍂䝁䅅䅢桂䝁䄴睙求䙁䄸睕潂䝁䅕党あ䍁䅅䅊䑂䍁䅑兏㙁䍁䅑睑歁䑁䅅睍㕁䅁䅁儵䅍䙁䄴䅁扂䕁䄰兓時䕁䅳党㕂䙁䅍䅤桂䡁䅑督時䡁䅙免畁䡁䅧䅢穂䝁䄰兘䍂䝁䅅䅢桂䝁䄴睙求䙁䄸睕潂䝁䅕党あ䍁䅅䅊䑂䍁䅑兏㙁䍁䅑睑歁䑁䅅䅎睁䅁䅁朵䅍䙁䅯䅁扂䕁䄰兓時䕁䅳党㕂䙁䅍䅤桂䡁䅑督時䡁䅙免畁䡁䅧䅢穂䝁䄰兘䍂䝁䅅䅢桂䝁䄴睙求䙁䄸睕潂䝁䅕党あ䍁䅅䅊䙂䍁䅑䅎㙁䍁䅑䅕歁䑁䅑䅁坃睁䅁杗䅁䙁䅳兔䩂䙁䄸睓求䡁䅫睕あ䝁䅅䅤穂䙁䄸杤硁䍁䄴䅥獂䡁䅍兢摂䕁䅉兙獂䝁䅅杢橂䝁䅕睘呂䝁䅧党求䡁䅑光歁䕁䅕䅊ㅁ䑁䅯䅊兂䍁䅑兎䅁䩁䑧䅁㑂䅁䅁睗乂䕁䅫睘䱂䝁䅕入呂䡁䅑兙あ䡁䅍睘㉂䑁䅅杌㑂䝁䅷督瑂䙁䄰睑桂䡁䅁兡あ䝁䅅䅢時䙁䅍䅤祂䡁䅕睙あ䡁䅕杣求䙁䄸睕ㅂ䝁䄰兢桂䡁䅉入桁䍁䅑睑歁䑁䅅睍㙁䍁䅑睑歁䑁䅅䅎㉁䅁䅁睱䅍䡁䅧䅁扂䕁䄰兓時䕁䅳党㕂䙁䅍䅤桂䡁䅑督時䡁䅙免畁䡁䅧䅢穂䝁䄰兘䑂䝁䅅䅣灂䡁䅑兙獂䙁䄸睕あ䡁䅉兤橂䡁䅑兤祂䝁䅕睘呂䡁䅕兢瑂䝁䅅杣㕂䍁䅅䅊䑂䍁䅑免穁䑁䅯䅊䑂䍁䅑免ぁ䑁䅣䅁㙃睁䅁䅥䅁䙁䅳兔䩂䙁䄸睓求䡁䅫睕あ䝁䅅䅤穂䙁䄸杤硁䍁䄴䅥獂䡁䅍兢摂䕁䅍兙睂䝁䅫䅤桂䝁䅷睘呂䡁䅑杣ㅂ䝁䅍䅤ㅂ䡁䅉党時䙁䅍兤瑂䝁䄰兙祂䡁䅫光歁䕁䅍䅊硁䑁䅍杏歁䕁䅍䅊硁䑁䅑䅏䅁䵁䑁䅁㑂䅁䅁睗乂䕁䅫睘䱂䝁䅕入呂䡁䅑兙あ䡁䅍睘㉂䑁䅅杌㑂䝁䅷督瑂䙁䄰睑桂䡁䅁兡あ䝁䅅䅢時䙁䅍䅤祂䡁䅕睙あ䡁䅕杣求䙁䄸睕ㅂ䝁䄰兢桂䡁䅉入桁䍁䅑睑歁䑁䅅睍㙁䍁䅑睑歁䑁䅅䅎㕁䅁䅁杷䅍䡁䅧䅁扂䕁䄰兓時䕁䅳党㕂䙁䅍䅤桂䡁䅑督時䡁䅙免畁䡁䅧䅢穂䝁䄰兘䑂䝁䅅䅣灂䡁䅑兙獂䙁䄸睕あ䡁䅉兤橂䡁䅑兤祂䝁䅕睘呂䡁䅕兢瑂䝁䅅杣㕂䍁䅅䅊䑂䍁䅑免穁䑁䅯䅊䑂䍁䅑免ㅁ䑁䅁䅁䕄睁䅁䅡䅁䙁䅳兔䩂䙁䄸睓求䡁䅫睕あ䝁䅅䅤穂䙁䄸杤硁䍁䄴䅥獂䡁䅍兢摂䕁䅍兙睂䝁䅫䅤桂䝁䅷睘呂䡁䅑杣ㅂ䝁䅍䅤ㅂ䡁䅉党時䙁䅍兤瑂䝁䄰兙祂䡁䅫光歁䕁䅍䅊ぁ䅁䅁共䅍䝁䅧䅁扂䕁䄰兓時䕁䅳党㕂䙁䅍䅤桂䡁䅑督時䡁䅙免畁䡁䅧䅢穂䝁䄰兘䑂䝁䅅䅣灂䡁䅑兙獂䙁䄸睕あ䡁䅉兤橂䡁䅑兤祂䝁䅕睘呂䡁䅕兢瑂䝁䅅杣㕂䍁䅅䅊䑂䍁䅑兎䅁䡁䐸䅁㉂䅁䅁睗乂䕁䅫睘䱂䝁䅕入呂䡁䅑兙あ䡁䅍睘㉂䑁䅅杌㑂䝁䅷督瑂䙁䄰睑桂䡁䅁兡あ䝁䅅䅢時䙁䅍䅤祂䡁䅕睙あ䡁䅕杣求䙁䄸睕ㅂ䝁䄰兢桂䡁䅉入桁䍁䅑䅒歁䑁䅉睎㙁䍁䅑䅒歁䑁䅣李䅁䭁䐴䅁㉂䅁䅁睗乂䕁䅫睘䱂䝁䅕入呂䡁䅑兙あ䡁䅍睘㉂䑁䅅杌㑂䝁䅷督瑂䙁䄰睑桂䡁䅁兡あ䝁䅅䅢時䙁䅍䅤祂䡁䅕睙あ䡁䅕杣求䙁䄸睕ㅂ䝁䄰兢桂䡁䅉入桁䍁䅑䅒歁䑁䅉睎㙁䍁䅑䅒歁䑁䅣睎䅁䵁䑅䅁㉂䅁䅁睗乂䕁䅫睘䱂䝁䅕入呂䡁䅑兙あ䡁䅍睘㉂䑁䅅杌㑂䝁䅷督瑂䙁䄰睑桂䡁䅁兡あ䝁䅅䅢時䙁䅍䅤祂䡁䅕睙あ䡁䅕杣求䙁䄸睕ㅂ䝁䄰兢桂䡁䅉入桁䍁䅑䅒歁䑁䅉睎㙁䍁䅑䅒歁䑁䅣䅏䅁䵁䑍䅁㉂䅁䅁睗乂䕁䅫睘䱂䝁䅕入呂䡁䅑兙あ䡁䅍睘㉂䑁䅅杌㑂䝁䅷督瑂䙁䄰睑桂䡁䅁兡あ䝁䅅䅢時䙁䅍䅤祂䡁䅕睙あ䡁䅕杣求䙁䄸睕ㅂ䝁䄰兢桂䡁䅉入桁䍁䅑兒歁䑁䅉睎㙁䍁䅑兒歁䑁䅣李䅁䥁䑅䅁祂䅁䅁睗乂䕁䅫睘䱂䝁䅕入呂䡁䅑兙あ䡁䅍睘㉂䑁䅅杌㑂䝁䅷督瑂䙁䄰睑桂䡁䅁兡あ䝁䅅䅢時䙁䅍䅤祂䡁䅕睙あ䡁䅕杣求䙁䄸睕ㅂ䝁䄰兢桂䡁䅉入桁䍁䅑兒歁䑁䅑杏歁䕁䄰䅊ぁ䅁䅁東䅍䡁䅉䅁扂䕁䄰兓時䕁䅳党㕂䙁䅍䅤桂䡁䅑督時䡁䅙免畁䡁䅧䅢穂䝁䄰兘䑂䝁䅅䅣灂䡁䅑兙獂䙁䄸睕あ䡁䅉兤橂䡁䅑兤祂䝁䅕睘呂䡁䅕兢瑂䝁䅅杣㕂䍁䅅䅊䙂䍁䅑䅎㙁䍁䅑睔歁䑁䅑䅁獄睁䅁杣䅁䙁䅳兔䩂䙁䄸睓求䡁䅫睕あ䝁䅅䅤穂䙁䄸杤硁䍁䄴䅥獂䡁䅍兢摂䕁䅍兙睂䝁䅫䅤桂䝁䅷睘呂䡁䅑杣ㅂ䝁䅍䅤ㅂ䡁䅉党時䙁䅍兤瑂䝁䄰兙祂䡁䅫光歁䕁䅕䅊ㅁ䑁䅯䅊乂䍁䅑兎䅁䭁䑷䅁祂䅁䅁睗乂䕁䅫睘䱂䝁䅕入呂䡁䅑兙あ䡁䅍睘㉂䑁䅅杌㑂䝁䅷督瑂䙁䄰睑桂䡁䅁兡あ䝁䅅䅢時䙁䅍䅤祂䡁䅕睙あ䡁䅕杣求䙁䄸睕ㅂ䝁䄰兢桂䡁䅉入桁䍁䅑兒歁䑁䅕杏歁䕁䄸䅊ㅁ䅁䅁儷䅍䡁䅉䅁扂䕁䄰兓時䕁䅳党㕂䙁䅍䅤桂䡁䅑督時䡁䅙免畁䡁䅧䅢穂䝁䄰兘䑂䝁䅅䅣灂䡁䅑兙獂䙁䄸睕あ䡁䅉兤橂䡁䅑兤祂䝁䅕睘呂䡁䅕兢瑂䝁䅅杣㕂䍁䅅䅊䝂䍁䅑䅏㙁䍁䅑杔歁䑁䅧䅁瑃睁䅁杣䅁䙁䅳兔䩂䙁䄸睓求䡁䅫睕あ䝁䅅䅤穂䙁䄸杤硁䍁䄴䅥獂䡁䅍兢摂䕁䅍兙睂䝁䅫䅤桂䝁䅷睘呂䡁䅑杣ㅂ䝁䅍䅤ㅂ䡁䅉党時䙁䅍兤瑂䝁䄰兙祂䡁䅫光歁䕁䅙䅊㑁䑁䅯䅊兂䍁䅑䅏䅁佁䐴䅁祂䅁䅁睗乂䕁䅫睘䱂䝁䅕入呂䡁䅑兙あ䡁䅍睘㉂䑁䅅杌㑂䝁䅷督瑂䙁䄰睑桂䡁䅁兡あ䝁䅅䅢時䙁䅍䅤祂䡁䅕睙あ䡁䅕杣求䙁䄸睕ㅂ䝁䄰兢桂䡁䅉入桁䍁䅑杒歁䑁䅫杏歁䕁䄴䅊㕁䅁䅁睲䅍䡁䅉䅁扂䕁䄰兓時䕁䅳党㕂䙁䅍䅤桂䡁䅑督時䡁䅙免畁䡁䅧䅢穂䝁䄰兘䑂䝁䅅䅣灂䡁䅑兙獂䙁䄸睕あ䡁䅉兤橂䡁䅑兤祂䝁䅕睘呂䡁䅕兢瑂䝁䅅杣㕂䍁䅅䅊䝂䍁䅑兏㙁䍁䅑䅕歁䑁䅫䅁癄睁䅁杣䅁䙁䅳兔䩂䙁䄸睓求䡁䅫睕あ䝁䅅䅤穂䙁䄸杤硁䍁䄴䅥獂䡁䅍兢摂䕁䅍兙睂䝁䅫䅤桂䝁䅷睘呂䡁䅑杣ㅂ䝁䅍䅤ㅂ䡁䅉党時䙁䅍兤瑂䝁䄰兙祂䡁䅫光歁䕁䅣䅊ぁ䑁䅯䅊偂䍁䅑䅎䅁佁䑧䅁祂䅁䅁睗乂䕁䅫睘䱂䝁䅕入呂䡁䅑兙あ䡁䅍睘㉂䑁䅅杌㑂䝁䅷督瑂䙁䄰睑桂䡁䅁兡あ䝁䅅䅢時䙁䅍䅤祂䡁䅕睙あ䡁䅕杣求䙁䄸睕ㅂ䝁䄰兢桂䡁䅉入桁䍁䅑睒歁䑁䅕杏歁䕁䄸䅊ㅁ䅁䅁儶䅍䡁䅉䅁扂䕁䄰兓時䕁䅳党㕂䙁䅍䅤桂䡁䅑督時䡁䅙免畁䡁䅧䅢穂䝁䄰兘䑂䝁䅅䅣灂䡁䅑兙獂䙁䄸睕あ䡁䅉兤橂䡁䅑兤祂䝁䅕睘呂䡁䅕兢瑂䝁䅅杣㕂䍁䅅䅊䡂䍁䅑䅏㙁䍁䅑睔歁䑁䅧䅁䅃睁䅁杣䅁䙁䅳兔䩂䙁䄸睓求䡁䅫睕あ䝁䅅䅤穂䙁䄸杤硁䍁䄴䅥獂䡁䅍兢摂䕁䅍兙睂䝁䅫䅤桂䝁䅷睘呂䡁䅑杣ㅂ䝁䅍䅤ㅂ䡁䅉党時䙁䅍兤瑂䝁䄰兙祂䡁䅫光歁䕁䅣䅊㕁䑁䅯䅊偂䍁䅑兏䅁䥁䑉䅁祂䅁䅁睗乂䕁䅫睘䱂䝁䅕入呂䡁䅑兙あ䡁䅍睘㉂䑁䅅杌㑂䝁䅷督瑂䙁䄰睑桂䡁䅁兡あ䝁䅅䅢時䙁䅍䅤祂䡁䅕睙あ䡁䅕杣求䙁䄸睕ㅂ䝁䄰兢桂䡁䅉入桁䍁䅑䅓歁䑁䅧杏歁䙁䅁䅊㑁䅁䅁朶䅍䡁䅉䅁扂䕁䄰兓時䕁䅳党㕂䙁䅍䅤桂䡁䅑督時䡁䅙免畁䡁䅧䅢穂䝁䄰兘䑂䝁䅅䅣灂䡁䅑兙獂䙁䄸睕あ䡁䅉兤橂䡁䅑兤祂䝁䅕睘呂䡁䅕兢瑂䝁䅅杣㕂䍁䅅䅊䥂䍁䅑兏㙁䍁䅑䅕歁䑁䅫䅁牄睁䅁杕䅁䙁䅳兔䩂䙁䄸睓求䡁䅫睕あ䝁䅅䅤穂䙁䄸杤硁䍁䄴䅥獂䡁䅍兢摂䕁䅍兙睂䝁䅫䅤桂䝁䅷兡㙂䝁䅅䅤灂䝁䄸杢桁䍁䅑睑歁䑁䅑䅁摃睁䅁䅖䅁䙁䅳兔䩂䙁䄸睓求䡁䅫睕あ䝁䅅䅤穂䙁䄸杤硁䍁䄴䅥獂䡁䅍兢摂䕁䅍兙睂䝁䅫䅤桂䝁䅷兡㙂䝁䅅䅤灂䝁䄸杢桁䍁䅑睑歁䑁䅑睎䅁䭁䑕䅁啂䅁䅁睗乂䕁䅫睘䱂䝁䅕入呂䡁䅑兙あ䡁䅍睘㉂䑁䅅杌㑂䝁䅷督瑂䙁䄰睑桂䡁䅁兡あ䝁䅅䅢灂䡁䅯兙あ䝁䅫睢畂䍁䅅䅊䑂䍁䅑䅎㑁䅁䅁兯䅍䙁䅑䅁扂䕁䄰兓時䕁䅳党㕂䙁䅍䅤桂䡁䅑督時䡁䅙免畁䡁䅧䅢穂䝁䄰兘䑂䝁䅅䅣灂䡁䅑兙獂䝁䅫来桂䡁䅑兡療䝁䄴光歁䕁䅍䅊ㅁ䑁䅁䅁橃睁䅁䅙䅁䙁䅳兔䩂䙁䄸睓求䡁䅫睕あ䝁䅅䅤穂䙁䄸杤硁䍁䄴䅥獂䡁䅍兢摂䕁䅍兙睂䝁䅫䅤桂䝁䅷兡㙂䝁䅅䅤灂䝁䄸杢桁䍁䅑睑歁䑁䅕睍㙁䍁䅑睑歁䑁䅕䅎䅁䭁䑣䅁敂䅁䅁睗乂䕁䅫睘䱂䝁䅕入呂䡁䅑兙あ䡁䅍睘㉂䑁䅅杌㑂䝁䅷督瑂䙁䄰睑桂䡁䅁兡あ䝁䅅䅢灂䡁䅯兙あ䝁䅫睢畂䍁䅅䅊䑂䍁䅑兏㙁䍁䅑睑歁䑁䅉兎䅁䩁䐸䅁杂䅁䅁睗乂䕁䅫睘䱂䝁䅕入呂䡁䅑兙あ䡁䅍睘㉂䑁䅅杌㑂䝁䅷督瑂䙁䄰睑桂䡁䅁兡あ䝁䅅䅢灂䡁䅯兙あ䝁䅫睢畂䍁䅅䅊䙂䍁䅑䅎㍁䑁䅯䅊䭂䍁䅑䅎㍁䅁䅁杯䅍䝁䅁䅁扂䕁䄰兓時䕁䅳党㕂䙁䅍䅤桂䡁䅑督時䡁䅙免畁䡁䅧䅢穂䝁䄰兘䑂䝁䅅䅣灂䡁䅑兙獂䝁䅫来桂䡁䅑兡療䝁䄴光歁䕁䅕䅊ぁ䑁䅣杏歁䙁䅁䅊ぁ䑁䅣䅁㑃睁䅁䅙䅁䙁䅳兔䩂䙁䄸睓求䡁䅫睕あ䝁䅅䅤穂䙁䄸杤硁䍁䄴䅥獂䡁䅍兢摂䕁䅍兙睂䝁䅫䅤桂䝁䅷兡㙂䝁䅅䅤灂䝁䄸杢桁䍁䅑兒歁䑁䅑䅏㙁䍁䅑杓歁䑁䅑䅏䅁䭁䑑䅁杂䅁䅁睗乂䕁䅫睘䱂䝁䅕入呂䡁䅑兙あ䡁䅍睘㉂䑁䅅杌㑂䝁䅷督瑂䙁䄰睑桂䡁䅁兡あ䝁䅅䅢灂䡁䅯兙あ䝁䅫睢畂䍁䅅䅊䙂䍁䅑䅎㑁䑁䅯䅊兂䍁䅑䅎㑁䅁䅁兵䅍䙁䅷䅁扂䕁䄰兓時䕁䅳党㕂䙁䅍䅤桂䡁䅑督時䡁䅙免畁䡁䅧䅢穂䝁䄰兘䑂䝁䅅䅣灂䡁䅑兙獂䝁䅫来桂䡁䅑兡療䝁䄴光歁䕁䅕䅊ぁ䑁䅯䅊䭂䍁䅑䅎䅁䩁䐴䅁杂䅁䅁睗乂䕁䅫睘䱂䝁䅕入呂䡁䅑兙あ䡁䅍睘㉂䑁䅅杌㑂䝁䅷督瑂䙁䄰睑桂䡁䅁兡あ䝁䅅䅢灂䡁䅯兙あ䝁䅫睢畂䍁䅅䅊䙂䍁䅑兎硁䑁䅯䅊䭂䍁䅑兎硁䅁䅁杰䅍䝁䅁䅁扂䕁䄰兓時䕁䅳党㕂䙁䅍䅤桂䡁䅑督時䡁䅙免畁䡁䅧䅢穂䝁䄰兘䑂䝁䅅䅣灂䡁䅑兙獂䝁䅫来桂䡁䅑兡療䝁䄴光歁䕁䅕䅊ㅁ䑁䅉杏歁䕁䅯䅊ㅁ䑁䅉䅁潃睁䅁䅘䅁䙁䅳兔䩂䙁䄸睓求䡁䅫睕あ䝁䅅䅤穂䙁䄸杤硁䍁䄴䅥獂䡁䅍兢摂䕁䅍兙睂䝁䅫䅤桂䝁䅷兡㙂䝁䅅䅤灂䝁䄸杢桁䍁䅑兒歁䑁䅕杏歁䕁䅯䅊ㅁ䅁䅁䅯䅍䕁䅧䅁扂䕁䄰兓時䕁䅳党㕂䙁䅍䅤桂䡁䅑督時䡁䅙免畁䡁䅧䅢穂䝁䄰兘䑂䝁䅅督潂䙁䄸杒獂䝁䄸睤桁䍁䅑睑歁䑁䅑䅁婃睁䅁䅖䅁䙁䅳兔䩂䙁䄸睓求䡁䅫睕あ䝁䅅䅤穂䙁䄸杤硁䍁䄴䅥獂䡁䅍兢摂䕁䅍兙穂䝁䅧睘䝂䝁䅷睢㍂䍁䅅䅊䑂䍁䅑兏㙁䍁䅑睑歁䑁䅧兏䅁䩁䑳䅁啂䅁䅁睗乂䕁䅫睘䱂䝁䅕入呂䡁䅑兙あ䡁䅍睘㉂䑁䅅杌㑂䝁䅷督瑂䙁䄰睑桂䡁䅍䅡時䕁䅙䅢療䡁䅣光歁䕁䅍䅊㕁䑁䅯䅊䑂䍁䅑兏睁䅁䅁睶䅍䙁䅑䅁扂䕁䄰兓時䕁䅳党㕂䙁䅍䅤桂䡁䅑督時䡁䅙免畁䡁䅧䅢穂䝁䄰兘䑂䝁䅅督潂䙁䄸杒獂䝁䄸睤桁䍁䅑睑歁䑁䅫杏歁䕁䅍䅊㕁䑁䅅䅁湄睁䅁杕䅁䙁䅳兔䩂䙁䄸睓求䡁䅫睕あ䝁䅅䅤穂䙁䄸杤硁䍁䄴䅥獂䡁䅍兢摂䕁䅍兙穂䝁䅧睘䝂䝁䅷睢㍂䍁䅅䅊䙂䍁䅑䅎㙁䍁䅑䅕歁䑁䅑䅁慃睁䅁杕䅁䙁䅳兔䩂䙁䄸睓求䡁䅫睕あ䝁䅅䅤穂䙁䄸杤硁䍁䄴䅥獂䡁䅍兢摂䕁䅍兙穂䝁䅧睘䝂䝁䅷睢㍂䍁䅅䅊䙂䍁䅑兎㙁䍁䅑䅕歁䑁䅕䅁捃睁䅁杖䅁䙁䅳兔䩂䙁䄸睓求䡁䅫睕あ䝁䅅䅤穂䙁䄸杤硁䍁䄴䅥獂䡁䅍兢摂䕁䅫杢橂䝁䄸兢求䙁䄸睕あ䝁䅅䅤求䝁䄰党畂䡁䅑光歁䕁䅍䅊ぁ䅁䅁睧䅍䝁䅑䅁扂䕁䄰兓時䕁䅳党㕂䙁䅍䅤桂䡁䅑督時䡁䅙免畁䡁䅧䅢穂䝁䄰兘䩂䝁䄴睙療䝁䄰党時䙁䅍䅤桂䡁䅑党瑂䝁䅕杢あ䍁䅅䅊䑂䍁䅑兏㙁䍁䅑睑歁䑁䅅䅎祁䅁䅁其䅍䝁䅑䅁扂䕁䄰兓時䕁䅳党㕂䙁䅍䅤桂䡁䅑督時䡁䅙免畁䡁䅧䅢穂䝁䄰兘䩂䝁䄴睙療䝁䄰党時䙁䅍䅤桂䡁䅑党瑂䝁䅕杢あ䍁䅅䅊䑂䍁䅑兏㙁䍁䅑睑歁䑁䅅兎睁䅁䅁全䅍䝁䅑䅁扂䕁䄰兓時䕁䅳党㕂䙁䅍䅤桂䡁䅑督時䡁䅙免畁䡁䅧䅢穂䝁䄰兘䩂䝁䄴睙療䝁䄰党時䙁䅍䅤桂䡁䅑党瑂䝁䅕杢あ䍁䅅䅊䑂䍁䅑兏㙁䍁䅑睑歁䑁䅅兎ㅁ䅁䅁睨䅍䝁䅑䅁扂䕁䄰兓時䕁䅳党㕂䙁䅍䅤桂䡁䅑督時䡁䅙免畁䡁䅧䅢穂䝁䄰兘䩂䝁䄴睙療䝁䄰党時䙁䅍䅤桂䡁䅑党瑂䝁䅕杢あ䍁䅅䅊䑂䍁䅑兏㙁䍁䅑睑歁䑁䅅李祁䅁䅁睵䅍䝁䅑䅁扂䕁䄰兓時䕁䅳党㕂䙁䅍䅤桂䡁䅑督時䡁䅙免畁䡁䅧䅢穂䝁䄰兘䩂䝁䄴睙療䝁䄰党時䙁䅍䅤桂䡁䅑党瑂䝁䅕杢あ䍁䅅䅊䑂䍁䅑兏㙁䍁䅑睑歁䑁䅅李ㅁ䅁䅁眴䅍䝁䅑䅁扂䕁䄰兓時䕁䅳党㕂䙁䅍䅤桂䡁䅑督時䡁䅙免畁䡁䅧䅢穂䝁䄰兘䩂䝁䄴睙療䝁䄰党時䙁䅍䅤桂䡁䅑党瑂䝁䅕杢あ䍁䅅䅊䑂䍁䅑兏㙁䍁䅑睑歁䑁䅅李㉁䅁䅁朴䅍䝁䅑䅁扂䕁䄰兓時䕁䅳党㕂䙁䅍䅤桂䡁䅑督時䡁䅙免畁䡁䅧䅢穂䝁䄰兘䩂䝁䄴睙療䝁䄰党時䙁䅍䅤桂䡁䅑党瑂䝁䅕杢あ䍁䅅䅊䑂䍁䅑兏㙁䍁䅑睑歁䑁䅅睎穁䅁䅁䅶䅍䝁䅑䅁扂䕁䄰兓時䕁䅳党㕂䙁䅍䅤桂䡁䅑督時䡁䅙免畁䡁䅧䅢穂䝁䄰兘䩂䝁䄴睙療䝁䄰党時䙁䅍䅤桂䡁䅑党瑂䝁䅕杢あ䍁䅅䅊䑂䍁䅑兏㙁䍁䅑睑歁䑁䅅睎ㅁ䅁䅁䄵䅍䝁䅁䅁扂䕁䄰兓時䕁䅳党㕂䙁䅍䅤桂䡁䅑督時䡁䅙免畁䡁䅧䅢穂䝁䄰兘䩂䝁䄴睙療䝁䄰党時䙁䅍䅤桂䡁䅑党瑂䝁䅕杢あ䍁䅅䅊䙂䍁䅑䅎㙁䍁䅑䅕歁䑁䅑䅁䕃睁䅁䅙䅁䙁䅳兔䩂䙁䄸睓求䡁䅫睕あ䝁䅅䅤穂䙁䄸杤硁䍁䄴䅥獂䡁䅍兢摂䕁䅫杢橂䝁䄸兢求䙁䄸睕あ䝁䅅䅤求䝁䄰党畂䡁䅑光歁䕁䅕䅊ㅁ䑁䅯䅊兂䍁䅑兎䅁䥁䑙䅁䵂䅁䅁睗乂䕁䅫睘䱂䝁䅕入呂䡁䅑兙あ䡁䅍睘㉂䑁䅅杌㑂䝁䅷督瑂䙁䄰睓求䡁䅫睘呂䡁䅑兙あ䡁䅍光歁䕁䅉䅊硁䑁䅁杍䅁䵁䑷䅁䭂䅁䅁睗乂䕁䅫睘䱂䝁䅕入呂䡁䅑兙あ䡁䅍睘㉂䑁䅅杌㑂䝁䅷督瑂䙁䄰睓求䡁䅫睘呂䡁䅑兙あ䡁䅍光歁䕁䅉䅊祁䑁䅉䅁灂睁䅁杓䅁䙁䅳兔䩂䙁䄸睓求䡁䅫睕あ䝁䅅䅤穂䙁䄸杤硁䍁䄴䅥獂䡁䅍兢摂䕁䅳党㕂䙁䄸睕あ䝁䅅䅤穂䍁䅅䅊䍂䍁䅑杍穁䅁䅁兢䅍䕁䅯䅁扂䕁䄰兓時䕁䅳党㕂䙁䅍䅤桂䡁䅑督時䡁䅙免畁䡁䅧䅢穂䝁䄰兘䱂䝁䅕入時䙁䅍䅤桂䡁䅑督桁䍁䅑村歁䑁䅕杍䅁䡁䑕䅁䭂䅁䅁睗乂䕁䅫睘䱂䝁䅕入呂䡁䅑兙あ䡁䅍睘㉂䑁䅅杌㑂䝁䅷督瑂䙁䄰睓求䡁䅫睘呂䡁䅑兙あ䡁䅍光歁䕁䅉䅊ㅁ䑁䅫䅁硂睁䅁杓䅁䙁䅳兔䩂䙁䄸睓求䡁䅫睕あ䝁䅅䅤穂䙁䄸杤硁䍁䄴䅥獂䡁䅍兢摂䕁䅳党㕂䙁䄸睕あ䝁䅅䅤穂䍁䅅䅊䍂䍁䅑兏㑁䅁䅁入䅍䙁䅯䅁扂䕁䄰兓時䕁䅳党㕂䙁䅍䅤桂䡁䅑督時䡁䅙免畁䡁䅧䅢穂䝁䄰兘䱂䝁䅕入時䙁䅍䅤桂䡁䅑督桁䍁䅑睑歁䑁䅅䅍硁䑁䅯䅊䑂䍁䅑免睁䑁䅕䅁㝂睁䅁杗䅁䙁䅳兔䩂䙁䄸睓求䡁䅫睕あ䝁䅅䅤穂䙁䄸杤硁䍁䄴䅥獂䡁䅍兢摂䕁䅳党㕂䙁䄸睕あ䝁䅅䅤穂䍁䅅䅊䑂䍁䅑免睁䑁䅕杏歁䕁䅍䅊硁䑁䅁兏䅁䵁䐴䅁坂䅁䅁睗乂䕁䅫睘䱂䝁䅕入呂䡁䅑兙あ䡁䅍睘㉂䑁䅅杌㑂䝁䅷督瑂䙁䄰睓求䡁䅫睘呂䡁䅑兙あ䡁䅍光歁䕁䅍䅊祁䑁䅕杏歁䕁䅍䅊ぁ䑁䅫䅁牂睁䅁杖䅁䙁䅳兔䩂䙁䄸睓求䡁䅫睕あ䝁䅅䅤穂䙁䄸杤硁䍁䄴䅥獂䡁䅍兢摂䕁䅳党㕂䙁䄸睕あ䝁䅅䅤穂䍁䅅䅊䑂䍁䅑兎ぁ䑁䅯䅊䑂䍁䅑兎ㅁ䅁䅁睤䅍䙁䅙䅁扂䕁䄰兓時䕁䅳党㕂䙁䅍䅤桂䡁䅑督時䡁䅙免畁䡁䅧䅢穂䝁䄰兘䱂䝁䅕入時䙁䅍䅤桂䡁䅑督桁䍁䅑睑歁䑁䅙免㙁䍁䅑睑歁䑁䅙睎䅁䡁䑍䅁坂䅁䅁睗乂䕁䅫睘䱂䝁䅕入呂䡁䅑兙あ䡁䅍睘㉂䑁䅅杌㑂䝁䅷督瑂䙁䄰睓求䡁䅫睘呂䡁䅑兙あ䡁䅍光歁䕁䅑䅊祁䑁䅕杏歁䕁䅑䅊ぁ䑁䅫䅁療睁䅁杖䅁䙁䅳兔䩂䙁䄸睓求䡁䅫睕あ䝁䅅䅤穂䙁䄸杤硁䍁䄴䅥獂䡁䅍兢摂䕁䅳党㕂䙁䄸睕あ䝁䅅䅤穂䍁䅅䅊䕂䍁䅑兎ぁ䑁䅯䅊䕂䍁䅑兎ㅁ䅁䅁䅥䅍䙁䅯䅁扂䕁䄰兓時䕁䅳党㕂䙁䅍䅤桂䡁䅑督時䡁䅙免畁䡁䅧䅢穂䝁䄰兘䱂䝁䅕入時䙁䅍䅤桂䡁䅑督桁䍁䅑兒歁䑁䅅䅍睁䑁䅯䅊䡂䍁䅑免睁䑁䅁䅁㡂睁䅁杗䅁䙁䅳兔䩂䙁䄸睓求䡁䅫睕あ䝁䅅䅤穂䙁䄸杤硁䍁䄴䅥獂䡁䅍兢摂䕁䅳党㕂䙁䄸睕あ䝁䅅䅤穂䍁䅅䅊䙂䍁䅑免睁䑁䅍杏歁䕁䅣䅊硁䑁䅁睍䅁䵁䐰䅁慂䅁䅁睗乂䕁䅫睘䱂䝁䅕入呂䡁䅑兙あ䡁䅍睘㉂䑁䅅杌㑂䝁䅷督瑂䙁䄰睓求䡁䅫睘呂䡁䅑兙あ䡁䅍光歁䕁䅕䅊硁䑁䅁䅎㙁䍁䅑睒歁䑁䅅䅍ぁ䅁䅁睺䅍䙁䅙䅁扂䕁䄰兓時䕁䅳党㕂䙁䅍䅤桂䡁䅑督時䡁䅙免畁䡁䅧䅢穂䝁䄰兘䱂䝁䅕入時䙁䅍䅤桂䡁䅑督桁䍁䅑兒歁䑁䅉杍㙁䍁䅑兓歁䑁䅉杍䅁䝁䑯䅁坂䅁䅁睗乂䕁䅫睘䱂䝁䅕入呂䡁䅑兙あ䡁䅍睘㉂䑁䅅杌㑂䝁䅷督瑂䙁䄰睓求䡁䅫睘呂䡁䅑兙あ䡁䅍光歁䕁䅕䅊祁䑁䅍杏歁䕁䅫䅊祁䑁䅍䅁獂睁䅁杓䅁䙁䅳兔䩂䙁䄸睓求䡁䅫睕あ䝁䅅䅤穂䙁䄸杤硁䍁䄴䅥獂䡁䅍兢摂䕁䅳党㕂䙁䄸睕あ䝁䅅䅤穂䍁䅅䅊䙂䍁䅑兎祁䅁䅁杤䅍䕁䅯䅁扂䕁䄰兓時䕁䅳党㕂䙁䅍䅤桂䡁䅑督時䡁䅙免畁䡁䅧䅢穂䝁䄰兘䱂䝁䅕入時䙁䅍䅤桂䡁䅑督桁䍁䅑兒歁䑁䅕兏䅁䡁䑉䅁䭂䅁䅁睗乂䕁䅫睘䱂䝁䅕入呂䡁䅑兙あ䡁䅍睘㉂䑁䅅杌㑂䝁䅷督瑂䙁䄰睓求䡁䅫睘呂䡁䅑兙あ䡁䅍光歁䕁䅕䅊㉁䑁䅁䅁あ睁䅁杖䅁䙁䅳兔䩂䙁䄸睓求䡁䅫睕あ䝁䅅䅤穂䙁䄸杤硁䍁䄴䅥獂䡁䅍兢摂䕁䅳党㕂䙁䄸睕あ䝁䅅䅤穂䍁䅅䅊䙂䍁䅑兏㕁䑁䅯䅊䡂䍁䅑兏㕁䅁䅁来䅍䙁䅙䅁扂䕁䄰兓時䕁䅳党㕂䙁䅍䅤桂䡁䅑督時䡁䅙免畁䡁䅧䅢穂䝁䄰兘䱂䝁䅕入時䙁䅍䅤桂䡁䅑督桁䍁䅑杓歁䑁䅉杍㙁䍁䅑䅔歁䑁䅉杍䅁䝁䐴䅁坂䅁䅁睗乂䕁䅫睘䱂䝁䅕入呂䡁䅑兙あ䡁䅍睘㉂䑁䅅杌㑂䝁䅷督瑂䙁䄰睓求䡁䅫睘呂䡁䅑兙あ䡁䅍光歁䕁䅯䅊祁䑁䅉杏歁䕁䄰䅊祁䑁䅉䅁㥂睁䅁杖䅁䙁䅳兔䩂䙁䄸睓求䡁䅫睕あ䝁䅅䅤穂䙁䄸杤硁䍁䄴䅥獂䡁䅍兢摂䕁䅳党㕂䙁䄸睕あ䝁䅅䅤穂䍁䅅䅊䭂䍁䅑杍穁䑁䅯䅊䵂䍁䅑杍穁䅁䅁䅣䅍䙁䅙䅁扂䕁䄰兓時䕁䅳党㕂䙁䅍䅤桂䡁䅑督時䡁䅙免畁䡁䅧䅢穂䝁䄰兘䱂䝁䅕入時䙁䅍䅤桂䡁䅑督桁䍁䅑杓歁䑁䅉睍㙁䍁䅑兔歁䑁䅉睍䅁䡁䐴䅁䍂䅁䅁睗乂䕁䅫睘䱂䝁䅕入呂䡁䅑兙あ䡁䅍睘㉂䑁䅅杌㑂䝁䅷督瑂䙁䄰杕桂䡁䅑兡療䡁䅍光歁䕁䅍䅊ぁ䅁䅁䅳䅍䙁䅁䅁扂䕁䄰兓時䕁䅳党㕂䙁䅍䅤桂䡁䅑督時䡁䅙免畁䡁䅧䅢穂䝁䄰兘卂䝁䅅䅤灂䝁䄸督桁䍁䅑睑歁䑁䅫杏歁䕁䅍䅊硁䑁䅑兏䅁䱁䑉䅁兂䅁䅁睗乂䕁䅫睘䱂䝁䅕入呂䡁䅑兙あ䡁䅍睘㉂䑁䅅杌㑂䝁䅷督瑂䙁䄰杕桂䡁䅑兡療䡁䅍光歁䕁䅍䅊㕁䑁䅯䅊䑂䍁䅑免ㅁ䑁䅁䅁䙄睁䅁䅔䅁䙁䅳兔䩂䙁䄸睓求䡁䅫睕あ䝁䅅䅤穂䙁䄸杤硁䍁䄴䅥獂䡁䅍兢摂䙁䅉兙あ䝁䅫睢穂䍁䅅䅊䕂䍁䅑䅎㙁䍁䅑兓歁䑁䅑䅁硃睁䅁䅔䅁䙁䅳兔䩂䙁䄸睓求䡁䅫睕あ䝁䅅䅤穂䙁䄸杤硁䍁䄴䅥獂䡁䅍兢摂䙁䅉兙あ䝁䅫睢穂䍁䅅䅊䕂䍁䅑兎㙁䍁䅑兓歁䑁䅕䅁穃睁䅁杔䅁䙁䅳兔䩂䙁䄸睓求䡁䅫睕あ䝁䅅䅤穂䙁䄸杤硁䍁䄴䅥獂䡁䅍兢摂䙁䅍兤睂䡁䅁䅢求䝁䄰党畂䡁䅑兙獂䍁䅅䅊䑂䍁䅑䅎䅁䩁䑅䅁捂䅁䅁睗乂䕁䅫睘䱂䝁䅕入呂䡁䅑兙あ䡁䅍睘㉂䑁䅅杌㑂䝁䅷督瑂䙁䄰睕ㅂ䡁䅁䅣獂䝁䅕兢求䝁䄴䅤桂䝁䅷光歁䕁䅍䅊㕁䑁䅯䅊䑂䍁䅑免ㅁ䑁䅕䅁䝄睁䅁䅘䅁䙁䅳兔䩂䙁䄸睓求䡁䅫睕あ䝁䅅䅤穂䙁䄸杤硁䍁䄴䅥獂䡁䅍兢摂䙁䅍兤睂䡁䅁䅢求䝁䄰党畂䡁䅑兙獂䍁䅅䅊䑂䍁䅑兏㙁䍁䅑睑歁䑁䅅兎㑁䅁䅁睸䅍䙁䅷䅁扂䕁䄰兓時䕁䅳党㕂䙁䅍䅤桂䡁䅑督時䡁䅙免畁䡁䅧䅢穂䝁䄰兘呂䡁䅕䅣睂䝁䅷党瑂䝁䅕杢あ䝁䅅䅢桁䍁䅑睑歁䑁䅫杏歁䕁䅍䅊硁䑁䅙䅍䅁䵁䑧䅁捂䅁䅁睗乂䕁䅫睘䱂䝁䅕入呂䡁䅑兙あ䡁䅍睘㉂䑁䅅杌㑂䝁䅷督瑂䙁䄰睕ㅂ䡁䅁䅣獂䝁䅕兢求䝁䄴䅤桂䝁䅷光歁䕁䅍䅊㕁䑁䅯䅊䑂䍁䅑免㉁䑁䅑䅁䭄睁䅁䅘䅁䙁䅳兔䩂䙁䄸睓求䡁䅫睕あ䝁䅅䅤穂䙁䄸杤硁䍁䄴䅥獂䡁䅍兢摂䙁䅍兤睂䡁䅁䅢求䝁䄰党畂䡁䅑兙獂䍁䅅䅊䑂䍁䅑兏㙁䍁䅑睑歁䑁䅅李㉁䅁䅁兹䅍䙁䅷䅁扂䕁䄰兓時䕁䅳党㕂䙁䅍䅤桂䡁䅑督時䡁䅙免畁䡁䅧䅢穂䝁䄰兘呂䡁䅕䅣睂䝁䅷党瑂䝁䅕杢あ䝁䅅䅢桁䍁䅑睑歁䑁䅫杏歁䕁䅍䅊硁䑁䅙䅏䅁䩁䑍䅁奂䅁䅁睗乂䕁䅫睘䱂䝁䅕入呂䡁䅑兙あ䡁䅍睘㉂䑁䅅杌㑂䝁䅷督瑂䙁䄰睕ㅂ䡁䅁䅣獂䝁䅕兢求䝁䄴䅤桂䝁䅷光歁䕁䅑䅊ぁ䑁䅯䅊䩂䍁䅑䅎䅁䩁䑉䅁奂䅁䅁睗乂䕁䅫睘䱂䝁䅕入呂䡁䅑兙あ䡁䅍睘㉂䑁䅅杌㑂䝁䅷督瑂䙁䄰睕ㅂ䡁䅁䅣獂䝁䅕兢求䝁䄴䅤桂䝁䅷光歁䕁䅑䅊ㅁ䑁䅯䅊䩂䍁䅑兎䅁䩁䑑䅁浂䅁䅁睗乂䕁䅫睘卂䕁䅕兓啂䙁䄸睕桂䝁䄰党呂䡁䅑睢祂䝁䅕䅖求䝁䄰䅣獂䝁䅅䅤求䙁䄸杤硁䍁䄴䅥獂䡁䅍兘䕂䝁䅅䅤桂䍁䅅䅊䕂䍁䅑免穁䑁䅯䅊䕂䍁䅑杍穁䅁䅁眳䅍䙁䅧䅁扂䕁䄰兓時䙁䅉兒䩂䙁䅑睘呂䝁䅅兢求䙁䅍䅤療䡁䅉党啂䝁䅕兢睂䝁䅷兙あ䝁䅕睘㉂䑁䅅杌㑂䝁䅷督摂䕁䅑兙あ䝁䅅光歁䕁䅑䅊㕁䅁䅁朳䅍䙁䅯䅁扂䕁䄰兓時䙁䅉兒䩂䙁䅑睘呂䝁䅅兢求䙁䅍䅤療䡁䅉党啂䝁䅕兢睂䝁䅷兙あ䝁䅕睘㉂䑁䅅杌㑂䝁䅷督摂䕁䅑兙あ䝁䅅光歁䕁䅑䅓歁䑁䅫䅁啄睁䅁条䅁䙁䅳兔䩂䙁䄸杕䙂䕁䅫䅖時䙁䅍兙瑂䝁䅕睕あ䝁䄸杣求䙁䅑党瑂䡁䅁䅢桂䡁䅑党時䡁䅙免畁䡁䅧䅢穂䙁䄰䅒桂䡁䅑兙桁䍁䅑䅒䩂䍁䅑免穁䑁䅯䅊䕂䕁䅫䅊祁䑁䅍䅁噄睁䅁条䅁䙁䅳兔䩂䙁䄸杕䙂䕁䅫䅖時䙁䅍兙瑂䝁䅕睕あ䝁䄸杣求䙁䅑党瑂䡁䅁䅢桂䡁䅑党時䡁䅙免畁䡁䅧䅢穂䙁䄰䅒桂䡁䅑兙桁䍁䅑䅒䭂䍁䅑免睁䑁䅯䅊䝂䙁䅉䅊硁䑁䅁䅁坄睁䅁䅡䅁䙁䅳兔䩂䙁䄸杕䙂䕁䅫䅖時䙁䅍兙瑂䝁䅕睕あ䝁䄸杣求䙁䅑党瑂䡁䅁䅢桂䡁䅑党時䡁䅙免畁䡁䅧䅢穂䙁䄰䅒桂䡁䅑兙桁䍁䅑睒歁䑁䅅䅍㙁䍁䅑䅒䕂䍁䅑免睁䅁䅁䄴䅍䙁䅯䅁扂䕁䄰兓時䙁䅉兒䩂䙁䅑睘呂䝁䅅兢求䙁䅍䅤療䡁䅉党啂䝁䅕兢睂䝁䅷兙あ䝁䅕睘㉂䑁䅅杌㑂䝁䅷督摂䕁䅑兙あ䝁䅅光歁䕁䅣䅊ぁ䑁䅧䅁奄睁䅁杗䅁䙁䅳兔䩂䙁䄸杕䙂䕁䅫䅖時䙁䅍兙瑂䝁䅕睕あ䝁䄸杣求䙁䅑党瑂䡁䅁䅢桂䡁䅑党時䡁䅙免畁䡁䅧䅢穂䙁䄰䅒桂䡁䅑兙桁䍁䅑䅓歁䑁䅑兎䅁乁䑳䅁潂䅁䅁睗乂䕁䅫睘卂䕁䅕兓啂䙁䄸睕桂䝁䄰党呂䡁䅑睢祂䝁䅕䅖求䝁䄰䅣獂䝁䅅䅤求䙁䄸杤硁䍁䄴䅥獂䡁䅍兘䕂䝁䅅䅤桂䍁䅅䅊䥂䍁䅑䅎㕁䑁䅯䅊䥂䍁䅑杍㍁䑁䅕䅁捄睁䅁杗䅁䙁䅳兔䩂䙁䄸杕䙂䕁䅫䅖時䙁䅍兙瑂䝁䅕睕あ䝁䄸杣求䙁䅑党瑂䡁䅁䅢桂䡁䅑党時䡁䅙免畁䡁䅧䅢穂䙁䄰䅒桂䡁䅑兙桁䍁䅑杓歁䑁䅉兏䅁乁䑁䅁慂䅁䅁睗乂䕁䅫睘卂䕁䅕兓啂䙁䄸睕桂䝁䄰党呂䡁䅑睢祂䝁䅕䅖求䝁䄰䅣獂䝁䅅䅤求䙁䄸杤硁䍁䄴䅥獂䡁䅍兘䕂䝁䅅䅤桂䍁䅅䅊䭂䍁䅑睍祁䅁䅁儰䅍䝁䅙䅁扂䕁䄰兓時䙁䅉兒䩂䙁䅑睘呂䝁䅅兢求䙁䅍䅤療䡁䅉党啂䝁䅕兢睂䝁䅷兙あ䝁䅕睘㉂䑁䅅杌㑂䝁䅷督摂䕁䅑兙あ䝁䅅光歁䕁䅳䅊祁䑁䅫杏歁䕁䅷䅊祁䑁䅫䅁卄睁䅁杚䅁䙁䅳兔䩂䙁䄸杕䙂䕁䅫䅖時䙁䅍兙瑂䝁䅕睕あ䝁䄸杣求䙁䅑党瑂䡁䅁䅢桂䡁䅑党時䡁䅙免畁䡁䅧䅢穂䙁䄰䅒桂䡁䅑兙桁䍁䅑睓歁䑁䅍䅍㙁䍁䅑䅔歁䑁䅍䅍䅁乁䑍䅁潂䅁䅁睗乂䕁䅫睘卂䕁䅕兓啂䙁䄸睕桂䝁䄰党呂䡁䅑睢祂䝁䅕䅖求䝁䄰䅣獂䝁䅅䅤求䙁䄸杤硁䍁䄴䅥獂䡁䅍兘䕂䝁䅅䅤桂䍁䅅䅊乂䍁䅑䅎㉁䑁䅯䅊䝂䙁䅉䅊ぁ䑁䅙䅁摄睁䅁杣䅁䙁䅳睕兂䕁䅣睘䑂䝁䄸兢睂䝁䅅杢㕂䙁䄸睓求䡁䅫睕あ䝁䅅䅤穂䙁䄸杤硁䍁䄴䅥獂䡁䅍兢摂䕁䅉兙獂䝁䅅杢橂䝁䅕睘呂䝁䅧党求䡁䅑光歁䕁䅍䅊硁䑁䅅杏歁䕁䅍䅊硁䑁䅑免䅁佁䙯䅁楂䅁䅁睗呂䙁䅁睒時䕁䅍睢瑂䡁䅁兙畂䡁䅫睘䱂䝁䅕入呂䡁䅑兙あ䡁䅍睘㉂䑁䅅杌㑂䝁䅷督瑂䙁䄰村桂䝁䅷兙畂䝁䅍党時䙁䅍䅡求䝁䅕䅤桁䍁䅑睑歁䑁䅙䅁潄兂䅁䅢䅁䙁䅳睕兂䕁䅣睘䑂䝁䄸兢睂䝁䅅杢㕂䙁䄸睓求䡁䅫睕あ䝁䅅䅤穂䙁䄸杤硁䍁䄴䅥獂䡁䅍兢摂䕁䅉兙獂䝁䅅杢橂䝁䅕睘呂䝁䅧党求䡁䅑光歁䕁䅕䅊㉁䑁䅯䅊兂䍁䅑李䅁佁䙫䅁獂䅁䅁睗呂䙁䅁睒時䕁䅍睢瑂䡁䅁兙畂䡁䅫睘䱂䝁䅕入呂䡁䅑兙あ䡁䅍睘㉂䑁䅅杌㑂䝁䅷督瑂䙁䄰村桂䝁䅷兙畂䝁䅍党時䙁䅍䅡求䝁䅕䅤桁䍁䅑兒歁䑁䅣杏歁䙁䅁䅊㍁䅁䅁眶䅕䥁䅯䅁扂䙁䅍䅕䡂䙁䄸睑療䝁䄰䅣桂䝁䄴入時䕁䅳党㕂䙁䅍䅤桂䡁䅑督時䡁䅙免畁䡁䅧䅢穂䝁䄰兘䑂䝁䅅䅣灂䡁䅑兙獂䙁䄸睕あ䡁䅉兤橂䡁䅑兤祂䝁䅕睘呂䡁䅕兢瑂䝁䅅杣㕂䍁䅅䅊䑂䍁䅑免ㅁ䑁䅯䅊䑂䍁䅑免ㅁ䑁䅉䅁⭄兂䅁来䅁䙁䅳睕兂䕁䅣睘䑂䝁䄸兢睂䝁䅅杢㕂䙁䄸睓求䡁䅫睕あ䝁䅅䅤穂䙁䄸杤硁䍁䄴䅥獂䡁䅍兢摂䕁䅍兙睂䝁䅫䅤桂䝁䅷睘呂䡁䅑杣ㅂ䝁䅍䅤ㅂ䡁䅉党時䙁䅍兤瑂䝁䄰兙祂䡁䅫光歁䕁䅍䅊㉁䅁䅁䄯䅕䡁䅯䅁扂䙁䅍䅕䡂䙁䄸睑療䝁䄰䅣桂䝁䄴入時䕁䅳党㕂䙁䅍䅤桂䡁䅑督時䡁䅙免畁䡁䅧䅢穂䝁䄰兘䑂䝁䅅䅣灂䡁䅑兙獂䙁䄸睕あ䡁䅉兤橂䡁䅑兤祂䝁䅕睘呂䡁䅕兢瑂䝁䅅杣㕂䍁䅅䅊䑂䍁䅑睎䅁䅁䝁䅁䥃䅁䅁睗呂䙁䅁睒時䕁䅍睢瑂䡁䅁兙畂䡁䅫睘䱂䝁䅕入呂䡁䅑兙あ䡁䅍睘㉂䑁䅅杌㑂䝁䅷督瑂䙁䄰睑桂䡁䅁兡あ䝁䅅䅢時䙁䅍䅤祂䡁䅕睙あ䡁䅕杣求䙁䄸睕ㅂ䝁䄰兢桂䡁䅉入桁䍁䅑䅒歁䑁䅉兏㙁䍁䅑䅒歁䑁䅧䅍䅁䅁䝉䅁䕃䅁䅁睗呂䙁䅁睒時䕁䅍睢瑂䡁䅁兙畂䡁䅫睘䱂䝁䅕入呂䡁䅑兙あ䡁䅍睘㉂䑁䅅杌㑂䝁䅷督瑂䙁䄰睑桂䡁䅁兡あ䝁䅅䅢時䙁䅍䅤祂䡁䅕睙あ䡁䅕杣求䙁䄸睕ㅂ䝁䄰兢桂䡁䅉入桁䍁䅑兒歁䑁䅙杏歁䕁䄸䅊㉁䅁䅁儯䅕䥁䅑䅁扂䙁䅍䅕䡂䙁䄸睑療䝁䄰䅣桂䝁䄴入時䕁䅳党㕂䙁䅍䅤桂䡁䅑督時䡁䅙免畁䡁䅧䅢穂䝁䄰兘䑂䝁䅅䅣灂䡁䅑兙獂䙁䄸睕あ䡁䅉兤橂䡁䅑兤祂䝁䅕睘呂䡁䅕兢瑂䝁䅅杣㕂䍁䅅䅊䙂䍁䅑睎㙁䍁䅑睔歁䑁䅣䅁⽄兂䅁䅩䅁䙁䅳睕兂䕁䅣睘䑂䝁䄸兢睂䝁䅅杢㕂䙁䄸睓求䡁䅫睕あ䝁䅅䅤穂䙁䄸杤硁䍁䄴䅥獂䡁䅍兢摂䕁䅍兙睂䝁䅫䅤桂䝁䅷睘呂䡁䅑杣ㅂ䝁䅍䅤ㅂ䡁䅉党時䙁䅍兤瑂䝁䄰兙祂䡁䅫光歁䕁䅙䅊硁䑁䅁杏歁䙁䅁䅊硁䑁䅁䅁䉁杂䅁䅩䅁䙁䅳睕兂䕁䅣睘䑂䝁䄸兢睂䝁䅅杢㕂䙁䄸睓求䡁䅫睕あ䝁䅅䅤穂䙁䄸杤硁䍁䄴䅥獂䡁䅍兢摂䕁䅍兙睂䝁䅫䅤桂䝁䅷睘呂䡁䅑杣ㅂ䝁䅍䅤ㅂ䡁䅉党時䙁䅍兤瑂䝁䄰兙祂䡁䅫光歁䕁䅙䅊硁䑁䅅杏歁䙁䅁䅊硁䑁䅅䅁䑁杂䅁䅚䅁䙁䅳睕兂䕁䅣睘䑂䝁䄸兢睂䝁䅅杢㕂䙁䄸睓求䡁䅫睕あ䝁䅅䅤穂䙁䄸杤硁䍁䄴䅥獂䡁䅍兢摂䕁䅍兙睂䝁䅫䅤桂䝁䅷兡㙂䝁䅅䅤灂䝁䄸杢桁䍁䅑睑歁䑁䅑䅁睄兂䅁杚䅁䙁䅳睕兂䕁䅣睘䑂䝁䄸兢睂䝁䅅杢㕂䙁䄸睓求䡁䅫睕あ䝁䅅䅤穂䙁䄸杤硁䍁䄴䅥獂䡁䅍兢摂䕁䅍兙睂䝁䅫䅤桂䝁䅷兡㙂䝁䅅䅤灂䝁䄸杢桁䍁䅑睑歁䑁䅑睎䅁偁䙑䅁浂䅁䅁睗呂䙁䅁睒時䕁䅍睢瑂䡁䅁兙畂䡁䅫睘䱂䝁䅕入呂䡁䅑兙あ䡁䅍睘㉂䑁䅅杌㑂䝁䅷督瑂䙁䄰睑桂䡁䅁兡あ䝁䅅䅢灂䡁䅯兙あ䝁䅫睢畂䍁䅅䅊䑂䍁䅑䅎㑁䅁䅁䄫䅕䝁䅙䅁扂䙁䅍䅕䡂䙁䄸睑療䝁䄰䅣桂䝁䄴入時䕁䅳党㕂䙁䅍䅤桂䡁䅑督時䡁䅙免畁䡁䅧䅢穂䝁䄰兘䑂䝁䅅䅣灂䡁䅑兙獂䝁䅫来桂䡁䅑兡療䝁䄴光歁䕁䅍䅊ㅁ䑁䅁䅁㙄兂䅁杣䅁䙁䅳睕兂䕁䅣睘䑂䝁䄸兢睂䝁䅅杢㕂䙁䄸睓求䡁䅫睕あ䝁䅅䅤穂䙁䄸杤硁䍁䄴䅥獂䡁䅍兢摂䕁䅍兙睂䝁䅫䅤桂䝁䅷兡㙂䝁䅅䅤灂䝁䄸杢桁䍁䅑睑歁䑁䅕睍㙁䍁䅑睑歁䑁䅕䅎䅁偁䙙䅁睂䅁䅁睗呂䙁䅁睒時䕁䅍睢瑂䡁䅁兙畂䡁䅫睘䱂䝁䅕入呂䡁䅑兙あ䡁䅍睘㉂䑁䅅杌㑂䝁䅷督瑂䙁䄰睑桂䡁䅁兡あ䝁䅅䅢灂䡁䅯兙あ䝁䅫睢畂䍁䅅䅊䑂䍁䅑兏㙁䍁䅑睑歁䑁䅉兎䅁偁䙉䅁祂䅁䅁睗呂䙁䅁睒時䕁䅍睢瑂䡁䅁兙畂䡁䅫睘䱂䝁䅕入呂䡁䅑兙あ䡁䅍睘㉂䑁䅅杌㑂䝁䅷督瑂䙁䄰睑桂䡁䅁兡あ䝁䅅䅢灂䡁䅯兙あ䝁䅫睢畂䍁䅅䅊䙂䍁䅑䅎㍁䑁䅯䅊䭂䍁䅑䅎㍁䅁䅁儫䅕䡁䅉䅁扂䙁䅍䅕䡂䙁䄸睑療䝁䄰䅣桂䝁䄴入時䕁䅳党㕂䙁䅍䅤桂䡁䅑督時䡁䅙免畁䡁䅧䅢穂䝁䄰兘䑂䝁䅅䅣灂䡁䅑兙獂䝁䅫来桂䡁䅑兡療䝁䄴光歁䕁䅕䅊ぁ䑁䅧杏歁䕁䅯䅊ぁ䑁䅧䅁㝄兂䅁杢䅁䙁䅳睕兂䕁䅣睘䑂䝁䄸兢睂䝁䅅杢㕂䙁䄸睓求䡁䅫睕あ䝁䅅䅤穂䙁䄸杤硁䍁䄴䅥獂䡁䅍兢摂䕁䅍兙睂䝁䅫䅤桂䝁䅷兡㙂䝁䅅䅤灂䝁䄸杢桁䍁䅑兒歁䑁䅑杏歁䕁䅯䅊ぁ䅁䅁儸䅕䡁䅉䅁扂䙁䅍䅕䡂䙁䄸睑療䝁䄰䅣桂䝁䄴入時䕁䅳党㕂䙁䅍䅤桂䡁䅑督時䡁䅙免畁䡁䅧䅢穂䝁䄰兘䑂䝁䅅䅣灂䡁䅑兙獂䝁䅫来桂䡁䅑兡療䝁䄴光歁䕁䅕䅊ㅁ䑁䅅杏歁䕁䅯䅊ㅁ䑁䅅䅁ㅄ兂䅁杣䅁䙁䅳睕兂䕁䅣睘䑂䝁䄸兢睂䝁䅅杢㕂䙁䄸睓求䡁䅫睕あ䝁䅅䅤穂䙁䄸杤硁䍁䄴䅥獂䡁䅍兢摂䕁䅍兙睂䝁䅫䅤桂䝁䅷兡㙂䝁䅅䅤灂䝁䄸杢桁䍁䅑兒歁䑁䅕杍㙁䍁䅑杓歁䑁䅕杍䅁偁䙣䅁畂䅁䅁睗呂䙁䅁睒時䕁䅍睢瑂䡁䅁兙畂䡁䅫睘䱂䝁䅕入呂䡁䅑兙あ䡁䅍睘㉂䑁䅅杌㑂䝁䅷督瑂䙁䄰睑桂䡁䅁兡あ䝁䅅䅢灂䡁䅯兙あ䝁䅫睢畂䍁䅅䅊䙂䍁䅑兎㙁䍁䅑杓歁䑁䅕䅁穄兂䅁䅡䅁䙁䅳睕兂䕁䅣睘䑂䝁䄸兢睂䝁䅅杢㕂䙁䄸睓求䡁䅫睕あ䝁䅅䅤穂䙁䄸杤硁䍁䄴䅥獂䡁䅍兢摂䕁䅍兙穂䝁䅧睘䝂䝁䅷睢㍂䍁䅅䅊䑂䍁䅑免硁䑁䅯䅊䑂䍁䅑兏祁䅁䅁朷䅕䙁䅯䅁扂䙁䅍䅕䡂䙁䄸睑療䝁䄰䅣桂䝁䄴入時䕁䅳党㕂䙁䅍䅤桂䡁䅑督時䡁䅙免畁䡁䅧䅢穂䝁䄰兘䑂䝁䅅督潂䙁䄸杒獂䝁䄸睤桁䍁䅑睑歁䑁䅙䅁獄兂䅁䅚䅁䙁䅳睕兂䕁䅣睘䑂䝁䄸兢睂䝁䅅杢㕂䙁䄸睓求䡁䅫睕あ䝁䅅䅤穂䙁䄸杤硁䍁䄴䅥獂䡁䅍兢摂䕁䅍兙穂䝁䅧睘䝂䝁䅷睢㍂䍁䅅䅊䙂䍁䅑李㙁䍁䅑䅕歁䑁䅙䅁瑄兂䅁䅚䅁䙁䅳睕兂䕁䅣睘䑂䝁䄸兢睂䝁䅅杢㕂䙁䄸睓求䡁䅫睕あ䝁䅅䅤穂䙁䄸杤硁䍁䄴䅥獂䡁䅍兢摂䕁䅍兙穂䝁䅧睘䝂䝁䅷睢㍂䍁䅅䅊䙂䍁䅑睎㙁䍁䅑䅕歁䑁䅣䅁癄兂䅁䅥䅁䙁䅳睕兂䕁䅣睘䑂䝁䄸兢睂䝁䅅杢㕂䙁䄸睓求䡁䅫睕あ䝁䅅䅤穂䙁䄸杤硁䍁䄴䅥獂䡁䅍兢摂䕁䅫杢橂䝁䄸兢求䙁䄸睕あ䝁䅅䅤求䝁䄰党畂䡁䅑光歁䕁䅍䅊硁䑁䅅杏歁䕁䅍䅊硁䑁䅣兎䅁佁䙙䅁潂䅁䅁睗呂䙁䅁睒時䕁䅍睢瑂䡁䅁兙畂䡁䅫睘䱂䝁䅕入呂䡁䅑兙あ䡁䅍睘㉂䑁䅅杌㑂䝁䅷督瑂䙁䄰兓畂䝁䅍睢瑂䝁䅕睘呂䡁䅑兙あ䝁䅕兢求䝁䄴䅤桁䍁䅑睑歁䑁䅙䅁歄兂䅁杣䅁䙁䅳睕兂䕁䅣睘䑂䝁䄸兢睂䝁䅅杢㕂䙁䄸睓求䡁䅫睕あ䝁䅅䅤穂䙁䄸杤硁䍁䄴䅥獂䡁䅍兢摂䕁䅫杢橂䝁䄸兢求䙁䄸睕あ䝁䅅䅤求䝁䄰党畂䡁䅑光歁䕁䅕䅊㉁䑁䅯䅊兂䍁䅑李䅁佁䙕䅁祂䅁䅁睗呂䙁䅁睒時䕁䅍睢瑂䡁䅁兙畂䡁䅫睘䱂䝁䅕入呂䡁䅑兙あ䡁䅍睘㉂䑁䅅杌㑂䝁䅷督瑂䙁䄰兓畂䝁䅍睢瑂䝁䅕睘呂䡁䅑兙あ䝁䅕兢求䝁䄴䅤桁䍁䅑兒歁䑁䅣杏歁䙁䅁䅊㍁䅁䅁眵䅕䙁䄴䅁扂䙁䅍䅕䡂䙁䄸睑療䝁䄰䅣桂䝁䄴入時䕁䅳党㕂䙁䅍䅤桂䡁䅑督時䡁䅙免畁䡁䅧䅢穂䝁䄰兘䱂䝁䅕入時䙁䅍䅤桂䡁䅑督桁䍁䅑村歁䑁䅅䅍㉁䅁䅁䄲䅕䙁䅷䅁扂䙁䅍䅕䡂䙁䄸睑療䝁䄰䅣桂䝁䄴入時䕁䅳党㕂䙁䅍䅤桂䡁䅑督時䡁䅙免畁䡁䅧䅢穂䝁䄰兘䱂䝁䅕入時䙁䅍䅤桂䡁䅑督桁䍁䅑村歁䑁䅉兎䅁乁䙁䅁捂䅁䅁睗呂䙁䅁睒時䕁䅍睢瑂䡁䅁兙畂䡁䅫睘䱂䝁䅕入呂䡁䅑兙あ䡁䅍睘㉂䑁䅅杌㑂䝁䅷督瑂䙁䄰睓求䡁䅫睘呂䡁䅑兙あ䡁䅍光歁䕁䅉䅊祁䑁䅙䅁啄兂䅁䅘䅁䙁䅳睕兂䕁䅣睘䑂䝁䄸兢睂䝁䅅杢㕂䙁䄸睓求䡁䅫睕あ䝁䅅䅤穂䙁䄸杤硁䍁䄴䅥獂䡁䅍兢摂䕁䅳党㕂䙁䄸睕あ䝁䅅䅤穂䍁䅅䅊䍂䍁䅑李祁䅁䅁䄳䅕䝁䅷䅁扂䙁䅍䅕䡂䙁䄸睑療䝁䄰䅣桂䝁䄴入時䕁䅳党㕂䙁䅍䅤桂䡁䅑督時䡁䅙免畁䡁䅧䅢穂䝁䄰兘䱂䝁䅕入時䙁䅍䅤桂䡁䅑督桁䍁䅑睑歁䑁䅅䅍㕁䑁䅯䅊䑂䍁䅑免硁䑁䅕䅁慄兂䅁䅡䅁䙁䅳睕兂䕁䅣睘䑂䝁䄸兢睂䝁䅅杢㕂䙁䄸睓求䡁䅫睕あ䝁䅅䅤穂䙁䄸杤硁䍁䄴䅥獂䡁䅍兢摂䕁䅳党㕂䙁䄸睕あ䝁䅅䅤穂䍁䅅䅊䑂䍁䅑杍㑁䑁䅯䅊䑂䍁䅑兎祁䅁䅁朰䅕䝁䅧䅁扂䙁䅍䅕䡂䙁䄸睑療䝁䄰䅣桂䝁䄴入時䕁䅳党㕂䙁䅍䅤桂䡁䅑督時䡁䅙免畁䡁䅧䅢穂䝁䄰兘䱂䝁䅕入時䙁䅍䅤桂䡁䅑督桁䍁䅑睑歁䑁䅙兎㙁䍁䅑睑歁䑁䅣免䅁乁䘴䅁潂䅁䅁睗呂䙁䅁睒時䕁䅍睢瑂䡁䅁兙畂䡁䅫睘䱂䝁䅕入呂䡁䅑兙あ䡁䅍睘㉂䑁䅅杌㑂䝁䅷督瑂䙁䄰睓求䡁䅫睘呂䡁䅑兙あ䡁䅍光歁䕁䅑䅊祁䑁䅧杏歁䕁䅑䅊ㅁ䑁䅉䅁坄兂䅁䅢䅁䙁䅳睕兂䕁䅣睘䑂䝁䄸兢睂䝁䅅杢㕂䙁䄸睓求䡁䅫睕あ䝁䅅䅤穂䙁䄸杤硁䍁䄴䅥獂䡁䅍兢摂䕁䅳党㕂䙁䄸睕あ䝁䅅䅤穂䍁䅅䅊䙂䍁䅑免睁䑁䅙杏歁䕁䅣䅊硁䑁䅁李䅁乁䙫䅁獂䅁䅁睗呂䙁䅁睒時䕁䅍睢瑂䡁䅁兙畂䡁䅫睘䱂䝁䅕入呂䡁䅑兙あ䡁䅍睘㉂䑁䅅杌㑂䝁䅷督瑂䙁䄰睓求䡁䅫睘呂䡁䅑兙あ䡁䅍光歁䕁䅕䅊硁䑁䅁睎㙁䍁䅑睒歁䑁䅅䅍㍁䅁䅁眲䅕䝁䅧䅁扂䙁䅍䅕䡂䙁䄸睑療䝁䄰䅣桂䝁䄴入時䕁䅳党㕂䙁䅍䅤桂䡁䅑督時䡁䅙免畁䡁䅧䅢穂䝁䄰兘䱂䝁䅕入時䙁䅍䅤桂䡁䅑督桁䍁䅑兒歁䑁䅉兎㙁䍁䅑杓歁䑁䅉兎䅁乁䙅䅁潂䅁䅁睗呂䙁䅁睒時䕁䅍睢瑂䡁䅁兙畂䡁䅫睘䱂䝁䅕入呂䡁䅑兙あ䡁䅍睘㉂䑁䅅杌㑂䝁䅷督瑂䙁䄰睓求䡁䅫睘呂䡁䅑兙あ䡁䅍光歁䕁䅕䅊祁䑁䅕杏歁䕁䅷䅊祁䑁䅕䅁允杂䅁䅡䅁䙁䅳睕兂䕁䅣睘䑂䝁䄸兢睂䝁䅅杢㕂䙁䄸睓求䡁䅫睕あ䝁䅅䅤穂䙁䄸杤硁䍁䄴䅥獂䡁䅍兢摂䕁䅳党㕂䙁䄸睕あ䝁䅅䅤穂䍁䅅䅊䙂䍁䅑杍㉁䑁䅯䅊䭂䍁䅑杍㉁䅁䅁眰䅕䝁䅧䅁扂䙁䅍䅕䡂䙁䄸睑療䝁䄰䅣桂䝁䄴入時䕁䅳党㕂䙁䅍䅤桂䡁䅑督時䡁䅙免畁䡁䅧䅢穂䝁䄰兘䱂䝁䅕入時䙁䅍䅤桂䡁䅑督桁䍁䅑兒歁䑁䅉李㙁䍁䅑䅔歁䑁䅉李䅁䉁䝅䅁捂䅁䅁睗呂䙁䅁睒時䕁䅍睢瑂䡁䅁兙畂䡁䅫睘䱂䝁䅕入呂䡁䅑兙あ䡁䅍睘㉂䑁䅅杌㑂䝁䅷督瑂䙁䄰睓求䡁䅫睘呂䡁䅑兙あ䡁䅍光歁䕁䅕䅊㉁䑁䅉䅁摄兂䅁䅘䅁䙁䅳睕兂䕁䅣睘䑂䝁䄸兢睂䝁䅅杢㕂䙁䄸睓求䡁䅫睕あ䝁䅅䅤穂䙁䄸杤硁䍁䄴䅥獂䡁䅍兢摂䕁䅳党㕂䙁䄸睕あ䝁䅅䅤穂䍁䅅䅊䙂䍁䅑李穁䅁䅁眳䅕䝁䅧䅁扂䙁䅍䅕䡂䙁䄸睑療䝁䄰䅣桂䝁䄴入時䕁䅳党㕂䙁䅍䅤桂䡁䅑督時䡁䅙免畁䡁䅧䅢穂䝁䄰兘䱂䝁䅕入時䙁䅍䅤桂䡁䅑督桁䍁䅑兔歁䑁䅉兎㙁䍁䅑睔歁䑁䅉兎䅁乁䙕䅁潂䅁䅁睗呂䙁䅁睒時䕁䅍睢瑂䡁䅁兙畂䡁䅫睘䱂䝁䅕入呂䡁䅑兙あ䡁䅍睘㉂䑁䅅杌㑂䝁䅷督瑂䙁䄰睓求䡁䅫睘呂䡁䅑兙あ䡁䅍光歁䕁䄰䅊祁䑁䅙杏歁䕁䄸䅊祁䑁䅙䅁塄兂䅁䅘䅁䙁䅳睕兂䕁䅣睘䑂䝁䄸兢睂䝁䅅杢㕂䙁䄸睓求䡁䅫睕あ䝁䅅䅤穂䙁䄸杤硁䍁䄴䅥獂䡁䅍兢摂䕁䅳党㕂䙁䄸睕あ䝁䅅䅤穂䍁䅅䅊呂䍁䅑兎ㅁ䅁䅁䄴䅕䝁䅧䅁扂䙁䅍䅕䡂䙁䄸睑療䝁䄰䅣桂䝁䄴入時䕁䅳党㕂䙁䅍䅤桂䡁䅑督時䡁䅙免畁䡁䅧䅢穂䝁䄰兘䱂䝁䅕入時䙁䅍䅤桂䡁䅑督桁䍁䅑睕歁䑁䅕䅏㙁䍁䅑睕歁䑁䅙免䅁佁䙅䅁潂䅁䅁睗呂䙁䅁睒時䕁䅍睢瑂䡁䅁兙畂䡁䅫睘䱂䝁䅕入呂䡁䅑兙あ䡁䅍睘㉂䑁䅅杌㑂䝁䅷督瑂䙁䄰睓求䡁䅫睘呂䡁䅑兙あ䡁䅍光歁䙁䅑䅊ㅁ䑁䅧杏歁䙁䅑䅊㉁䑁䅅䅁橄兂䅁䅡䅁䙁䅳睕兂䕁䅣睘䑂䝁䄸兢睂䝁䅅杢㕂䙁䄸睓求䡁䅫睕あ䝁䅅䅤穂䙁䄸杤硁䍁䄴䅥獂䡁䅍兢摂䕁䅳党㕂䙁䄸睕あ䝁䅅䅤穂䍁䅅䅊坂䍁䅑兎㍁䑁䅯䅊塂䍁䅑兎㍁䅁䅁朴䅕䝁䅑䅁扂䙁䅍䅕䡂䙁䄸睑療䝁䄰䅣桂䝁䄴入時䕁䅳党㕂䙁䅍䅤桂䡁䅑督時䡁䅙免畁䡁䅧䅢穂䝁䄰兘卂䝁䅅䅤灂䝁䄸督桁䍁䅑睑歁䑁䅅免㙁䍁䅑睑歁䑁䅅兎祁䅁䅁杂䅙䙁䅑䅁扂䙁䅍䅕䡂䙁䄸睑療䝁䄰䅣桂䝁䄴入時䕁䅳党㕂䙁䅍䅤桂䡁䅑督時䡁䅙免畁䡁䅧䅢穂䝁䄰兘卂䝁䅅䅤灂䝁䄸督桁䍁䅑睑歁䑁䅙䅁䕁杂䅁杘䅁䙁䅳睕兂䕁䅣睘䑂䝁䄸兢睂䝁䅅杢㕂䙁䄸睓求䡁䅫睕あ䝁䅅䅤穂䙁䄸杤硁䍁䄴䅥獂䡁䅍兢摂䙁䅉兙あ䝁䅫睢穂䍁䅅䅊䕂䍁䅑李㙁䍁䅑兓歁䑁䅙䅁䙁杂䅁杘䅁䙁䅳睕兂䕁䅣睘䑂䝁䄸兢睂䝁䅅杢㕂䙁䄸睓求䡁䅫睕あ䝁䅅䅤穂䙁䄸杤硁䍁䄴䅥獂䡁䅍兢摂䙁䅉兙あ䝁䅫睢穂䍁䅅䅊䕂䍁䅑睎㙁䍁䅑兓歁䑁䅣䅁䡁杂䅁䅣䅁䙁䅳睕兂䕁䅣睘䑂䝁䄸兢睂䝁䅅杢㕂䙁䄸睓求䡁䅫睕あ䝁䅅䅤穂䙁䄸杤硁䍁䄴䅥獂䡁䅍兢摂䙁䅍兤睂䡁䅁䅢求䝁䄰党畂䡁䅑兙獂䍁䅅䅊䑂䍁䅑免硁䑁䅯䅊䑂䍁䅑免㉁䑁䅙䅁䭁杂䅁䅙䅁䙁䅳睕兂䕁䅣睘䑂䝁䄸兢睂䝁䅅杢㕂䙁䄸睓求䡁䅫睕あ䝁䅅䅤穂䙁䄸杤硁䍁䄴䅥獂䡁䅍兢摂䙁䅍兤睂䡁䅁䅢求䝁䄰党畂䡁䅑兙獂䍁䅅䅊䑂䍁䅑李䅁䅁䝧䅁煂䅁䅁睗呂䙁䅁睒時䕁䅍睢瑂䡁䅁兙畂䡁䅫睘䱂䝁䅕入呂䡁䅑兙あ䡁䅍睘㉂䑁䅅杌㑂䝁䅷督瑂䙁䄰睕ㅂ䡁䅁䅣獂䝁䅕兢求䝁䄴䅤桂䝁䅷光歁䕁䅑䅊㉁䑁䅯䅊䩂䍁䅑李䅁䅁䝫䅁煂䅁䅁睗呂䙁䅁睒時䕁䅍睢瑂䡁䅁兙畂䡁䅫睘䱂䝁䅕入呂䡁䅑兙あ䡁䅍睘㉂䑁䅅杌㑂䝁䅷督瑂䙁䄰睕ㅂ䡁䅁䅣獂䝁䅕兢求䝁䄴䅤桂䝁䅷光歁䕁䅑䅊㍁䑁䅯䅊䩂䍁䅑睎䅁䅁䝳䅁允䅁䅁䍄䉁䅁䅁䅃䅁䅁杷允䅁䅁䅕䅁䭁偁䙑䅁䭁偁䙕䅁䭁偁䙙䅁䭁偁䙣䅁䭁䥁䅫䅁啁䙁⽴䭅硏杦乕䅆㑃䕋⭔兒䩘桄䅑䙳獮䝍剑楋啙䵁䩯穫刷穎と䅆䍁㥱眱穏扮桙䅑䩌卦ㅚ扔博啙䝁塒䕭㍤楹瑱允䅁䅁䅅䅁䭁䙁䅷䅁䵁䅉䅅䅁䥁䅁䅁䍄䉁䅁䅁兂䅁䅁䅯䅃䅙䅁䅯元䅙䅁䅯权䅙䅁䅯睃䅙䅁䅯兩䅁䉁䅑㍗儸㝯⭆兂唰䙁乤穆佣敹䡘䅆睃敗睷䉚煅桊䅑戱呄塘睭敳啕偁䥘琫晇⽶步䅆獁㥬湊乖汴桊䅑䙚奥㍒䭦煋䈰䅁䅁允䅁䅁䅯䅘䅁䅁杷允䅁䅁䅧䅁䵁䅉䅅䅁䙁䅁䅁权歄兂䅁权汄兂䅁权浄兂䅁权湄兂䅁权䩃䅁䅁䅆扂硦橃塳䘴剄䅑さ瑲硷䝘潲啑乁䥆䰴䡣乱伹䅆䭂䝲䵧䝏㈯硗䅑晌噱偣ㅶ琵啍䍁塹洰啤㈲浕䅆歂㕖䡨㡤煯兲䅅䅁䉁䅁䅁权捂䅁䅁䍄䉁䅁䅁䅃䅁䅁杷允䅁䅁䅕䅁䭁偁䙧䅁䭁偁䙫䅁䭁偁䙯䅁䭁偁䙳䅁䭁䩁䙑䅁啁䙁⽴䭅硏杦乕䅆㥁䕺楴昹琰䉃䅑䙳獮䝍剑楋啙䝁卧穡畘癮㕣䅆ㅄ偹割㝮㌯䉰䅑䤫㌫㉔浂硡唸䝁塒䕭㍤楹瑱允䅁䅁䅅䅁䭁䙁䅷䅁䵁䅉䅅䅁䥁䅁䅁䍄䉁䅁䅁兂䅁䅁䅯䄰䅕䅁䅯䅅䅙䅁䅯朰䅕䅁䅯充䅙䅁䅯兩䅁䉁䅑㍗儸㝯⭆兂唰䑁䴳㉓ㅌ匯䤰䅆ㅁ扮䑍扴橎剗䅑䴲㑉婮捙晊啙䝁愫㍗扎祑䙄䅆獁㥬湊乖汴桊䅑䙚奥㍒䭦煋䈰䅁䅁允䅁䅁䅯䅘䅁䅁杷允䅁䅁䅧䅁䵁䅉䅅䅁䙁䅁䅁权㡄兂䅁权㥄兂䅁权⭄兂䅁权⽄兂䅁权䩃䅁䅁䅆扂硦橃塳䘴剄䅑即䩸猷牪歲啕䕁兊䩁㥙䵓慐䅆捁焱䭹䵊桔䈱䅑䨴㙵硯汯启啫䍁塹洰啤㈲浕䅆歂㕖䡨㡤煯兲䅅䅁䉁䅁䅁权捂䅁䅁䍄䉁䅁䅁䅃䅁䅁杷允䅁䅁䅕䅁䭁乁䙑䅁䭁乁䙕䅁䭁乁䙙䅁䭁乁䙣䅁䭁䥁䅫䅁啁䙁⽴䭅硏杦乕䅆剁㍭䱱煇䡳䉔䅑㑸攫兖㑗㠱啣䕁㌶㉏硥⬱桋䅆䥂婷歮桗瑓剘䅑䩌卦ㅚ扔博啙䝁塒䕭㍤楹瑱允䅁䅁䅅䅁䭁䙁䅷䅁䵁䅉䅅䅁䥁䅁䅁䍄䉁䅁䅁杂䅁䅁䅯䄴䅕䅁䅯儴䅕䅁䅯朴䅕䅁䅯眴䅕䅁䅯䅂䍁䅧䅯兩䅁䉁䅑㍗儸㝯⭆兂唰䑁乒噡眷卬祢䅆捃䭫䑵䐲⬱剋䅑杹呭瑐㍅䡏啑䥁填㥑兯焷癆䅆䑃晷䔱桘䍊剺䅑䩌卦ㅚ扔博䉙䅁䅁允䅁䅁䅯䅘䅁䅁杷允䅁䅁䅧䅁䵁䅉䅅䅁䙁䅁䅁权捄兂䅁权摄兂䅁权敄兂䅁权晄兂䅁权䩃䅁䅁䅆扂硦橃塳䘴剄䅑捐䱸癙㥘兌啧偁偅游䝱獬䝘䅆潁潦㉍㉺摉刱䅑へ摒估㥅坡啳䍁塹洰啤㈲浕䅆歂㕖䡨㡤煯兲䅅䅁䉁䅁䅁权捂䅁䅁䍄䉁䅁䅁䅃䅁䅁杷允䅁䅁䅕䅁䭁乁䙧䅁䭁乁䙫䅁䭁乁䙯䅁䭁乁䙳䅁䭁䥁䅫䅁啁䙁⽴䭅硏杦乕䅆㥁䕺楴昹琰䉃䅑㑸攫兖㑗㠱啣偁噵䙹灗䙚呄䅆䵁䉴䄫㉯て栯䅑䩌卦ㅚ扔博啙䝁塒䕭㍤楹瑱允䅁䅁䅅䅁䭁䙁䅷䅁䵁䅉䅅䅁䥁䅁䅁䍄䉁䅁䅁兂䅁䅁䅯䄶䅕䅁䅯儶䅕䅁䅯朶䅕䅁䅯眶䅕䅁䅯兩䅁䉁䅑㍗儸㝯⭆兂唰䙁䭎挷噍煸䔶䅆剄体㍃㙂晪桔䅑㡖浣⭈䡓杌啷䍁㘳塬㝄改呢䅆獁㥬湊乖汴桊䅑䙚奥㍒䭦煋䈰䅁䅁允䅁䅁䅯䅘䅁䅁杷允䅁䅁䅧䅁䵁䅉䅅䅁䙁䅁䅁权獄兂䅁权瑄兂䅁权畄兂䅁权癄兂䅁权䩃䅁䅁䅆扂硦橃塳䘴剄䅑さ瑲硷䝘潲啑乁䥆䰴䡣乱伹䅆桃䩁啖䡓慊剷䅑晌噱偣ㅶ琵啍䍁塹洰啤㈲浕䅆歂㕖䡨㡤煯兲䅅䅁䉁䅁䅁权捂䅁䅁䍄䉁䅁䅁䅃䅁䅁杷允䅁䅁䅕䅁䭁偁䙁䅁䭁偁䙅䅁䭁偁䙉䅁䭁偁䙍䅁䭁䥁䅫䅁啁䙁⽴䭅硏杦乕䅆呂畓䐳捆畡䉨䅑䙳獮䝍剑楋啙䡁丰㝒煯桹⭉䅆ㅄ偹割㝮㌯䉰䅑䩌卦ㅚ扔博啙䝁塒䕭㍤楹瑱允䅁䅁䅅䅁䭁䙁䅷䅁䵁䅉䅅䅁䥁䅁䅁䍄䉁䅁䅁兂䅁䅁䅯䅁䅙䅁䅯允䅙䅁䅯杁䅙䅁䅯睁䅙䅁䅯兩䅁䉁䅑㍗儸㝯⭆兂唰䉁㙹硶㑙䑫䘰䅆䍂䅕坃啐䑪栲䅑眫穯稳汎瑚啧佁扃煵慍晊㔰䅆獁㥬湊乖汴桊䅑䙚奥㍒䭦煋䈰䅁䅁允䅁䅁䅯䅘䅁䅁杷允䅁䅁䅧䅁䵁䅉䅅䅁䙁䅁䅁权䕁杂䅁权䙁杂䅁权䝁杂䅁权䡁杂䅁权䩃䅁䅁䅆扂硦橃塳䘴剄䅑ざ堰睎䨷挵啣䱁婂䐷歂卅浯䅆㡄睗䅇瘸㉴栵䅑挹㙪娰⼫㘹啑䍁塹洰啤㈲浕䅆歂㕖䡨㡤煯兲䅅䅁䉁䅁䅁权捂䅁䅁䍄䉁䅁䅁䅃䅁䅁杷允䅁䅁䅕䅁䭁䅁䝷䅁䭁䅁䜰䅁䭁䅁䜴䅁䭁䅁䜸䅁䭁䥁䅫䅁啁䙁⽴䭅硏杦乕䅆塂剔㍣獄汮硸䅑䙳獮䝍剑楋啙䡁㍂䜰扮杲湯䅆ㅄ偹割㝮㌯䉰䅑䩌卦ㅚ扔博啙䝁塒䕭㍤楹瑱允䅁䅁䅅䅁䭁䙁䅷䅁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</si>
</sst>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7" formatCode="&quot;$&quot;#,##0.00_);\(&quot;$&quot;#,##0.00\)"/>
    <numFmt numFmtId="43" formatCode="_(* #,##0.00_);_(* \(#,##0.00\);_(* &quot;-&quot;??_);_(@_)"/>
    <numFmt numFmtId="164" formatCode="_([$€-2]* #,##0.00_);_([$€-2]* \(#,##0.00\);_([$€-2]* &quot;-&quot;??_)"/>
    <numFmt numFmtId="165" formatCode="#,##0.00;\(#,##0.00"/>
    <numFmt numFmtId="166" formatCode="0.0"/>
    <numFmt numFmtId="167" formatCode="_-* #,##0.00_-;\-* #,##0.00_-;_-* &quot;-&quot;??_-;_-@_-"/>
    <numFmt numFmtId="168" formatCode="0.0%"/>
    <numFmt numFmtId="169" formatCode="yyyy\-mm\-dd;@"/>
    <numFmt numFmtId="170" formatCode="0.0000"/>
    <numFmt numFmtId="171" formatCode="0.0000%"/>
    <numFmt numFmtId="172" formatCode="&quot;Yes&quot;;[Red]&quot;No&quot;"/>
    <numFmt numFmtId="173" formatCode="0.00000"/>
    <numFmt numFmtId="174" formatCode="[&gt;0]General"/>
    <numFmt numFmtId="175" formatCode="0.00&quot;%&quot;"/>
    <numFmt numFmtId="176" formatCode="#,##0.0_);[Red]\(#,##0.0\)"/>
    <numFmt numFmtId="177" formatCode="0.00_);[Red]\(0.00\)"/>
    <numFmt numFmtId="178" formatCode="_(* #,##0_);_(* \(#,##0\);_(* &quot;-&quot;??_);_(@_)"/>
    <numFmt numFmtId="179" formatCode="_(#,##0.0_);_(\(#,##0.0\);_(&quot; - &quot;??_);_(@_)"/>
    <numFmt numFmtId="180" formatCode="_(#,##0_);_(\(#,##0\);_(&quot; - &quot;??_);_(@_)"/>
    <numFmt numFmtId="181" formatCode="_(#,##0.00_);_(\(#,##0.00\);_(&quot; - &quot;??_);_(@_)"/>
    <numFmt numFmtId="182" formatCode="#,##0.0_);\(#,##0.0\)"/>
    <numFmt numFmtId="183" formatCode="_(* #,##0.0_);_(* \(#,##0.0\);_(* &quot; - &quot;_);_(@_)"/>
    <numFmt numFmtId="184" formatCode="0.0&quot;%&quot;"/>
    <numFmt numFmtId="185" formatCode="#,##0.0"/>
  </numFmts>
  <fonts count="104">
    <font>
      <sz val="8"/>
      <color theme="1"/>
      <name val="Arial"/>
      <family val="2"/>
    </font>
    <font>
      <sz val="8"/>
      <color theme="1"/>
      <name val="Arial"/>
      <family val="2"/>
    </font>
    <font>
      <b/>
      <sz val="8"/>
      <color theme="1"/>
      <name val="Arial"/>
      <family val="2"/>
    </font>
    <font>
      <sz val="11"/>
      <color theme="1"/>
      <name val="Calibri"/>
      <family val="2"/>
      <scheme val="minor"/>
    </font>
    <font>
      <sz val="8"/>
      <name val="Arial"/>
      <family val="2"/>
    </font>
    <font>
      <b/>
      <sz val="8"/>
      <color indexed="9"/>
      <name val="Arial"/>
      <family val="2"/>
    </font>
    <font>
      <b/>
      <sz val="8"/>
      <name val="Arial"/>
      <family val="2"/>
    </font>
    <font>
      <sz val="8"/>
      <color indexed="17"/>
      <name val="Arial"/>
      <family val="2"/>
    </font>
    <font>
      <sz val="10"/>
      <name val="Arial"/>
      <family val="2"/>
    </font>
    <font>
      <sz val="10"/>
      <color indexed="8"/>
      <name val="MS Sans Serif"/>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Times New Roman"/>
      <family val="1"/>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i/>
      <sz val="10"/>
      <name val="Helv"/>
    </font>
    <font>
      <b/>
      <sz val="11"/>
      <color indexed="63"/>
      <name val="Calibri"/>
      <family val="2"/>
    </font>
    <font>
      <b/>
      <sz val="18"/>
      <color indexed="56"/>
      <name val="Cambria"/>
      <family val="2"/>
    </font>
    <font>
      <b/>
      <sz val="11"/>
      <color indexed="8"/>
      <name val="Calibri"/>
      <family val="2"/>
    </font>
    <font>
      <sz val="11"/>
      <color indexed="10"/>
      <name val="Calibri"/>
      <family val="2"/>
    </font>
    <font>
      <u/>
      <sz val="10"/>
      <color indexed="12"/>
      <name val="Times New Roman"/>
      <family val="1"/>
    </font>
    <font>
      <sz val="9"/>
      <color indexed="8"/>
      <name val="Helvetica-Narrow"/>
      <family val="2"/>
    </font>
    <font>
      <b/>
      <sz val="8"/>
      <color rgb="FFFFFFFF"/>
      <name val="Calibri"/>
      <family val="2"/>
      <scheme val="minor"/>
    </font>
    <font>
      <sz val="8"/>
      <color rgb="FF000000"/>
      <name val="Arial"/>
      <family val="2"/>
    </font>
    <font>
      <sz val="8"/>
      <color indexed="9"/>
      <name val="Arial"/>
      <family val="2"/>
    </font>
    <font>
      <b/>
      <sz val="10"/>
      <name val="Arial"/>
      <family val="2"/>
    </font>
    <font>
      <sz val="9"/>
      <color indexed="8"/>
      <name val="Helvetica-Narrow"/>
    </font>
    <font>
      <b/>
      <sz val="8"/>
      <color indexed="63"/>
      <name val="Arial"/>
      <family val="2"/>
    </font>
    <font>
      <sz val="8"/>
      <color indexed="8"/>
      <name val="Arial"/>
      <family val="2"/>
    </font>
    <font>
      <sz val="8"/>
      <color indexed="20"/>
      <name val="Arial"/>
      <family val="2"/>
    </font>
    <font>
      <b/>
      <sz val="8"/>
      <color indexed="52"/>
      <name val="Arial"/>
      <family val="2"/>
    </font>
    <font>
      <i/>
      <sz val="8"/>
      <color indexed="23"/>
      <name val="Arial"/>
      <family val="2"/>
    </font>
    <font>
      <b/>
      <sz val="15"/>
      <color indexed="56"/>
      <name val="Arial"/>
      <family val="2"/>
    </font>
    <font>
      <b/>
      <sz val="13"/>
      <color indexed="56"/>
      <name val="Arial"/>
      <family val="2"/>
    </font>
    <font>
      <b/>
      <sz val="11"/>
      <color indexed="56"/>
      <name val="Arial"/>
      <family val="2"/>
    </font>
    <font>
      <sz val="8"/>
      <color indexed="62"/>
      <name val="Arial"/>
      <family val="2"/>
    </font>
    <font>
      <sz val="8"/>
      <color indexed="52"/>
      <name val="Arial"/>
      <family val="2"/>
    </font>
    <font>
      <sz val="8"/>
      <color indexed="60"/>
      <name val="Arial"/>
      <family val="2"/>
    </font>
    <font>
      <b/>
      <sz val="8"/>
      <color indexed="8"/>
      <name val="Arial"/>
      <family val="2"/>
    </font>
    <font>
      <sz val="8"/>
      <color indexed="10"/>
      <name val="Arial"/>
      <family val="2"/>
    </font>
    <font>
      <b/>
      <sz val="8"/>
      <color indexed="9"/>
      <name val="Calibri"/>
      <family val="2"/>
    </font>
    <font>
      <sz val="11"/>
      <color indexed="63"/>
      <name val="Calibri"/>
      <family val="2"/>
    </font>
    <font>
      <b/>
      <sz val="11"/>
      <color indexed="10"/>
      <name val="Calibri"/>
      <family val="2"/>
    </font>
    <font>
      <b/>
      <sz val="15"/>
      <color indexed="62"/>
      <name val="Calibri"/>
      <family val="2"/>
    </font>
    <font>
      <b/>
      <sz val="13"/>
      <color indexed="62"/>
      <name val="Calibri"/>
      <family val="2"/>
    </font>
    <font>
      <b/>
      <sz val="11"/>
      <color indexed="62"/>
      <name val="Calibri"/>
      <family val="2"/>
    </font>
    <font>
      <sz val="11"/>
      <color indexed="19"/>
      <name val="Calibri"/>
      <family val="2"/>
    </font>
    <font>
      <b/>
      <sz val="18"/>
      <color indexed="62"/>
      <name val="Cambria"/>
      <family val="2"/>
    </font>
    <font>
      <u/>
      <sz val="8"/>
      <color indexed="18"/>
      <name val="Verdana"/>
      <family val="2"/>
    </font>
    <font>
      <sz val="10"/>
      <color indexed="10"/>
      <name val="Arial"/>
      <family val="2"/>
    </font>
    <font>
      <u/>
      <sz val="11"/>
      <color indexed="12"/>
      <name val="Calibri"/>
      <family val="2"/>
    </font>
    <font>
      <sz val="10"/>
      <name val="MS Sans Serif"/>
      <family val="2"/>
    </font>
    <font>
      <u/>
      <sz val="8"/>
      <color indexed="12"/>
      <name val="Arial"/>
      <family val="2"/>
    </font>
    <font>
      <sz val="9"/>
      <color indexed="8"/>
      <name val="Arial"/>
      <family val="2"/>
    </font>
    <font>
      <b/>
      <sz val="12"/>
      <name val="Arial"/>
      <family val="2"/>
    </font>
    <font>
      <i/>
      <sz val="8"/>
      <name val="Arial"/>
      <family val="2"/>
    </font>
    <font>
      <sz val="8"/>
      <name val="Tahoma"/>
      <family val="2"/>
    </font>
    <font>
      <b/>
      <sz val="10"/>
      <color indexed="9"/>
      <name val="Arial"/>
      <family val="2"/>
    </font>
    <font>
      <sz val="10"/>
      <color indexed="8"/>
      <name val="Arial"/>
      <family val="2"/>
    </font>
    <font>
      <sz val="10"/>
      <color indexed="72"/>
      <name val="Arial"/>
      <family val="2"/>
    </font>
    <font>
      <b/>
      <sz val="14"/>
      <color indexed="9"/>
      <name val="Arial"/>
      <family val="2"/>
    </font>
    <font>
      <b/>
      <sz val="14"/>
      <name val="Arial"/>
      <family val="2"/>
    </font>
    <font>
      <b/>
      <sz val="12"/>
      <color indexed="9"/>
      <name val="Arial"/>
      <family val="2"/>
    </font>
    <font>
      <b/>
      <i/>
      <sz val="8"/>
      <color indexed="9"/>
      <name val="Arial"/>
      <family val="2"/>
    </font>
    <font>
      <sz val="8"/>
      <name val="SimSun"/>
    </font>
    <font>
      <b/>
      <u/>
      <sz val="9"/>
      <color theme="1"/>
      <name val="Arial"/>
      <family val="2"/>
    </font>
    <font>
      <b/>
      <u/>
      <sz val="9"/>
      <color indexed="8"/>
      <name val="Arial"/>
      <family val="2"/>
    </font>
    <font>
      <b/>
      <sz val="18"/>
      <name val="Arial"/>
      <family val="2"/>
    </font>
    <font>
      <b/>
      <sz val="13"/>
      <color indexed="8"/>
      <name val="Verdana"/>
      <family val="2"/>
    </font>
    <font>
      <b/>
      <sz val="8"/>
      <color indexed="9"/>
      <name val="Verdana"/>
      <family val="2"/>
    </font>
    <font>
      <i/>
      <sz val="8"/>
      <color indexed="8"/>
      <name val="Arial"/>
      <family val="2"/>
    </font>
    <font>
      <sz val="2"/>
      <color indexed="9"/>
      <name val="Symbol"/>
      <family val="1"/>
      <charset val="2"/>
    </font>
    <font>
      <b/>
      <u val="singleAccounting"/>
      <sz val="8"/>
      <color indexed="8"/>
      <name val="Arial"/>
      <family val="2"/>
    </font>
    <font>
      <sz val="1"/>
      <color indexed="9"/>
      <name val="Symbol"/>
      <family val="1"/>
      <charset val="2"/>
    </font>
    <font>
      <b/>
      <u val="singleAccounting"/>
      <sz val="8"/>
      <color indexed="8"/>
      <name val="Verdana"/>
      <family val="2"/>
    </font>
    <font>
      <b/>
      <sz val="12"/>
      <color indexed="8"/>
      <name val="Verdana"/>
      <family val="2"/>
    </font>
    <font>
      <vertAlign val="subscript"/>
      <sz val="8"/>
      <color indexed="8"/>
      <name val="Arial"/>
      <family val="2"/>
    </font>
    <font>
      <vertAlign val="superscript"/>
      <sz val="8"/>
      <color indexed="8"/>
      <name val="Arial"/>
      <family val="2"/>
    </font>
    <font>
      <b/>
      <sz val="15"/>
      <color indexed="49"/>
      <name val="Calibri"/>
      <family val="2"/>
    </font>
    <font>
      <b/>
      <sz val="13"/>
      <color indexed="49"/>
      <name val="Calibri"/>
      <family val="2"/>
    </font>
    <font>
      <b/>
      <sz val="11"/>
      <color indexed="49"/>
      <name val="Calibri"/>
      <family val="2"/>
    </font>
    <font>
      <sz val="11"/>
      <color indexed="54"/>
      <name val="Calibri"/>
      <family val="2"/>
    </font>
    <font>
      <b/>
      <sz val="18"/>
      <color indexed="49"/>
      <name val="Cambria"/>
      <family val="2"/>
    </font>
    <font>
      <sz val="10"/>
      <name val="Courier"/>
      <family val="3"/>
    </font>
    <font>
      <sz val="8"/>
      <color rgb="FF0000FF"/>
      <name val="Arial"/>
      <family val="2"/>
    </font>
    <font>
      <i/>
      <sz val="8"/>
      <color rgb="FF525252"/>
      <name val="Arial"/>
      <family val="2"/>
    </font>
    <font>
      <b/>
      <sz val="8"/>
      <color indexed="17"/>
      <name val="Arial"/>
      <family val="2"/>
    </font>
    <font>
      <sz val="8"/>
      <color rgb="FF008000"/>
      <name val="Arial"/>
      <family val="2"/>
    </font>
    <font>
      <b/>
      <sz val="8"/>
      <color rgb="FF008000"/>
      <name val="Arial"/>
      <family val="2"/>
    </font>
    <font>
      <i/>
      <sz val="8"/>
      <color theme="1" tint="0.34998626667073579"/>
      <name val="Arial"/>
      <family val="2"/>
    </font>
    <font>
      <b/>
      <i/>
      <u/>
      <sz val="10"/>
      <name val="Arial"/>
      <family val="2"/>
    </font>
    <font>
      <u/>
      <sz val="8"/>
      <name val="Arial"/>
      <family val="2"/>
    </font>
    <font>
      <u/>
      <sz val="8"/>
      <color theme="10"/>
      <name val="Arial"/>
      <family val="2"/>
    </font>
    <font>
      <i/>
      <sz val="8"/>
      <color theme="1"/>
      <name val="Arial"/>
      <family val="2"/>
    </font>
    <font>
      <b/>
      <sz val="11"/>
      <color theme="1"/>
      <name val="Calibri"/>
      <family val="2"/>
      <scheme val="minor"/>
    </font>
  </fonts>
  <fills count="5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8"/>
      </patternFill>
    </fill>
    <fill>
      <patternFill patternType="solid">
        <fgColor indexed="26"/>
      </patternFill>
    </fill>
    <fill>
      <patternFill patternType="solid">
        <fgColor indexed="9"/>
        <bgColor indexed="64"/>
      </patternFill>
    </fill>
    <fill>
      <patternFill patternType="solid">
        <fgColor rgb="FF000000"/>
        <bgColor indexed="64"/>
      </patternFill>
    </fill>
    <fill>
      <patternFill patternType="solid">
        <fgColor indexed="62"/>
        <bgColor indexed="64"/>
      </patternFill>
    </fill>
    <fill>
      <patternFill patternType="solid">
        <fgColor indexed="22"/>
        <bgColor indexed="64"/>
      </patternFill>
    </fill>
    <fill>
      <patternFill patternType="solid">
        <fgColor indexed="56"/>
      </patternFill>
    </fill>
    <fill>
      <patternFill patternType="solid">
        <fgColor indexed="54"/>
      </patternFill>
    </fill>
    <fill>
      <patternFill patternType="solid">
        <fgColor indexed="9"/>
      </patternFill>
    </fill>
    <fill>
      <patternFill patternType="solid">
        <fgColor indexed="8"/>
        <bgColor indexed="64"/>
      </patternFill>
    </fill>
    <fill>
      <patternFill patternType="solid">
        <fgColor indexed="47"/>
        <bgColor indexed="64"/>
      </patternFill>
    </fill>
    <fill>
      <patternFill patternType="solid">
        <fgColor indexed="13"/>
        <bgColor indexed="64"/>
      </patternFill>
    </fill>
    <fill>
      <patternFill patternType="solid">
        <fgColor indexed="13"/>
        <bgColor indexed="45"/>
      </patternFill>
    </fill>
    <fill>
      <patternFill patternType="solid">
        <fgColor indexed="42"/>
        <bgColor indexed="64"/>
      </patternFill>
    </fill>
    <fill>
      <patternFill patternType="mediumGray">
        <fgColor indexed="45"/>
        <bgColor indexed="9"/>
      </patternFill>
    </fill>
    <fill>
      <patternFill patternType="lightGray">
        <fgColor indexed="45"/>
        <bgColor indexed="9"/>
      </patternFill>
    </fill>
    <fill>
      <patternFill patternType="solid">
        <fgColor indexed="45"/>
        <bgColor indexed="64"/>
      </patternFill>
    </fill>
    <fill>
      <patternFill patternType="solid">
        <fgColor indexed="63"/>
        <bgColor indexed="64"/>
      </patternFill>
    </fill>
    <fill>
      <patternFill patternType="solid">
        <fgColor indexed="63"/>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60"/>
        <bgColor indexed="64"/>
      </patternFill>
    </fill>
    <fill>
      <patternFill patternType="solid">
        <fgColor indexed="56"/>
        <bgColor indexed="64"/>
      </patternFill>
    </fill>
    <fill>
      <patternFill patternType="solid">
        <fgColor rgb="FFFFFFCC"/>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2"/>
        <bgColor indexed="64"/>
      </patternFill>
    </fill>
  </fills>
  <borders count="59">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thin">
        <color indexed="64"/>
      </left>
      <right/>
      <top/>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56"/>
      </top>
      <bottom style="double">
        <color indexed="56"/>
      </bottom>
      <diagonal/>
    </border>
    <border>
      <left style="thin">
        <color auto="1"/>
      </left>
      <right style="thin">
        <color auto="1"/>
      </right>
      <top style="thin">
        <color auto="1"/>
      </top>
      <bottom/>
      <diagonal/>
    </border>
    <border>
      <left/>
      <right/>
      <top/>
      <bottom style="medium">
        <color indexed="64"/>
      </bottom>
      <diagonal/>
    </border>
    <border>
      <left/>
      <right/>
      <top style="thin">
        <color indexed="56"/>
      </top>
      <bottom style="double">
        <color indexed="56"/>
      </bottom>
      <diagonal/>
    </border>
    <border>
      <left/>
      <right/>
      <top/>
      <bottom style="thin">
        <color rgb="FF525252"/>
      </bottom>
      <diagonal/>
    </border>
    <border>
      <left style="double">
        <color indexed="8"/>
      </left>
      <right style="double">
        <color indexed="8"/>
      </right>
      <top style="double">
        <color indexed="8"/>
      </top>
      <bottom style="double">
        <color indexed="8"/>
      </bottom>
      <diagonal/>
    </border>
    <border>
      <left/>
      <right/>
      <top/>
      <bottom style="thick">
        <color indexed="49"/>
      </bottom>
      <diagonal/>
    </border>
    <border>
      <left/>
      <right/>
      <top/>
      <bottom style="medium">
        <color indexed="49"/>
      </bottom>
      <diagonal/>
    </border>
    <border>
      <left style="thin">
        <color indexed="8"/>
      </left>
      <right style="thin">
        <color indexed="8"/>
      </right>
      <top style="thin">
        <color indexed="8"/>
      </top>
      <bottom style="thin">
        <color indexed="8"/>
      </bottom>
      <diagonal/>
    </border>
    <border>
      <left style="thin">
        <color rgb="FF525252"/>
      </left>
      <right/>
      <top style="thin">
        <color rgb="FF525252"/>
      </top>
      <bottom style="thin">
        <color rgb="FF525252"/>
      </bottom>
      <diagonal/>
    </border>
    <border>
      <left/>
      <right/>
      <top style="thin">
        <color rgb="FF525252"/>
      </top>
      <bottom style="thin">
        <color rgb="FF525252"/>
      </bottom>
      <diagonal/>
    </border>
    <border>
      <left style="thin">
        <color rgb="FF525252"/>
      </left>
      <right style="thin">
        <color rgb="FF525252"/>
      </right>
      <top style="thin">
        <color rgb="FF525252"/>
      </top>
      <bottom style="thin">
        <color rgb="FF525252"/>
      </bottom>
      <diagonal/>
    </border>
    <border>
      <left/>
      <right style="thin">
        <color rgb="FF525252"/>
      </right>
      <top style="thin">
        <color rgb="FF525252"/>
      </top>
      <bottom style="thin">
        <color rgb="FF525252"/>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bottom style="medium">
        <color rgb="FF525252"/>
      </bottom>
      <diagonal/>
    </border>
    <border>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hair">
        <color auto="1"/>
      </bottom>
      <diagonal/>
    </border>
    <border>
      <left/>
      <right style="thin">
        <color indexed="64"/>
      </right>
      <top style="thin">
        <color auto="1"/>
      </top>
      <bottom style="hair">
        <color auto="1"/>
      </bottom>
      <diagonal/>
    </border>
    <border>
      <left style="thin">
        <color auto="1"/>
      </left>
      <right style="thin">
        <color indexed="64"/>
      </right>
      <top style="hair">
        <color auto="1"/>
      </top>
      <bottom style="hair">
        <color auto="1"/>
      </bottom>
      <diagonal/>
    </border>
    <border>
      <left/>
      <right style="thin">
        <color indexed="64"/>
      </right>
      <top style="hair">
        <color auto="1"/>
      </top>
      <bottom style="hair">
        <color auto="1"/>
      </bottom>
      <diagonal/>
    </border>
    <border>
      <left style="thin">
        <color auto="1"/>
      </left>
      <right style="thin">
        <color indexed="64"/>
      </right>
      <top style="hair">
        <color auto="1"/>
      </top>
      <bottom style="thin">
        <color indexed="64"/>
      </bottom>
      <diagonal/>
    </border>
    <border>
      <left/>
      <right style="thin">
        <color indexed="64"/>
      </right>
      <top style="hair">
        <color auto="1"/>
      </top>
      <bottom style="thin">
        <color indexed="64"/>
      </bottom>
      <diagonal/>
    </border>
    <border>
      <left style="thin">
        <color indexed="64"/>
      </left>
      <right style="thin">
        <color indexed="64"/>
      </right>
      <top style="thin">
        <color indexed="64"/>
      </top>
      <bottom/>
      <diagonal/>
    </border>
    <border>
      <left/>
      <right/>
      <top style="thin">
        <color rgb="FF525252"/>
      </top>
      <bottom/>
      <diagonal/>
    </border>
    <border>
      <left/>
      <right/>
      <top style="thin">
        <color rgb="FF525252"/>
      </top>
      <bottom style="double">
        <color rgb="FF525252"/>
      </bottom>
      <diagonal/>
    </border>
    <border>
      <left/>
      <right/>
      <top style="thin">
        <color indexed="64"/>
      </top>
      <bottom/>
      <diagonal/>
    </border>
    <border>
      <left style="thin">
        <color rgb="FFC0C0C0"/>
      </left>
      <right style="thin">
        <color rgb="FFC0C0C0"/>
      </right>
      <top style="thin">
        <color rgb="FFC0C0C0"/>
      </top>
      <bottom style="thin">
        <color rgb="FFC0C0C0"/>
      </bottom>
      <diagonal/>
    </border>
    <border>
      <left/>
      <right/>
      <top style="thin">
        <color indexed="64"/>
      </top>
      <bottom/>
      <diagonal/>
    </border>
  </borders>
  <cellStyleXfs count="3804">
    <xf numFmtId="0" fontId="0" fillId="0" borderId="0"/>
    <xf numFmtId="0" fontId="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applyNumberFormat="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2" applyNumberFormat="0" applyAlignment="0" applyProtection="0"/>
    <xf numFmtId="165" fontId="30" fillId="0" borderId="3" applyFill="0" applyBorder="0" applyAlignment="0" applyProtection="0">
      <alignment horizontal="right"/>
    </xf>
    <xf numFmtId="0" fontId="14" fillId="21" borderId="4" applyNumberFormat="0" applyAlignment="0" applyProtection="0"/>
    <xf numFmtId="43"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164" fontId="15" fillId="0" borderId="0" applyFont="0" applyFill="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9" fillId="0" borderId="0" applyNumberFormat="0" applyFill="0" applyBorder="0" applyAlignment="0" applyProtection="0">
      <alignment vertical="top"/>
      <protection locked="0"/>
    </xf>
    <xf numFmtId="0" fontId="21" fillId="7" borderId="2" applyNumberFormat="0" applyAlignment="0" applyProtection="0"/>
    <xf numFmtId="0" fontId="22" fillId="0" borderId="8" applyNumberFormat="0" applyFill="0" applyAlignment="0" applyProtection="0"/>
    <xf numFmtId="0" fontId="23" fillId="22" borderId="0" applyNumberFormat="0" applyBorder="0" applyAlignment="0" applyProtection="0"/>
    <xf numFmtId="0" fontId="5" fillId="23" borderId="0"/>
    <xf numFmtId="0" fontId="5" fillId="23" borderId="0"/>
    <xf numFmtId="0" fontId="31" fillId="26" borderId="0"/>
    <xf numFmtId="0" fontId="5" fillId="23" borderId="0"/>
    <xf numFmtId="0" fontId="5" fillId="23" borderId="0"/>
    <xf numFmtId="0" fontId="5" fillId="23" borderId="0"/>
    <xf numFmtId="0" fontId="5" fillId="23" borderId="0"/>
    <xf numFmtId="0" fontId="15" fillId="0" borderId="0"/>
    <xf numFmtId="0" fontId="4" fillId="0" borderId="0"/>
    <xf numFmtId="0" fontId="3" fillId="0" borderId="0"/>
    <xf numFmtId="0" fontId="8" fillId="0" borderId="0"/>
    <xf numFmtId="0" fontId="4" fillId="0" borderId="0"/>
    <xf numFmtId="0" fontId="4" fillId="0" borderId="0"/>
    <xf numFmtId="0" fontId="15" fillId="0" borderId="0"/>
    <xf numFmtId="0" fontId="15" fillId="0" borderId="0"/>
    <xf numFmtId="0" fontId="15" fillId="0" borderId="0"/>
    <xf numFmtId="0" fontId="4" fillId="24" borderId="9" applyNumberFormat="0" applyFont="0" applyAlignment="0" applyProtection="0"/>
    <xf numFmtId="0" fontId="24" fillId="0" borderId="10"/>
    <xf numFmtId="0" fontId="25" fillId="20" borderId="11"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0" fontId="9" fillId="0" borderId="0" applyNumberFormat="0" applyFont="0" applyFill="0" applyBorder="0" applyAlignment="0" applyProtection="0"/>
    <xf numFmtId="0" fontId="26" fillId="0" borderId="0" applyNumberFormat="0" applyFill="0" applyBorder="0" applyAlignment="0" applyProtection="0"/>
    <xf numFmtId="0" fontId="8" fillId="0" borderId="0" applyBorder="0"/>
    <xf numFmtId="0" fontId="27" fillId="0" borderId="12" applyNumberFormat="0" applyFill="0" applyAlignment="0" applyProtection="0"/>
    <xf numFmtId="0" fontId="28" fillId="0" borderId="0" applyNumberFormat="0" applyFill="0" applyBorder="0" applyAlignment="0" applyProtection="0"/>
    <xf numFmtId="0" fontId="13" fillId="20" borderId="2" applyNumberFormat="0" applyAlignment="0" applyProtection="0"/>
    <xf numFmtId="0" fontId="21" fillId="7" borderId="2" applyNumberFormat="0" applyAlignment="0" applyProtection="0"/>
    <xf numFmtId="0" fontId="4" fillId="24" borderId="9" applyNumberFormat="0" applyFont="0" applyAlignment="0" applyProtection="0"/>
    <xf numFmtId="0" fontId="25" fillId="20" borderId="11" applyNumberFormat="0" applyAlignment="0" applyProtection="0"/>
    <xf numFmtId="0" fontId="27" fillId="0" borderId="12" applyNumberFormat="0" applyFill="0" applyAlignment="0" applyProtection="0"/>
    <xf numFmtId="165" fontId="30" fillId="0" borderId="3" applyFill="0" applyBorder="0" applyAlignment="0" applyProtection="0">
      <alignment horizontal="right"/>
    </xf>
    <xf numFmtId="0" fontId="13" fillId="20" borderId="2" applyNumberFormat="0" applyAlignment="0" applyProtection="0"/>
    <xf numFmtId="0" fontId="21" fillId="7" borderId="2" applyNumberFormat="0" applyAlignment="0" applyProtection="0"/>
    <xf numFmtId="0" fontId="4" fillId="24" borderId="9" applyNumberFormat="0" applyFont="0" applyAlignment="0" applyProtection="0"/>
    <xf numFmtId="0" fontId="25" fillId="20" borderId="11" applyNumberFormat="0" applyAlignment="0" applyProtection="0"/>
    <xf numFmtId="0" fontId="27" fillId="0" borderId="12" applyNumberFormat="0" applyFill="0" applyAlignment="0" applyProtection="0"/>
    <xf numFmtId="0" fontId="13" fillId="20" borderId="2" applyNumberFormat="0" applyAlignment="0" applyProtection="0"/>
    <xf numFmtId="165" fontId="35" fillId="0" borderId="3" applyFill="0" applyBorder="0" applyAlignment="0" applyProtection="0">
      <alignment horizontal="right"/>
    </xf>
    <xf numFmtId="43" fontId="8"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0" fontId="34" fillId="27" borderId="0" applyNumberFormat="0" applyBorder="0" applyProtection="0">
      <alignment wrapText="1"/>
    </xf>
    <xf numFmtId="0" fontId="21" fillId="7" borderId="2" applyNumberFormat="0" applyAlignment="0" applyProtection="0"/>
    <xf numFmtId="0" fontId="5" fillId="23" borderId="0"/>
    <xf numFmtId="0" fontId="5" fillId="23" borderId="0"/>
    <xf numFmtId="0" fontId="5" fillId="23"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 fillId="0" borderId="0"/>
    <xf numFmtId="0" fontId="8" fillId="0" borderId="0"/>
    <xf numFmtId="0" fontId="4" fillId="0" borderId="0"/>
    <xf numFmtId="0" fontId="4" fillId="0" borderId="0"/>
    <xf numFmtId="0" fontId="4" fillId="0" borderId="0"/>
    <xf numFmtId="0" fontId="37" fillId="0" borderId="0"/>
    <xf numFmtId="0" fontId="37" fillId="0" borderId="0"/>
    <xf numFmtId="0" fontId="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4" fillId="0" borderId="0"/>
    <xf numFmtId="0" fontId="10" fillId="0" borderId="0"/>
    <xf numFmtId="0" fontId="4" fillId="0" borderId="0"/>
    <xf numFmtId="0" fontId="8" fillId="0" borderId="0"/>
    <xf numFmtId="0" fontId="4" fillId="0" borderId="0"/>
    <xf numFmtId="0" fontId="4" fillId="0" borderId="0"/>
    <xf numFmtId="0" fontId="4" fillId="0" borderId="0"/>
    <xf numFmtId="0" fontId="8" fillId="0" borderId="0"/>
    <xf numFmtId="0" fontId="10" fillId="0" borderId="0"/>
    <xf numFmtId="0" fontId="10" fillId="0" borderId="0"/>
    <xf numFmtId="0" fontId="8" fillId="0" borderId="0"/>
    <xf numFmtId="0" fontId="10" fillId="0" borderId="0"/>
    <xf numFmtId="0" fontId="8"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24" borderId="9" applyNumberFormat="0" applyFont="0" applyAlignment="0" applyProtection="0"/>
    <xf numFmtId="0" fontId="25" fillId="20" borderId="11" applyNumberFormat="0" applyAlignment="0" applyProtection="0"/>
    <xf numFmtId="9" fontId="8" fillId="0" borderId="0" applyFont="0" applyFill="0" applyBorder="0" applyAlignment="0" applyProtection="0"/>
    <xf numFmtId="9" fontId="10" fillId="0" borderId="0" applyFont="0" applyFill="0" applyBorder="0" applyAlignment="0" applyProtection="0"/>
    <xf numFmtId="0" fontId="27" fillId="0" borderId="12" applyNumberFormat="0" applyFill="0" applyAlignment="0" applyProtection="0"/>
    <xf numFmtId="0" fontId="4" fillId="0" borderId="0"/>
    <xf numFmtId="0" fontId="8" fillId="0" borderId="0"/>
    <xf numFmtId="0" fontId="37" fillId="2" borderId="0" applyNumberFormat="0" applyBorder="0" applyAlignment="0" applyProtection="0"/>
    <xf numFmtId="0" fontId="50" fillId="8" borderId="0" applyNumberFormat="0" applyBorder="0" applyAlignment="0" applyProtection="0"/>
    <xf numFmtId="0" fontId="10" fillId="2" borderId="0" applyNumberFormat="0" applyBorder="0" applyAlignment="0" applyProtection="0"/>
    <xf numFmtId="0" fontId="37" fillId="3" borderId="0" applyNumberFormat="0" applyBorder="0" applyAlignment="0" applyProtection="0"/>
    <xf numFmtId="0" fontId="50" fillId="9" borderId="0" applyNumberFormat="0" applyBorder="0" applyAlignment="0" applyProtection="0"/>
    <xf numFmtId="0" fontId="10" fillId="3" borderId="0" applyNumberFormat="0" applyBorder="0" applyAlignment="0" applyProtection="0"/>
    <xf numFmtId="0" fontId="37" fillId="4" borderId="0" applyNumberFormat="0" applyBorder="0" applyAlignment="0" applyProtection="0"/>
    <xf numFmtId="0" fontId="50" fillId="24" borderId="0" applyNumberFormat="0" applyBorder="0" applyAlignment="0" applyProtection="0"/>
    <xf numFmtId="0" fontId="10" fillId="4" borderId="0" applyNumberFormat="0" applyBorder="0" applyAlignment="0" applyProtection="0"/>
    <xf numFmtId="0" fontId="37" fillId="5" borderId="0" applyNumberFormat="0" applyBorder="0" applyAlignment="0" applyProtection="0"/>
    <xf numFmtId="0" fontId="50" fillId="7" borderId="0" applyNumberFormat="0" applyBorder="0" applyAlignment="0" applyProtection="0"/>
    <xf numFmtId="0" fontId="10" fillId="5" borderId="0" applyNumberFormat="0" applyBorder="0" applyAlignment="0" applyProtection="0"/>
    <xf numFmtId="0" fontId="37" fillId="6" borderId="0" applyNumberFormat="0" applyBorder="0" applyAlignment="0" applyProtection="0"/>
    <xf numFmtId="0" fontId="50" fillId="6" borderId="0" applyNumberFormat="0" applyBorder="0" applyAlignment="0" applyProtection="0"/>
    <xf numFmtId="0" fontId="10" fillId="6" borderId="0" applyNumberFormat="0" applyBorder="0" applyAlignment="0" applyProtection="0"/>
    <xf numFmtId="0" fontId="37" fillId="7" borderId="0" applyNumberFormat="0" applyBorder="0" applyAlignment="0" applyProtection="0"/>
    <xf numFmtId="0" fontId="50" fillId="24" borderId="0" applyNumberFormat="0" applyBorder="0" applyAlignment="0" applyProtection="0"/>
    <xf numFmtId="0" fontId="10" fillId="7" borderId="0" applyNumberFormat="0" applyBorder="0" applyAlignment="0" applyProtection="0"/>
    <xf numFmtId="0" fontId="37" fillId="8" borderId="0" applyNumberFormat="0" applyBorder="0" applyAlignment="0" applyProtection="0"/>
    <xf numFmtId="0" fontId="50" fillId="6" borderId="0" applyNumberFormat="0" applyBorder="0" applyAlignment="0" applyProtection="0"/>
    <xf numFmtId="0" fontId="10" fillId="8" borderId="0" applyNumberFormat="0" applyBorder="0" applyAlignment="0" applyProtection="0"/>
    <xf numFmtId="0" fontId="37" fillId="9" borderId="0" applyNumberFormat="0" applyBorder="0" applyAlignment="0" applyProtection="0"/>
    <xf numFmtId="0" fontId="50" fillId="9" borderId="0" applyNumberFormat="0" applyBorder="0" applyAlignment="0" applyProtection="0"/>
    <xf numFmtId="0" fontId="10" fillId="9" borderId="0" applyNumberFormat="0" applyBorder="0" applyAlignment="0" applyProtection="0"/>
    <xf numFmtId="0" fontId="37" fillId="10" borderId="0" applyNumberFormat="0" applyBorder="0" applyAlignment="0" applyProtection="0"/>
    <xf numFmtId="0" fontId="50" fillId="22" borderId="0" applyNumberFormat="0" applyBorder="0" applyAlignment="0" applyProtection="0"/>
    <xf numFmtId="0" fontId="10" fillId="10" borderId="0" applyNumberFormat="0" applyBorder="0" applyAlignment="0" applyProtection="0"/>
    <xf numFmtId="0" fontId="37" fillId="5" borderId="0" applyNumberFormat="0" applyBorder="0" applyAlignment="0" applyProtection="0"/>
    <xf numFmtId="0" fontId="50" fillId="3" borderId="0" applyNumberFormat="0" applyBorder="0" applyAlignment="0" applyProtection="0"/>
    <xf numFmtId="0" fontId="10" fillId="5" borderId="0" applyNumberFormat="0" applyBorder="0" applyAlignment="0" applyProtection="0"/>
    <xf numFmtId="0" fontId="37" fillId="8" borderId="0" applyNumberFormat="0" applyBorder="0" applyAlignment="0" applyProtection="0"/>
    <xf numFmtId="0" fontId="50" fillId="6" borderId="0" applyNumberFormat="0" applyBorder="0" applyAlignment="0" applyProtection="0"/>
    <xf numFmtId="0" fontId="10" fillId="8" borderId="0" applyNumberFormat="0" applyBorder="0" applyAlignment="0" applyProtection="0"/>
    <xf numFmtId="0" fontId="37" fillId="11" borderId="0" applyNumberFormat="0" applyBorder="0" applyAlignment="0" applyProtection="0"/>
    <xf numFmtId="0" fontId="50" fillId="24" borderId="0" applyNumberFormat="0" applyBorder="0" applyAlignment="0" applyProtection="0"/>
    <xf numFmtId="0" fontId="10" fillId="11" borderId="0" applyNumberFormat="0" applyBorder="0" applyAlignment="0" applyProtection="0"/>
    <xf numFmtId="0" fontId="33" fillId="12" borderId="0" applyNumberFormat="0" applyBorder="0" applyAlignment="0" applyProtection="0"/>
    <xf numFmtId="0" fontId="11" fillId="6" borderId="0" applyNumberFormat="0" applyBorder="0" applyAlignment="0" applyProtection="0"/>
    <xf numFmtId="0" fontId="11" fillId="12" borderId="0" applyNumberFormat="0" applyBorder="0" applyAlignment="0" applyProtection="0"/>
    <xf numFmtId="0" fontId="33" fillId="9" borderId="0" applyNumberFormat="0" applyBorder="0" applyAlignment="0" applyProtection="0"/>
    <xf numFmtId="0" fontId="11" fillId="19" borderId="0" applyNumberFormat="0" applyBorder="0" applyAlignment="0" applyProtection="0"/>
    <xf numFmtId="0" fontId="11" fillId="9" borderId="0" applyNumberFormat="0" applyBorder="0" applyAlignment="0" applyProtection="0"/>
    <xf numFmtId="0" fontId="33" fillId="10" borderId="0" applyNumberFormat="0" applyBorder="0" applyAlignment="0" applyProtection="0"/>
    <xf numFmtId="0" fontId="11" fillId="11" borderId="0" applyNumberFormat="0" applyBorder="0" applyAlignment="0" applyProtection="0"/>
    <xf numFmtId="0" fontId="11" fillId="10" borderId="0" applyNumberFormat="0" applyBorder="0" applyAlignment="0" applyProtection="0"/>
    <xf numFmtId="0" fontId="33" fillId="13" borderId="0" applyNumberFormat="0" applyBorder="0" applyAlignment="0" applyProtection="0"/>
    <xf numFmtId="0" fontId="11" fillId="3" borderId="0" applyNumberFormat="0" applyBorder="0" applyAlignment="0" applyProtection="0"/>
    <xf numFmtId="0" fontId="11" fillId="13" borderId="0" applyNumberFormat="0" applyBorder="0" applyAlignment="0" applyProtection="0"/>
    <xf numFmtId="0" fontId="33" fillId="14" borderId="0" applyNumberFormat="0" applyBorder="0" applyAlignment="0" applyProtection="0"/>
    <xf numFmtId="0" fontId="11" fillId="6" borderId="0" applyNumberFormat="0" applyBorder="0" applyAlignment="0" applyProtection="0"/>
    <xf numFmtId="0" fontId="11" fillId="14" borderId="0" applyNumberFormat="0" applyBorder="0" applyAlignment="0" applyProtection="0"/>
    <xf numFmtId="0" fontId="33" fillId="15" borderId="0" applyNumberFormat="0" applyBorder="0" applyAlignment="0" applyProtection="0"/>
    <xf numFmtId="0" fontId="11" fillId="9" borderId="0" applyNumberFormat="0" applyBorder="0" applyAlignment="0" applyProtection="0"/>
    <xf numFmtId="0" fontId="11" fillId="15" borderId="0" applyNumberFormat="0" applyBorder="0" applyAlignment="0" applyProtection="0"/>
    <xf numFmtId="0" fontId="33" fillId="16" borderId="0" applyNumberFormat="0" applyBorder="0" applyAlignment="0" applyProtection="0"/>
    <xf numFmtId="0" fontId="11" fillId="29" borderId="0" applyNumberFormat="0" applyBorder="0" applyAlignment="0" applyProtection="0"/>
    <xf numFmtId="0" fontId="11" fillId="16" borderId="0" applyNumberFormat="0" applyBorder="0" applyAlignment="0" applyProtection="0"/>
    <xf numFmtId="0" fontId="33" fillId="17" borderId="0" applyNumberFormat="0" applyBorder="0" applyAlignment="0" applyProtection="0"/>
    <xf numFmtId="0" fontId="11" fillId="19" borderId="0" applyNumberFormat="0" applyBorder="0" applyAlignment="0" applyProtection="0"/>
    <xf numFmtId="0" fontId="11" fillId="17" borderId="0" applyNumberFormat="0" applyBorder="0" applyAlignment="0" applyProtection="0"/>
    <xf numFmtId="0" fontId="33" fillId="18" borderId="0" applyNumberFormat="0" applyBorder="0" applyAlignment="0" applyProtection="0"/>
    <xf numFmtId="0" fontId="11" fillId="11" borderId="0" applyNumberFormat="0" applyBorder="0" applyAlignment="0" applyProtection="0"/>
    <xf numFmtId="0" fontId="11" fillId="18" borderId="0" applyNumberFormat="0" applyBorder="0" applyAlignment="0" applyProtection="0"/>
    <xf numFmtId="0" fontId="33" fillId="13" borderId="0" applyNumberFormat="0" applyBorder="0" applyAlignment="0" applyProtection="0"/>
    <xf numFmtId="0" fontId="11" fillId="30" borderId="0" applyNumberFormat="0" applyBorder="0" applyAlignment="0" applyProtection="0"/>
    <xf numFmtId="0" fontId="11" fillId="13" borderId="0" applyNumberFormat="0" applyBorder="0" applyAlignment="0" applyProtection="0"/>
    <xf numFmtId="0" fontId="33" fillId="14" borderId="0" applyNumberFormat="0" applyBorder="0" applyAlignment="0" applyProtection="0"/>
    <xf numFmtId="0" fontId="33" fillId="19" borderId="0" applyNumberFormat="0" applyBorder="0" applyAlignment="0" applyProtection="0"/>
    <xf numFmtId="0" fontId="11" fillId="17" borderId="0" applyNumberFormat="0" applyBorder="0" applyAlignment="0" applyProtection="0"/>
    <xf numFmtId="0" fontId="11" fillId="19" borderId="0" applyNumberFormat="0" applyBorder="0" applyAlignment="0" applyProtection="0"/>
    <xf numFmtId="0" fontId="38" fillId="3" borderId="0" applyNumberFormat="0" applyBorder="0" applyAlignment="0" applyProtection="0"/>
    <xf numFmtId="0" fontId="12" fillId="5" borderId="0" applyNumberFormat="0" applyBorder="0" applyAlignment="0" applyProtection="0"/>
    <xf numFmtId="0" fontId="12" fillId="3" borderId="0" applyNumberFormat="0" applyBorder="0" applyAlignment="0" applyProtection="0"/>
    <xf numFmtId="0" fontId="39" fillId="20" borderId="16" applyNumberFormat="0" applyAlignment="0" applyProtection="0"/>
    <xf numFmtId="0" fontId="51" fillId="31" borderId="16" applyNumberFormat="0" applyAlignment="0" applyProtection="0"/>
    <xf numFmtId="0" fontId="13" fillId="20" borderId="16" applyNumberFormat="0" applyAlignment="0" applyProtection="0"/>
    <xf numFmtId="0" fontId="5" fillId="21" borderId="4" applyNumberFormat="0" applyAlignment="0" applyProtection="0"/>
    <xf numFmtId="43" fontId="4" fillId="0" borderId="0" applyFont="0" applyFill="0" applyBorder="0" applyAlignment="0" applyProtection="0"/>
    <xf numFmtId="0" fontId="40" fillId="0" borderId="0" applyNumberFormat="0" applyFill="0" applyBorder="0" applyAlignment="0" applyProtection="0"/>
    <xf numFmtId="0" fontId="7" fillId="4" borderId="0" applyNumberFormat="0" applyBorder="0" applyAlignment="0" applyProtection="0"/>
    <xf numFmtId="0" fontId="17" fillId="6" borderId="0" applyNumberFormat="0" applyBorder="0" applyAlignment="0" applyProtection="0"/>
    <xf numFmtId="0" fontId="17" fillId="4" borderId="0" applyNumberFormat="0" applyBorder="0" applyAlignment="0" applyProtection="0"/>
    <xf numFmtId="0" fontId="41" fillId="0" borderId="5" applyNumberFormat="0" applyFill="0" applyAlignment="0" applyProtection="0"/>
    <xf numFmtId="0" fontId="52" fillId="0" borderId="17" applyNumberFormat="0" applyFill="0" applyAlignment="0" applyProtection="0"/>
    <xf numFmtId="0" fontId="18" fillId="0" borderId="5" applyNumberFormat="0" applyFill="0" applyAlignment="0" applyProtection="0"/>
    <xf numFmtId="0" fontId="42" fillId="0" borderId="6" applyNumberFormat="0" applyFill="0" applyAlignment="0" applyProtection="0"/>
    <xf numFmtId="0" fontId="53" fillId="0" borderId="18" applyNumberFormat="0" applyFill="0" applyAlignment="0" applyProtection="0"/>
    <xf numFmtId="0" fontId="19" fillId="0" borderId="6" applyNumberFormat="0" applyFill="0" applyAlignment="0" applyProtection="0"/>
    <xf numFmtId="0" fontId="43" fillId="0" borderId="7" applyNumberFormat="0" applyFill="0" applyAlignment="0" applyProtection="0"/>
    <xf numFmtId="0" fontId="54" fillId="0" borderId="19" applyNumberFormat="0" applyFill="0" applyAlignment="0" applyProtection="0"/>
    <xf numFmtId="0" fontId="20" fillId="0" borderId="7" applyNumberFormat="0" applyFill="0" applyAlignment="0" applyProtection="0"/>
    <xf numFmtId="0" fontId="43" fillId="0" borderId="0" applyNumberFormat="0" applyFill="0" applyBorder="0" applyAlignment="0" applyProtection="0"/>
    <xf numFmtId="0" fontId="54" fillId="0" borderId="0" applyNumberFormat="0" applyFill="0" applyBorder="0" applyAlignment="0" applyProtection="0"/>
    <xf numFmtId="0" fontId="20" fillId="0" borderId="0" applyNumberFormat="0" applyFill="0" applyBorder="0" applyAlignment="0" applyProtection="0"/>
    <xf numFmtId="0" fontId="57" fillId="0" borderId="0" applyNumberFormat="0" applyFill="0" applyBorder="0" applyAlignment="0" applyProtection="0"/>
    <xf numFmtId="0" fontId="29" fillId="0" borderId="0" applyNumberFormat="0" applyFill="0" applyBorder="0" applyAlignment="0" applyProtection="0">
      <alignment vertical="top"/>
      <protection locked="0"/>
    </xf>
    <xf numFmtId="0" fontId="44" fillId="7" borderId="16" applyNumberFormat="0" applyAlignment="0" applyProtection="0"/>
    <xf numFmtId="0" fontId="21" fillId="22" borderId="16" applyNumberFormat="0" applyAlignment="0" applyProtection="0"/>
    <xf numFmtId="0" fontId="21" fillId="7" borderId="16" applyNumberFormat="0" applyAlignment="0" applyProtection="0"/>
    <xf numFmtId="0" fontId="45" fillId="0" borderId="8" applyNumberFormat="0" applyFill="0" applyAlignment="0" applyProtection="0"/>
    <xf numFmtId="0" fontId="28" fillId="0" borderId="20" applyNumberFormat="0" applyFill="0" applyAlignment="0" applyProtection="0"/>
    <xf numFmtId="0" fontId="22" fillId="0" borderId="8" applyNumberFormat="0" applyFill="0" applyAlignment="0" applyProtection="0"/>
    <xf numFmtId="0" fontId="46" fillId="22" borderId="0" applyNumberFormat="0" applyBorder="0" applyAlignment="0" applyProtection="0"/>
    <xf numFmtId="0" fontId="55" fillId="22" borderId="0" applyNumberFormat="0" applyBorder="0" applyAlignment="0" applyProtection="0"/>
    <xf numFmtId="0" fontId="23" fillId="22" borderId="0" applyNumberFormat="0" applyBorder="0" applyAlignment="0" applyProtection="0"/>
    <xf numFmtId="0" fontId="49" fillId="32" borderId="0"/>
    <xf numFmtId="0" fontId="31" fillId="26" borderId="0"/>
    <xf numFmtId="0" fontId="8" fillId="0" borderId="0"/>
    <xf numFmtId="0" fontId="4" fillId="0" borderId="0"/>
    <xf numFmtId="0" fontId="8" fillId="0" borderId="0"/>
    <xf numFmtId="0" fontId="10" fillId="0" borderId="0"/>
    <xf numFmtId="0" fontId="8" fillId="0" borderId="0"/>
    <xf numFmtId="0" fontId="8" fillId="24" borderId="21" applyNumberFormat="0" applyFont="0" applyAlignment="0" applyProtection="0"/>
    <xf numFmtId="0" fontId="8" fillId="24" borderId="21" applyNumberFormat="0" applyFont="0" applyAlignment="0" applyProtection="0"/>
    <xf numFmtId="0" fontId="10" fillId="24" borderId="21" applyNumberFormat="0" applyFont="0" applyAlignment="0" applyProtection="0"/>
    <xf numFmtId="0" fontId="36" fillId="20" borderId="22" applyNumberFormat="0" applyAlignment="0" applyProtection="0"/>
    <xf numFmtId="0" fontId="25" fillId="31" borderId="22" applyNumberFormat="0" applyAlignment="0" applyProtection="0"/>
    <xf numFmtId="0" fontId="25" fillId="20" borderId="22" applyNumberFormat="0" applyAlignment="0" applyProtection="0"/>
    <xf numFmtId="9" fontId="4" fillId="0" borderId="0" applyFont="0" applyFill="0" applyBorder="0" applyAlignment="0" applyProtection="0"/>
    <xf numFmtId="9" fontId="4" fillId="0" borderId="0" applyFont="0" applyFill="0" applyBorder="0" applyAlignment="0" applyProtection="0"/>
    <xf numFmtId="0" fontId="56" fillId="0" borderId="0" applyNumberFormat="0" applyFill="0" applyBorder="0" applyAlignment="0" applyProtection="0"/>
    <xf numFmtId="0" fontId="26" fillId="0" borderId="0" applyNumberFormat="0" applyFill="0" applyBorder="0" applyAlignment="0" applyProtection="0"/>
    <xf numFmtId="0" fontId="47" fillId="0" borderId="23" applyNumberFormat="0" applyFill="0" applyAlignment="0" applyProtection="0"/>
    <xf numFmtId="0" fontId="25" fillId="0" borderId="24" applyNumberFormat="0" applyFill="0" applyAlignment="0" applyProtection="0"/>
    <xf numFmtId="0" fontId="27" fillId="0" borderId="23" applyNumberFormat="0" applyFill="0" applyAlignment="0" applyProtection="0"/>
    <xf numFmtId="0" fontId="48" fillId="0" borderId="0" applyNumberFormat="0" applyFill="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62"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62"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62"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62"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62"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62"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62"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3" fontId="58" fillId="25" borderId="14" applyFont="0" applyFill="0" applyProtection="0">
      <alignment horizontal="right"/>
    </xf>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167" fontId="10" fillId="0" borderId="0" applyFont="0" applyFill="0" applyBorder="0" applyAlignment="0" applyProtection="0"/>
    <xf numFmtId="0" fontId="8" fillId="28" borderId="14" applyNumberFormat="0" applyFont="0" applyBorder="0" applyAlignment="0" applyProtection="0">
      <alignment horizontal="center"/>
    </xf>
    <xf numFmtId="0" fontId="34" fillId="25" borderId="13" applyFont="0" applyBorder="0">
      <alignment horizontal="center" wrapText="1"/>
    </xf>
    <xf numFmtId="3" fontId="8" fillId="33" borderId="14" applyFont="0" applyProtection="0">
      <alignment horizontal="right"/>
    </xf>
    <xf numFmtId="10" fontId="8" fillId="33" borderId="14" applyFont="0" applyProtection="0">
      <alignment horizontal="right"/>
    </xf>
    <xf numFmtId="9" fontId="8" fillId="33" borderId="14" applyFont="0" applyProtection="0">
      <alignment horizontal="right"/>
    </xf>
    <xf numFmtId="0" fontId="8" fillId="33" borderId="13" applyNumberFormat="0" applyFont="0" applyBorder="0" applyAlignment="0" applyProtection="0">
      <alignment horizontal="left"/>
    </xf>
    <xf numFmtId="0" fontId="59" fillId="0" borderId="0" applyNumberFormat="0" applyFill="0" applyBorder="0" applyAlignment="0" applyProtection="0">
      <alignment vertical="top"/>
      <protection locked="0"/>
    </xf>
    <xf numFmtId="0" fontId="59" fillId="0" borderId="0" applyNumberFormat="0" applyFill="0" applyBorder="0" applyAlignment="0" applyProtection="0"/>
    <xf numFmtId="0" fontId="61" fillId="0" borderId="0" applyNumberFormat="0" applyFill="0" applyBorder="0" applyAlignment="0" applyProtection="0">
      <alignment vertical="top"/>
      <protection locked="0"/>
    </xf>
    <xf numFmtId="169" fontId="8" fillId="34" borderId="14" applyFont="0" applyAlignment="0">
      <protection locked="0"/>
    </xf>
    <xf numFmtId="3" fontId="8" fillId="34" borderId="14" applyFont="0">
      <alignment horizontal="right"/>
      <protection locked="0"/>
    </xf>
    <xf numFmtId="166" fontId="8" fillId="34" borderId="14" applyFont="0">
      <alignment horizontal="right"/>
      <protection locked="0"/>
    </xf>
    <xf numFmtId="170" fontId="8" fillId="35" borderId="14" applyProtection="0"/>
    <xf numFmtId="10" fontId="8" fillId="34" borderId="14" applyFont="0">
      <alignment horizontal="right"/>
      <protection locked="0"/>
    </xf>
    <xf numFmtId="9" fontId="8" fillId="34" borderId="25" applyFont="0">
      <alignment horizontal="right"/>
      <protection locked="0"/>
    </xf>
    <xf numFmtId="171" fontId="8" fillId="34" borderId="14">
      <alignment horizontal="right"/>
      <protection locked="0"/>
    </xf>
    <xf numFmtId="168" fontId="8" fillId="34" borderId="25" applyFont="0">
      <alignment horizontal="right"/>
      <protection locked="0"/>
    </xf>
    <xf numFmtId="0" fontId="8" fillId="34" borderId="14" applyFont="0">
      <alignment horizontal="center" wrapText="1"/>
      <protection locked="0"/>
    </xf>
    <xf numFmtId="49" fontId="8" fillId="34" borderId="14" applyFont="0" applyAlignment="0">
      <protection locked="0"/>
    </xf>
    <xf numFmtId="0" fontId="60" fillId="0" borderId="0"/>
    <xf numFmtId="0" fontId="37" fillId="0" borderId="0"/>
    <xf numFmtId="0" fontId="3" fillId="0" borderId="0"/>
    <xf numFmtId="3" fontId="8" fillId="36" borderId="14">
      <alignment horizontal="right"/>
      <protection locked="0"/>
    </xf>
    <xf numFmtId="166" fontId="8" fillId="36" borderId="14">
      <alignment horizontal="right"/>
      <protection locked="0"/>
    </xf>
    <xf numFmtId="10" fontId="8" fillId="36" borderId="14" applyFont="0">
      <alignment horizontal="right"/>
      <protection locked="0"/>
    </xf>
    <xf numFmtId="9" fontId="8" fillId="36" borderId="14">
      <alignment horizontal="right"/>
      <protection locked="0"/>
    </xf>
    <xf numFmtId="168" fontId="8" fillId="36" borderId="25" applyFont="0">
      <alignment horizontal="right"/>
      <protection locked="0"/>
    </xf>
    <xf numFmtId="0" fontId="8" fillId="36" borderId="14">
      <alignment horizontal="center" wrapText="1"/>
    </xf>
    <xf numFmtId="0" fontId="8" fillId="36" borderId="14" applyNumberFormat="0" applyFont="0">
      <alignment horizontal="center" wrapText="1"/>
      <protection locked="0"/>
    </xf>
    <xf numFmtId="9" fontId="8" fillId="0" borderId="0" applyFont="0" applyFill="0" applyBorder="0" applyAlignment="0" applyProtection="0"/>
    <xf numFmtId="9" fontId="8"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10" fillId="0" borderId="0" applyFont="0" applyFill="0" applyBorder="0" applyAlignment="0" applyProtection="0"/>
    <xf numFmtId="172" fontId="8" fillId="25" borderId="14">
      <alignment horizontal="center"/>
    </xf>
    <xf numFmtId="3" fontId="8" fillId="25" borderId="14" applyFont="0">
      <alignment horizontal="right"/>
    </xf>
    <xf numFmtId="173" fontId="8" fillId="25" borderId="14" applyFont="0">
      <alignment horizontal="right"/>
    </xf>
    <xf numFmtId="166" fontId="8" fillId="25" borderId="14" applyFont="0">
      <alignment horizontal="right"/>
    </xf>
    <xf numFmtId="10" fontId="8" fillId="25" borderId="14" applyFont="0">
      <alignment horizontal="right"/>
    </xf>
    <xf numFmtId="9" fontId="8" fillId="25" borderId="14" applyFont="0">
      <alignment horizontal="right"/>
    </xf>
    <xf numFmtId="174" fontId="8" fillId="25" borderId="14" applyFont="0">
      <alignment horizontal="center" wrapText="1"/>
    </xf>
    <xf numFmtId="0" fontId="10" fillId="0" borderId="0"/>
    <xf numFmtId="169" fontId="8" fillId="37" borderId="14">
      <protection locked="0"/>
    </xf>
    <xf numFmtId="1" fontId="8" fillId="37" borderId="14" applyFont="0">
      <alignment horizontal="right"/>
    </xf>
    <xf numFmtId="170" fontId="8" fillId="37" borderId="14" applyFont="0"/>
    <xf numFmtId="9" fontId="8" fillId="37" borderId="14" applyFont="0">
      <alignment horizontal="right"/>
    </xf>
    <xf numFmtId="171" fontId="8" fillId="37" borderId="14" applyFont="0">
      <alignment horizontal="right"/>
    </xf>
    <xf numFmtId="10" fontId="8" fillId="37" borderId="14" applyFont="0">
      <alignment horizontal="right"/>
    </xf>
    <xf numFmtId="0" fontId="8" fillId="37" borderId="14" applyFont="0">
      <alignment horizontal="center" wrapText="1"/>
    </xf>
    <xf numFmtId="49" fontId="8" fillId="37" borderId="14" applyFont="0"/>
    <xf numFmtId="170" fontId="8" fillId="38" borderId="14" applyFont="0"/>
    <xf numFmtId="9" fontId="8" fillId="38" borderId="14" applyFont="0">
      <alignment horizontal="right"/>
    </xf>
    <xf numFmtId="170" fontId="8" fillId="39" borderId="14" applyFont="0">
      <alignment horizontal="right"/>
    </xf>
    <xf numFmtId="1" fontId="8" fillId="39" borderId="14" applyFont="0">
      <alignment horizontal="right"/>
    </xf>
    <xf numFmtId="170" fontId="8" fillId="39" borderId="14" applyFont="0"/>
    <xf numFmtId="166" fontId="8" fillId="39" borderId="14" applyFont="0"/>
    <xf numFmtId="10" fontId="8" fillId="39" borderId="14" applyFont="0">
      <alignment horizontal="right"/>
    </xf>
    <xf numFmtId="9" fontId="8" fillId="39" borderId="14" applyFont="0">
      <alignment horizontal="right"/>
    </xf>
    <xf numFmtId="171" fontId="8" fillId="39" borderId="14" applyFont="0">
      <alignment horizontal="right"/>
    </xf>
    <xf numFmtId="10" fontId="8" fillId="39" borderId="15" applyFont="0">
      <alignment horizontal="right"/>
    </xf>
    <xf numFmtId="0" fontId="8" fillId="39" borderId="14" applyFont="0">
      <alignment horizontal="center" wrapText="1"/>
      <protection locked="0"/>
    </xf>
    <xf numFmtId="49" fontId="8" fillId="39" borderId="14" applyFont="0"/>
    <xf numFmtId="0" fontId="51" fillId="31" borderId="2" applyNumberFormat="0" applyAlignment="0" applyProtection="0"/>
    <xf numFmtId="0" fontId="54" fillId="0" borderId="0" applyNumberFormat="0" applyFill="0" applyBorder="0" applyAlignment="0" applyProtection="0"/>
    <xf numFmtId="0" fontId="8" fillId="0" borderId="0" applyNumberFormat="0" applyFill="0" applyBorder="0" applyProtection="0">
      <alignment wrapText="1"/>
    </xf>
    <xf numFmtId="0" fontId="8" fillId="0" borderId="0" applyNumberFormat="0" applyFill="0" applyBorder="0" applyProtection="0">
      <alignment horizontal="justify" vertical="top" wrapText="1"/>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21" fillId="22" borderId="2" applyNumberFormat="0" applyAlignment="0" applyProtection="0"/>
    <xf numFmtId="0" fontId="49" fillId="32" borderId="0"/>
    <xf numFmtId="0" fontId="5" fillId="23" borderId="0"/>
    <xf numFmtId="0" fontId="1" fillId="0" borderId="0"/>
    <xf numFmtId="0" fontId="3" fillId="0" borderId="0"/>
    <xf numFmtId="0" fontId="73" fillId="0" borderId="0"/>
    <xf numFmtId="0" fontId="65" fillId="0" borderId="0"/>
    <xf numFmtId="0" fontId="68" fillId="0" borderId="0"/>
    <xf numFmtId="0" fontId="67" fillId="0" borderId="0"/>
    <xf numFmtId="0" fontId="1" fillId="0" borderId="0"/>
    <xf numFmtId="0" fontId="10" fillId="0" borderId="0"/>
    <xf numFmtId="0" fontId="8" fillId="0" borderId="0"/>
    <xf numFmtId="0" fontId="1" fillId="0" borderId="0"/>
    <xf numFmtId="0" fontId="1" fillId="0" borderId="0"/>
    <xf numFmtId="0" fontId="1" fillId="0" borderId="0"/>
    <xf numFmtId="0" fontId="1" fillId="0" borderId="0"/>
    <xf numFmtId="0" fontId="1" fillId="0" borderId="0"/>
    <xf numFmtId="0" fontId="8" fillId="24" borderId="9" applyNumberFormat="0" applyFont="0" applyAlignment="0" applyProtection="0"/>
    <xf numFmtId="0" fontId="25" fillId="31" borderId="11" applyNumberFormat="0" applyAlignment="0" applyProtection="0"/>
    <xf numFmtId="0" fontId="69" fillId="40" borderId="0" applyNumberFormat="0" applyBorder="0" applyAlignment="0" applyProtection="0"/>
    <xf numFmtId="0" fontId="70" fillId="0" borderId="0" applyNumberFormat="0" applyFill="0" applyBorder="0" applyAlignment="0" applyProtection="0"/>
    <xf numFmtId="0" fontId="71" fillId="40" borderId="0" applyNumberFormat="0" applyBorder="0" applyAlignment="0" applyProtection="0"/>
    <xf numFmtId="0" fontId="63" fillId="0" borderId="0" applyNumberFormat="0" applyFill="0" applyBorder="0" applyAlignment="0" applyProtection="0"/>
    <xf numFmtId="0" fontId="34" fillId="0" borderId="0" applyNumberFormat="0" applyFill="0" applyBorder="0" applyAlignment="0" applyProtection="0"/>
    <xf numFmtId="0" fontId="66" fillId="32" borderId="0" applyNumberFormat="0" applyBorder="0" applyAlignment="0" applyProtection="0"/>
    <xf numFmtId="0" fontId="66" fillId="32" borderId="0" applyNumberFormat="0" applyBorder="0" applyProtection="0">
      <alignment horizontal="center"/>
    </xf>
    <xf numFmtId="0" fontId="72" fillId="32" borderId="0" applyNumberFormat="0" applyBorder="0" applyAlignment="0" applyProtection="0"/>
    <xf numFmtId="0" fontId="8" fillId="0" borderId="0" applyNumberFormat="0" applyFont="0" applyFill="0" applyBorder="0" applyProtection="0">
      <alignment horizontal="right"/>
    </xf>
    <xf numFmtId="0" fontId="8" fillId="0" borderId="0" applyNumberFormat="0" applyFont="0" applyFill="0" applyBorder="0" applyProtection="0">
      <alignment horizontal="left"/>
    </xf>
    <xf numFmtId="0" fontId="4" fillId="0" borderId="0" applyNumberFormat="0" applyFill="0" applyBorder="0" applyAlignment="0" applyProtection="0"/>
    <xf numFmtId="0" fontId="6" fillId="0" borderId="0" applyNumberFormat="0" applyFill="0" applyBorder="0" applyAlignment="0" applyProtection="0"/>
    <xf numFmtId="0" fontId="8" fillId="27" borderId="0" applyNumberFormat="0" applyFont="0" applyBorder="0" applyAlignment="0" applyProtection="0"/>
    <xf numFmtId="170" fontId="8" fillId="0" borderId="0" applyFont="0" applyFill="0" applyBorder="0" applyAlignment="0" applyProtection="0"/>
    <xf numFmtId="2" fontId="8" fillId="0" borderId="0" applyFont="0" applyFill="0" applyBorder="0" applyAlignment="0" applyProtection="0"/>
    <xf numFmtId="166" fontId="8" fillId="0" borderId="0" applyFont="0" applyFill="0" applyBorder="0" applyAlignment="0" applyProtection="0"/>
    <xf numFmtId="0" fontId="8" fillId="0" borderId="26" applyNumberFormat="0" applyFont="0" applyFill="0" applyAlignment="0" applyProtection="0"/>
    <xf numFmtId="0" fontId="25" fillId="0" borderId="27" applyNumberFormat="0" applyFill="0" applyAlignment="0" applyProtection="0"/>
    <xf numFmtId="0" fontId="51" fillId="31" borderId="2" applyNumberFormat="0" applyAlignment="0" applyProtection="0"/>
    <xf numFmtId="0" fontId="21" fillId="22" borderId="2" applyNumberFormat="0" applyAlignment="0" applyProtection="0"/>
    <xf numFmtId="0" fontId="3" fillId="0" borderId="0"/>
    <xf numFmtId="0" fontId="8" fillId="24" borderId="9" applyNumberFormat="0" applyFont="0" applyAlignment="0" applyProtection="0"/>
    <xf numFmtId="0" fontId="25" fillId="31" borderId="11" applyNumberFormat="0" applyAlignment="0" applyProtection="0"/>
    <xf numFmtId="0" fontId="25" fillId="0" borderId="27" applyNumberFormat="0" applyFill="0" applyAlignment="0" applyProtection="0"/>
    <xf numFmtId="0" fontId="10" fillId="31" borderId="0" applyNumberFormat="0" applyBorder="0" applyAlignment="0" applyProtection="0"/>
    <xf numFmtId="0" fontId="10" fillId="7" borderId="0" applyNumberFormat="0" applyBorder="0" applyAlignment="0" applyProtection="0"/>
    <xf numFmtId="0" fontId="10" fillId="24" borderId="0" applyNumberFormat="0" applyBorder="0" applyAlignment="0" applyProtection="0"/>
    <xf numFmtId="0" fontId="10" fillId="31" borderId="0" applyNumberFormat="0" applyBorder="0" applyAlignment="0" applyProtection="0"/>
    <xf numFmtId="0" fontId="10" fillId="20" borderId="0" applyNumberFormat="0" applyBorder="0" applyAlignment="0" applyProtection="0"/>
    <xf numFmtId="0" fontId="10" fillId="41" borderId="0" applyNumberFormat="0" applyBorder="0" applyAlignment="0" applyProtection="0"/>
    <xf numFmtId="0" fontId="10" fillId="22" borderId="0" applyNumberFormat="0" applyBorder="0" applyAlignment="0" applyProtection="0"/>
    <xf numFmtId="0" fontId="10" fillId="20" borderId="0" applyNumberFormat="0" applyBorder="0" applyAlignment="0" applyProtection="0"/>
    <xf numFmtId="0" fontId="10" fillId="7" borderId="0" applyNumberFormat="0" applyBorder="0" applyAlignment="0" applyProtection="0"/>
    <xf numFmtId="0" fontId="11" fillId="14" borderId="0" applyNumberFormat="0" applyBorder="0" applyAlignment="0" applyProtection="0"/>
    <xf numFmtId="0" fontId="11" fillId="41" borderId="0" applyNumberFormat="0" applyBorder="0" applyAlignment="0" applyProtection="0"/>
    <xf numFmtId="0" fontId="11" fillId="22" borderId="0" applyNumberFormat="0" applyBorder="0" applyAlignment="0" applyProtection="0"/>
    <xf numFmtId="0" fontId="11" fillId="20" borderId="0" applyNumberFormat="0" applyBorder="0" applyAlignment="0" applyProtection="0"/>
    <xf numFmtId="0" fontId="11" fillId="7" borderId="0" applyNumberFormat="0" applyBorder="0" applyAlignment="0" applyProtection="0"/>
    <xf numFmtId="0" fontId="11" fillId="14" borderId="0" applyNumberFormat="0" applyBorder="0" applyAlignment="0" applyProtection="0"/>
    <xf numFmtId="0" fontId="10" fillId="42" borderId="0" applyNumberFormat="0" applyBorder="0" applyAlignment="0" applyProtection="0"/>
    <xf numFmtId="0" fontId="10" fillId="42" borderId="0" applyNumberFormat="0" applyBorder="0" applyAlignment="0" applyProtection="0"/>
    <xf numFmtId="0" fontId="11" fillId="43" borderId="0" applyNumberFormat="0" applyBorder="0" applyAlignment="0" applyProtection="0"/>
    <xf numFmtId="0" fontId="11" fillId="41" borderId="0" applyNumberFormat="0" applyBorder="0" applyAlignment="0" applyProtection="0"/>
    <xf numFmtId="0" fontId="10" fillId="44" borderId="0" applyNumberFormat="0" applyBorder="0" applyAlignment="0" applyProtection="0"/>
    <xf numFmtId="0" fontId="10" fillId="45" borderId="0" applyNumberFormat="0" applyBorder="0" applyAlignment="0" applyProtection="0"/>
    <xf numFmtId="0" fontId="11" fillId="46" borderId="0" applyNumberFormat="0" applyBorder="0" applyAlignment="0" applyProtection="0"/>
    <xf numFmtId="0" fontId="10" fillId="44" borderId="0" applyNumberFormat="0" applyBorder="0" applyAlignment="0" applyProtection="0"/>
    <xf numFmtId="0" fontId="10" fillId="47" borderId="0" applyNumberFormat="0" applyBorder="0" applyAlignment="0" applyProtection="0"/>
    <xf numFmtId="0" fontId="11" fillId="45" borderId="0" applyNumberFormat="0" applyBorder="0" applyAlignment="0" applyProtection="0"/>
    <xf numFmtId="0" fontId="10" fillId="42" borderId="0" applyNumberFormat="0" applyBorder="0" applyAlignment="0" applyProtection="0"/>
    <xf numFmtId="0" fontId="10" fillId="45" borderId="0" applyNumberFormat="0" applyBorder="0" applyAlignment="0" applyProtection="0"/>
    <xf numFmtId="0" fontId="11" fillId="45" borderId="0" applyNumberFormat="0" applyBorder="0" applyAlignment="0" applyProtection="0"/>
    <xf numFmtId="0" fontId="10" fillId="48" borderId="0" applyNumberFormat="0" applyBorder="0" applyAlignment="0" applyProtection="0"/>
    <xf numFmtId="0" fontId="10" fillId="42" borderId="0" applyNumberFormat="0" applyBorder="0" applyAlignment="0" applyProtection="0"/>
    <xf numFmtId="0" fontId="11" fillId="43" borderId="0" applyNumberFormat="0" applyBorder="0" applyAlignment="0" applyProtection="0"/>
    <xf numFmtId="0" fontId="11" fillId="41" borderId="0" applyNumberFormat="0" applyBorder="0" applyAlignment="0" applyProtection="0"/>
    <xf numFmtId="0" fontId="10" fillId="44" borderId="0" applyNumberFormat="0" applyBorder="0" applyAlignment="0" applyProtection="0"/>
    <xf numFmtId="0" fontId="10" fillId="49" borderId="0" applyNumberFormat="0" applyBorder="0" applyAlignment="0" applyProtection="0"/>
    <xf numFmtId="0" fontId="11" fillId="49" borderId="0" applyNumberFormat="0" applyBorder="0" applyAlignment="0" applyProtection="0"/>
    <xf numFmtId="0" fontId="13" fillId="31" borderId="2" applyNumberFormat="0" applyAlignment="0" applyProtection="0"/>
    <xf numFmtId="0" fontId="67" fillId="0" borderId="0"/>
    <xf numFmtId="0" fontId="14" fillId="21" borderId="29" applyNumberFormat="0" applyAlignment="0" applyProtection="0"/>
    <xf numFmtId="0" fontId="81" fillId="50" borderId="0"/>
    <xf numFmtId="0" fontId="87" fillId="0" borderId="30" applyNumberFormat="0" applyFill="0" applyAlignment="0" applyProtection="0"/>
    <xf numFmtId="0" fontId="88" fillId="0" borderId="6" applyNumberFormat="0" applyFill="0" applyAlignment="0" applyProtection="0"/>
    <xf numFmtId="0" fontId="89" fillId="0" borderId="31" applyNumberFormat="0" applyFill="0" applyAlignment="0" applyProtection="0"/>
    <xf numFmtId="0" fontId="89" fillId="0" borderId="0" applyNumberFormat="0" applyFill="0" applyBorder="0" applyAlignment="0" applyProtection="0"/>
    <xf numFmtId="0" fontId="90" fillId="7" borderId="2" applyNumberFormat="0" applyAlignment="0" applyProtection="0"/>
    <xf numFmtId="0" fontId="82" fillId="0" borderId="0"/>
    <xf numFmtId="0" fontId="83" fillId="27" borderId="0"/>
    <xf numFmtId="0" fontId="66" fillId="40" borderId="0"/>
    <xf numFmtId="0" fontId="84" fillId="0" borderId="0"/>
    <xf numFmtId="0" fontId="27" fillId="31" borderId="32" applyNumberFormat="0" applyAlignment="0" applyProtection="0"/>
    <xf numFmtId="0" fontId="78" fillId="51" borderId="0"/>
    <xf numFmtId="0" fontId="56" fillId="0" borderId="0" applyNumberFormat="0" applyFill="0" applyBorder="0" applyAlignment="0" applyProtection="0"/>
    <xf numFmtId="0" fontId="92" fillId="0" borderId="0">
      <alignment vertical="center"/>
    </xf>
    <xf numFmtId="0" fontId="77" fillId="0" borderId="0" applyNumberFormat="0" applyFill="0" applyBorder="0" applyProtection="0"/>
    <xf numFmtId="0" fontId="77" fillId="0" borderId="0" applyNumberFormat="0" applyFill="0" applyBorder="0" applyProtection="0"/>
    <xf numFmtId="0" fontId="77" fillId="0" borderId="0" applyNumberFormat="0" applyFill="0" applyBorder="0" applyProtection="0"/>
    <xf numFmtId="0" fontId="78" fillId="51" borderId="0" applyNumberFormat="0" applyBorder="0" applyProtection="0"/>
    <xf numFmtId="0" fontId="47" fillId="40" borderId="0" applyNumberFormat="0" applyBorder="0" applyProtection="0"/>
    <xf numFmtId="0" fontId="37" fillId="0" borderId="0" applyNumberFormat="0" applyFill="0" applyBorder="0" applyProtection="0"/>
    <xf numFmtId="0" fontId="37" fillId="0" borderId="0" applyNumberFormat="0" applyFill="0" applyBorder="0" applyProtection="0"/>
    <xf numFmtId="0" fontId="37" fillId="0" borderId="0" applyNumberFormat="0" applyFill="0" applyBorder="0" applyProtection="0"/>
    <xf numFmtId="0" fontId="47" fillId="0" borderId="0" applyNumberFormat="0" applyFill="0" applyBorder="0" applyProtection="0"/>
    <xf numFmtId="0" fontId="79" fillId="0" borderId="0" applyNumberFormat="0" applyFill="0" applyBorder="0" applyProtection="0"/>
    <xf numFmtId="0" fontId="47" fillId="0" borderId="0" applyNumberFormat="0" applyFill="0" applyBorder="0" applyProtection="0">
      <alignment wrapText="1"/>
    </xf>
    <xf numFmtId="0" fontId="80" fillId="0" borderId="0" applyNumberFormat="0" applyFill="0" applyBorder="0" applyProtection="0"/>
    <xf numFmtId="0" fontId="85" fillId="0" borderId="0"/>
    <xf numFmtId="0" fontId="86" fillId="0" borderId="0"/>
    <xf numFmtId="0" fontId="47" fillId="0" borderId="0">
      <alignment vertical="top"/>
    </xf>
    <xf numFmtId="0" fontId="79" fillId="0" borderId="0"/>
    <xf numFmtId="0" fontId="37" fillId="0" borderId="0">
      <alignment vertical="top"/>
    </xf>
    <xf numFmtId="0" fontId="91" fillId="0" borderId="0" applyNumberFormat="0" applyFill="0" applyBorder="0" applyAlignment="0" applyProtection="0"/>
    <xf numFmtId="0" fontId="77" fillId="0" borderId="0">
      <alignment vertical="top"/>
    </xf>
    <xf numFmtId="0" fontId="47" fillId="0" borderId="0">
      <alignment wrapText="1"/>
    </xf>
    <xf numFmtId="0" fontId="4" fillId="0" borderId="0"/>
    <xf numFmtId="9" fontId="1" fillId="0" borderId="0" applyFont="0" applyFill="0" applyBorder="0" applyAlignment="0" applyProtection="0"/>
    <xf numFmtId="43" fontId="1" fillId="0" borderId="0" applyFont="0" applyFill="0" applyBorder="0" applyAlignment="0" applyProtection="0"/>
    <xf numFmtId="0" fontId="8" fillId="0" borderId="0"/>
    <xf numFmtId="0" fontId="101" fillId="0" borderId="0" applyNumberFormat="0" applyFill="0" applyBorder="0" applyAlignment="0" applyProtection="0"/>
  </cellStyleXfs>
  <cellXfs count="251">
    <xf numFmtId="0" fontId="0" fillId="0" borderId="0" xfId="0"/>
    <xf numFmtId="0" fontId="2" fillId="0" borderId="0" xfId="0" applyFont="1"/>
    <xf numFmtId="0" fontId="0" fillId="0" borderId="0" xfId="0" applyAlignment="1">
      <alignment horizontal="left"/>
    </xf>
    <xf numFmtId="0" fontId="0" fillId="0" borderId="0" xfId="0" applyAlignment="1">
      <alignment horizontal="right"/>
    </xf>
    <xf numFmtId="0" fontId="4" fillId="25" borderId="0" xfId="0" applyFont="1" applyFill="1"/>
    <xf numFmtId="49" fontId="32" fillId="25" borderId="0" xfId="0" quotePrefix="1" applyNumberFormat="1" applyFont="1" applyFill="1" applyAlignment="1">
      <alignment horizontal="left"/>
    </xf>
    <xf numFmtId="0" fontId="4" fillId="0" borderId="28" xfId="0" applyFont="1" applyBorder="1" applyAlignment="1">
      <alignment vertical="center"/>
    </xf>
    <xf numFmtId="0" fontId="74" fillId="0" borderId="0" xfId="0" applyFont="1"/>
    <xf numFmtId="0" fontId="75" fillId="0" borderId="0" xfId="0" applyFont="1"/>
    <xf numFmtId="0" fontId="76" fillId="0" borderId="28" xfId="0" applyFont="1" applyBorder="1" applyAlignment="1">
      <alignment horizontal="left" vertical="center"/>
    </xf>
    <xf numFmtId="0" fontId="0" fillId="0" borderId="0" xfId="0" quotePrefix="1"/>
    <xf numFmtId="2" fontId="2" fillId="0" borderId="0" xfId="0" quotePrefix="1" applyNumberFormat="1" applyFont="1"/>
    <xf numFmtId="0" fontId="2" fillId="0" borderId="0" xfId="0" quotePrefix="1" applyFont="1"/>
    <xf numFmtId="0" fontId="0" fillId="0" borderId="0" xfId="0" quotePrefix="1" applyAlignment="1">
      <alignment horizontal="left"/>
    </xf>
    <xf numFmtId="1" fontId="47" fillId="0" borderId="0" xfId="3795" quotePrefix="1" applyNumberFormat="1" applyFont="1" applyAlignment="1">
      <alignment horizontal="left" vertical="top"/>
    </xf>
    <xf numFmtId="3" fontId="0" fillId="0" borderId="0" xfId="0" applyNumberFormat="1" applyAlignment="1">
      <alignment horizontal="right"/>
    </xf>
    <xf numFmtId="0" fontId="4" fillId="0" borderId="0" xfId="3799"/>
    <xf numFmtId="0" fontId="4" fillId="0" borderId="0" xfId="0" applyFont="1"/>
    <xf numFmtId="0" fontId="4" fillId="0" borderId="0" xfId="0" applyFont="1" applyAlignment="1">
      <alignment vertical="center"/>
    </xf>
    <xf numFmtId="0" fontId="0" fillId="0" borderId="28" xfId="0" applyBorder="1"/>
    <xf numFmtId="0" fontId="0" fillId="0" borderId="28" xfId="0" applyBorder="1" applyAlignment="1">
      <alignment horizontal="left"/>
    </xf>
    <xf numFmtId="0" fontId="0" fillId="0" borderId="28" xfId="0" applyBorder="1" applyAlignment="1">
      <alignment horizontal="right"/>
    </xf>
    <xf numFmtId="4" fontId="0" fillId="0" borderId="0" xfId="0" applyNumberFormat="1" applyAlignment="1">
      <alignment horizontal="right"/>
    </xf>
    <xf numFmtId="14" fontId="0" fillId="0" borderId="0" xfId="0" applyNumberFormat="1" applyAlignment="1">
      <alignment horizontal="right"/>
    </xf>
    <xf numFmtId="175" fontId="0" fillId="0" borderId="0" xfId="0" applyNumberFormat="1" applyAlignment="1">
      <alignment horizontal="right"/>
    </xf>
    <xf numFmtId="0" fontId="94" fillId="0" borderId="0" xfId="0" applyFont="1"/>
    <xf numFmtId="0" fontId="4" fillId="0" borderId="28" xfId="0" applyFont="1" applyBorder="1" applyAlignment="1">
      <alignment horizontal="right" vertical="center"/>
    </xf>
    <xf numFmtId="176" fontId="0" fillId="0" borderId="0" xfId="0" applyNumberFormat="1" applyAlignment="1">
      <alignment horizontal="right"/>
    </xf>
    <xf numFmtId="0" fontId="6" fillId="0" borderId="28" xfId="0" applyFont="1" applyBorder="1" applyAlignment="1">
      <alignment vertical="center"/>
    </xf>
    <xf numFmtId="38" fontId="0" fillId="0" borderId="0" xfId="3801" applyNumberFormat="1" applyFont="1" applyBorder="1" applyAlignment="1">
      <alignment horizontal="right"/>
    </xf>
    <xf numFmtId="176" fontId="2" fillId="0" borderId="0" xfId="3801" applyNumberFormat="1" applyFont="1" applyAlignment="1">
      <alignment horizontal="right"/>
    </xf>
    <xf numFmtId="178" fontId="0" fillId="0" borderId="0" xfId="3801" applyNumberFormat="1" applyFont="1"/>
    <xf numFmtId="178" fontId="0" fillId="0" borderId="0" xfId="3801" applyNumberFormat="1" applyFont="1" applyAlignment="1">
      <alignment horizontal="right"/>
    </xf>
    <xf numFmtId="0" fontId="0" fillId="0" borderId="37" xfId="0" applyBorder="1"/>
    <xf numFmtId="0" fontId="0" fillId="0" borderId="38" xfId="0" applyBorder="1"/>
    <xf numFmtId="0" fontId="0" fillId="0" borderId="39" xfId="0" applyBorder="1"/>
    <xf numFmtId="0" fontId="0" fillId="0" borderId="15" xfId="0" applyBorder="1"/>
    <xf numFmtId="0" fontId="0" fillId="0" borderId="1" xfId="0" applyBorder="1"/>
    <xf numFmtId="0" fontId="0" fillId="0" borderId="40" xfId="0" applyBorder="1"/>
    <xf numFmtId="0" fontId="0" fillId="53" borderId="37" xfId="0" applyFill="1" applyBorder="1"/>
    <xf numFmtId="0" fontId="0" fillId="53" borderId="39" xfId="0" applyFill="1" applyBorder="1"/>
    <xf numFmtId="0" fontId="0" fillId="53" borderId="15" xfId="0" applyFill="1" applyBorder="1"/>
    <xf numFmtId="0" fontId="0" fillId="53" borderId="25" xfId="0" applyFill="1" applyBorder="1" applyAlignment="1">
      <alignment horizontal="right"/>
    </xf>
    <xf numFmtId="0" fontId="0" fillId="53" borderId="14" xfId="0" applyFill="1" applyBorder="1"/>
    <xf numFmtId="14" fontId="6" fillId="0" borderId="28" xfId="0" applyNumberFormat="1" applyFont="1" applyBorder="1" applyAlignment="1">
      <alignment horizontal="right" vertical="center"/>
    </xf>
    <xf numFmtId="40" fontId="0" fillId="0" borderId="0" xfId="0" applyNumberFormat="1" applyAlignment="1">
      <alignment horizontal="right"/>
    </xf>
    <xf numFmtId="0" fontId="96" fillId="0" borderId="0" xfId="0" applyFont="1"/>
    <xf numFmtId="0" fontId="4" fillId="0" borderId="0" xfId="269" applyFont="1"/>
    <xf numFmtId="0" fontId="4" fillId="0" borderId="0" xfId="269" applyFont="1" applyAlignment="1">
      <alignment horizontal="right"/>
    </xf>
    <xf numFmtId="0" fontId="7" fillId="0" borderId="0" xfId="269" applyFont="1"/>
    <xf numFmtId="0" fontId="63" fillId="0" borderId="41" xfId="269" applyFont="1" applyBorder="1" applyAlignment="1">
      <alignment horizontal="left"/>
    </xf>
    <xf numFmtId="0" fontId="4" fillId="0" borderId="41" xfId="269" applyFont="1" applyBorder="1" applyAlignment="1">
      <alignment horizontal="centerContinuous"/>
    </xf>
    <xf numFmtId="0" fontId="4" fillId="0" borderId="41" xfId="269" applyFont="1" applyBorder="1" applyAlignment="1">
      <alignment horizontal="right"/>
    </xf>
    <xf numFmtId="0" fontId="4" fillId="0" borderId="41" xfId="269" applyFont="1" applyBorder="1"/>
    <xf numFmtId="0" fontId="94" fillId="0" borderId="0" xfId="269" applyFont="1" applyAlignment="1">
      <alignment horizontal="left" vertical="top"/>
    </xf>
    <xf numFmtId="0" fontId="4" fillId="0" borderId="0" xfId="269" applyFont="1" applyAlignment="1">
      <alignment horizontal="centerContinuous"/>
    </xf>
    <xf numFmtId="0" fontId="95" fillId="0" borderId="0" xfId="269" applyFont="1" applyAlignment="1">
      <alignment horizontal="left"/>
    </xf>
    <xf numFmtId="0" fontId="97" fillId="54" borderId="0" xfId="269" applyFont="1" applyFill="1" applyAlignment="1">
      <alignment horizontal="left"/>
    </xf>
    <xf numFmtId="0" fontId="97" fillId="54" borderId="0" xfId="269" applyFont="1" applyFill="1" applyAlignment="1">
      <alignment horizontal="right"/>
    </xf>
    <xf numFmtId="0" fontId="96" fillId="54" borderId="0" xfId="269" applyFont="1" applyFill="1" applyAlignment="1">
      <alignment horizontal="right"/>
    </xf>
    <xf numFmtId="0" fontId="4" fillId="54" borderId="0" xfId="269" applyFont="1" applyFill="1" applyAlignment="1">
      <alignment horizontal="right"/>
    </xf>
    <xf numFmtId="0" fontId="96" fillId="54" borderId="0" xfId="269" applyFont="1" applyFill="1" applyAlignment="1">
      <alignment horizontal="left"/>
    </xf>
    <xf numFmtId="0" fontId="6" fillId="0" borderId="0" xfId="269" applyFont="1"/>
    <xf numFmtId="38" fontId="4" fillId="0" borderId="0" xfId="269" applyNumberFormat="1" applyFont="1" applyAlignment="1">
      <alignment horizontal="right"/>
    </xf>
    <xf numFmtId="179" fontId="6" fillId="0" borderId="0" xfId="269" applyNumberFormat="1" applyFont="1" applyAlignment="1">
      <alignment horizontal="left" indent="1"/>
    </xf>
    <xf numFmtId="0" fontId="96" fillId="54" borderId="0" xfId="269" applyFont="1" applyFill="1" applyAlignment="1">
      <alignment horizontal="left" indent="8"/>
    </xf>
    <xf numFmtId="180" fontId="4" fillId="0" borderId="0" xfId="269" applyNumberFormat="1" applyFont="1"/>
    <xf numFmtId="0" fontId="96" fillId="54" borderId="0" xfId="269" applyFont="1" applyFill="1" applyAlignment="1">
      <alignment horizontal="right" indent="1"/>
    </xf>
    <xf numFmtId="180" fontId="6" fillId="0" borderId="0" xfId="269" applyNumberFormat="1" applyFont="1" applyAlignment="1">
      <alignment horizontal="centerContinuous"/>
    </xf>
    <xf numFmtId="181" fontId="4" fillId="0" borderId="0" xfId="269" applyNumberFormat="1" applyFont="1"/>
    <xf numFmtId="179" fontId="4" fillId="0" borderId="0" xfId="269" applyNumberFormat="1" applyFont="1"/>
    <xf numFmtId="179" fontId="6" fillId="0" borderId="0" xfId="269" applyNumberFormat="1" applyFont="1"/>
    <xf numFmtId="180" fontId="6" fillId="0" borderId="0" xfId="269" applyNumberFormat="1" applyFont="1"/>
    <xf numFmtId="38" fontId="6" fillId="0" borderId="0" xfId="269" applyNumberFormat="1" applyFont="1" applyAlignment="1">
      <alignment horizontal="right"/>
    </xf>
    <xf numFmtId="40" fontId="4" fillId="0" borderId="0" xfId="269" applyNumberFormat="1" applyFont="1" applyAlignment="1">
      <alignment horizontal="right"/>
    </xf>
    <xf numFmtId="37" fontId="4" fillId="0" borderId="0" xfId="269" applyNumberFormat="1" applyFont="1" applyAlignment="1">
      <alignment horizontal="right"/>
    </xf>
    <xf numFmtId="180" fontId="4" fillId="0" borderId="0" xfId="269" applyNumberFormat="1" applyFont="1" applyAlignment="1">
      <alignment horizontal="right"/>
    </xf>
    <xf numFmtId="179" fontId="4" fillId="0" borderId="0" xfId="269" applyNumberFormat="1" applyFont="1" applyAlignment="1">
      <alignment horizontal="right"/>
    </xf>
    <xf numFmtId="40" fontId="4" fillId="0" borderId="0" xfId="269" applyNumberFormat="1" applyFont="1"/>
    <xf numFmtId="182" fontId="4" fillId="0" borderId="0" xfId="269" applyNumberFormat="1" applyFont="1" applyAlignment="1">
      <alignment horizontal="right"/>
    </xf>
    <xf numFmtId="7" fontId="4" fillId="0" borderId="0" xfId="269" applyNumberFormat="1" applyFont="1"/>
    <xf numFmtId="183" fontId="4" fillId="0" borderId="0" xfId="269" applyNumberFormat="1" applyFont="1" applyAlignment="1">
      <alignment horizontal="right"/>
    </xf>
    <xf numFmtId="183" fontId="4" fillId="0" borderId="0" xfId="269" applyNumberFormat="1" applyFont="1" applyAlignment="1">
      <alignment horizontal="right" wrapText="1"/>
    </xf>
    <xf numFmtId="38" fontId="4" fillId="0" borderId="0" xfId="269" applyNumberFormat="1" applyFont="1"/>
    <xf numFmtId="3" fontId="4" fillId="0" borderId="0" xfId="269" applyNumberFormat="1" applyFont="1"/>
    <xf numFmtId="38" fontId="0" fillId="0" borderId="0" xfId="0" applyNumberFormat="1" applyAlignment="1">
      <alignment horizontal="right"/>
    </xf>
    <xf numFmtId="14" fontId="96" fillId="0" borderId="0" xfId="0" applyNumberFormat="1" applyFont="1" applyAlignment="1">
      <alignment horizontal="right"/>
    </xf>
    <xf numFmtId="38" fontId="2" fillId="0" borderId="0" xfId="0" applyNumberFormat="1" applyFont="1" applyAlignment="1">
      <alignment horizontal="right"/>
    </xf>
    <xf numFmtId="0" fontId="98" fillId="0" borderId="0" xfId="0" applyFont="1"/>
    <xf numFmtId="0" fontId="98" fillId="54" borderId="0" xfId="269" applyFont="1" applyFill="1" applyAlignment="1">
      <alignment horizontal="left"/>
    </xf>
    <xf numFmtId="0" fontId="2" fillId="0" borderId="0" xfId="0" applyFont="1" applyAlignment="1">
      <alignment horizontal="left" indent="1"/>
    </xf>
    <xf numFmtId="0" fontId="4" fillId="0" borderId="0" xfId="269" applyFont="1" applyAlignment="1">
      <alignment horizontal="left"/>
    </xf>
    <xf numFmtId="0" fontId="6" fillId="0" borderId="0" xfId="0" applyFont="1"/>
    <xf numFmtId="184" fontId="0" fillId="0" borderId="0" xfId="0" applyNumberFormat="1" applyAlignment="1">
      <alignment horizontal="right"/>
    </xf>
    <xf numFmtId="0" fontId="2" fillId="0" borderId="0" xfId="0" applyFont="1" applyAlignment="1">
      <alignment horizontal="left"/>
    </xf>
    <xf numFmtId="0" fontId="6" fillId="0" borderId="0" xfId="269" applyFont="1" applyAlignment="1">
      <alignment horizontal="left"/>
    </xf>
    <xf numFmtId="0" fontId="0" fillId="0" borderId="42" xfId="0" applyBorder="1" applyAlignment="1">
      <alignment horizontal="right"/>
    </xf>
    <xf numFmtId="0" fontId="4" fillId="0" borderId="42" xfId="3802" applyFont="1" applyBorder="1"/>
    <xf numFmtId="0" fontId="0" fillId="0" borderId="42" xfId="0" applyBorder="1"/>
    <xf numFmtId="0" fontId="4" fillId="0" borderId="0" xfId="3802" applyFont="1"/>
    <xf numFmtId="0" fontId="4" fillId="0" borderId="41" xfId="269" applyFont="1" applyBorder="1" applyAlignment="1">
      <alignment horizontal="left"/>
    </xf>
    <xf numFmtId="0" fontId="4" fillId="54" borderId="0" xfId="269" applyFont="1" applyFill="1" applyAlignment="1">
      <alignment horizontal="left"/>
    </xf>
    <xf numFmtId="40" fontId="0" fillId="0" borderId="0" xfId="0" applyNumberFormat="1"/>
    <xf numFmtId="0" fontId="0" fillId="0" borderId="42" xfId="0" applyBorder="1" applyAlignment="1">
      <alignment horizontal="left"/>
    </xf>
    <xf numFmtId="0" fontId="7" fillId="0" borderId="0" xfId="269" applyFont="1" applyAlignment="1">
      <alignment horizontal="right"/>
    </xf>
    <xf numFmtId="0" fontId="0" fillId="0" borderId="0" xfId="0" applyAlignment="1">
      <alignment horizontal="right" wrapText="1"/>
    </xf>
    <xf numFmtId="0" fontId="6" fillId="0" borderId="0" xfId="269" applyFont="1" applyAlignment="1">
      <alignment horizontal="left" vertical="top"/>
    </xf>
    <xf numFmtId="14" fontId="6" fillId="0" borderId="0" xfId="269" applyNumberFormat="1" applyFont="1" applyAlignment="1">
      <alignment horizontal="right"/>
    </xf>
    <xf numFmtId="0" fontId="4" fillId="0" borderId="43" xfId="3802" applyFont="1" applyBorder="1"/>
    <xf numFmtId="0" fontId="0" fillId="0" borderId="43" xfId="0" applyBorder="1"/>
    <xf numFmtId="40" fontId="1" fillId="0" borderId="0" xfId="3800" applyNumberFormat="1" applyFont="1" applyAlignment="1">
      <alignment horizontal="right"/>
    </xf>
    <xf numFmtId="38" fontId="2" fillId="0" borderId="0" xfId="3801" applyNumberFormat="1" applyFont="1" applyAlignment="1">
      <alignment horizontal="right"/>
    </xf>
    <xf numFmtId="38" fontId="0" fillId="0" borderId="15" xfId="3801" applyNumberFormat="1" applyFont="1" applyBorder="1"/>
    <xf numFmtId="38" fontId="0" fillId="0" borderId="14" xfId="3801" applyNumberFormat="1" applyFont="1" applyBorder="1"/>
    <xf numFmtId="38" fontId="0" fillId="0" borderId="14" xfId="3801" applyNumberFormat="1" applyFont="1" applyBorder="1" applyAlignment="1">
      <alignment horizontal="right"/>
    </xf>
    <xf numFmtId="177" fontId="0" fillId="0" borderId="0" xfId="3800" applyNumberFormat="1" applyFont="1" applyAlignment="1">
      <alignment horizontal="right"/>
    </xf>
    <xf numFmtId="177" fontId="0" fillId="0" borderId="0" xfId="0" applyNumberFormat="1" applyAlignment="1">
      <alignment horizontal="right"/>
    </xf>
    <xf numFmtId="40" fontId="2" fillId="0" borderId="0" xfId="0" applyNumberFormat="1" applyFont="1" applyAlignment="1">
      <alignment horizontal="right"/>
    </xf>
    <xf numFmtId="0" fontId="0" fillId="0" borderId="43" xfId="0" applyBorder="1" applyAlignment="1">
      <alignment horizontal="right"/>
    </xf>
    <xf numFmtId="0" fontId="6" fillId="0" borderId="41" xfId="269" applyFont="1" applyBorder="1" applyAlignment="1">
      <alignment horizontal="right"/>
    </xf>
    <xf numFmtId="0" fontId="63" fillId="0" borderId="28" xfId="0" applyFont="1" applyBorder="1" applyAlignment="1">
      <alignment vertical="center"/>
    </xf>
    <xf numFmtId="0" fontId="93" fillId="52" borderId="35" xfId="0" applyFont="1" applyFill="1" applyBorder="1" applyAlignment="1">
      <alignment horizontal="center" vertical="center"/>
    </xf>
    <xf numFmtId="0" fontId="37" fillId="0" borderId="0" xfId="0" applyFont="1"/>
    <xf numFmtId="0" fontId="0" fillId="0" borderId="0" xfId="0" applyAlignment="1">
      <alignment horizontal="right" indent="1"/>
    </xf>
    <xf numFmtId="0" fontId="76" fillId="0" borderId="28" xfId="0" applyFont="1" applyBorder="1" applyAlignment="1">
      <alignment vertical="center"/>
    </xf>
    <xf numFmtId="0" fontId="96" fillId="0" borderId="0" xfId="0" applyFont="1" applyAlignment="1">
      <alignment horizontal="right"/>
    </xf>
    <xf numFmtId="4" fontId="4" fillId="0" borderId="14" xfId="0" applyNumberFormat="1" applyFont="1" applyBorder="1" applyAlignment="1">
      <alignment horizontal="left"/>
    </xf>
    <xf numFmtId="0" fontId="6" fillId="0" borderId="1" xfId="0" applyFont="1" applyBorder="1"/>
    <xf numFmtId="4" fontId="4" fillId="0" borderId="0" xfId="0" applyNumberFormat="1" applyFont="1" applyAlignment="1">
      <alignment horizontal="left"/>
    </xf>
    <xf numFmtId="4" fontId="4" fillId="0" borderId="0" xfId="0" quotePrefix="1" applyNumberFormat="1" applyFont="1" applyAlignment="1">
      <alignment horizontal="left"/>
    </xf>
    <xf numFmtId="180" fontId="4" fillId="0" borderId="0" xfId="269" applyNumberFormat="1" applyFont="1" applyAlignment="1">
      <alignment horizontal="left"/>
    </xf>
    <xf numFmtId="0" fontId="6" fillId="0" borderId="0" xfId="3785" applyFont="1" applyAlignment="1">
      <alignment horizontal="left"/>
    </xf>
    <xf numFmtId="0" fontId="96" fillId="54" borderId="1" xfId="269" applyFont="1" applyFill="1" applyBorder="1" applyAlignment="1">
      <alignment horizontal="left"/>
    </xf>
    <xf numFmtId="0" fontId="99" fillId="0" borderId="0" xfId="0" applyFont="1"/>
    <xf numFmtId="0" fontId="100" fillId="0" borderId="0" xfId="0" applyFont="1"/>
    <xf numFmtId="4" fontId="4" fillId="0" borderId="0" xfId="0" applyNumberFormat="1" applyFont="1"/>
    <xf numFmtId="4" fontId="4" fillId="0" borderId="45" xfId="0" quotePrefix="1" applyNumberFormat="1" applyFont="1" applyBorder="1" applyAlignment="1">
      <alignment horizontal="left"/>
    </xf>
    <xf numFmtId="4" fontId="4" fillId="0" borderId="1" xfId="0" applyNumberFormat="1" applyFont="1" applyBorder="1" applyAlignment="1">
      <alignment horizontal="left"/>
    </xf>
    <xf numFmtId="4" fontId="4" fillId="0" borderId="44" xfId="0" applyNumberFormat="1" applyFont="1" applyBorder="1" applyAlignment="1">
      <alignment horizontal="left"/>
    </xf>
    <xf numFmtId="4" fontId="4" fillId="0" borderId="45" xfId="0" applyNumberFormat="1" applyFont="1" applyBorder="1" applyAlignment="1">
      <alignment horizontal="left"/>
    </xf>
    <xf numFmtId="4" fontId="4" fillId="0" borderId="40" xfId="0" applyNumberFormat="1" applyFont="1" applyBorder="1" applyAlignment="1">
      <alignment horizontal="left"/>
    </xf>
    <xf numFmtId="4" fontId="4" fillId="0" borderId="10" xfId="0" applyNumberFormat="1" applyFont="1" applyBorder="1" applyAlignment="1">
      <alignment horizontal="left"/>
    </xf>
    <xf numFmtId="4" fontId="4" fillId="0" borderId="46" xfId="0" applyNumberFormat="1" applyFont="1" applyBorder="1" applyAlignment="1">
      <alignment horizontal="left"/>
    </xf>
    <xf numFmtId="4" fontId="4" fillId="0" borderId="47" xfId="0" applyNumberFormat="1" applyFont="1" applyBorder="1" applyAlignment="1">
      <alignment horizontal="left"/>
    </xf>
    <xf numFmtId="4" fontId="4" fillId="0" borderId="48" xfId="0" applyNumberFormat="1" applyFont="1" applyBorder="1" applyAlignment="1">
      <alignment horizontal="left"/>
    </xf>
    <xf numFmtId="4" fontId="4" fillId="0" borderId="48" xfId="0" quotePrefix="1" applyNumberFormat="1" applyFont="1" applyBorder="1" applyAlignment="1">
      <alignment horizontal="left"/>
    </xf>
    <xf numFmtId="4" fontId="4" fillId="0" borderId="49" xfId="0" applyNumberFormat="1" applyFont="1" applyBorder="1" applyAlignment="1">
      <alignment horizontal="left"/>
    </xf>
    <xf numFmtId="4" fontId="4" fillId="0" borderId="50" xfId="0" applyNumberFormat="1" applyFont="1" applyBorder="1" applyAlignment="1">
      <alignment horizontal="left"/>
    </xf>
    <xf numFmtId="4" fontId="4" fillId="0" borderId="50" xfId="0" quotePrefix="1" applyNumberFormat="1" applyFont="1" applyBorder="1" applyAlignment="1">
      <alignment horizontal="left"/>
    </xf>
    <xf numFmtId="4" fontId="4" fillId="0" borderId="51" xfId="0" applyNumberFormat="1" applyFont="1" applyBorder="1" applyAlignment="1">
      <alignment horizontal="left"/>
    </xf>
    <xf numFmtId="4" fontId="4" fillId="0" borderId="52" xfId="0" applyNumberFormat="1" applyFont="1" applyBorder="1" applyAlignment="1">
      <alignment horizontal="left"/>
    </xf>
    <xf numFmtId="4" fontId="4" fillId="0" borderId="52" xfId="0" quotePrefix="1" applyNumberFormat="1" applyFont="1" applyBorder="1" applyAlignment="1">
      <alignment horizontal="left"/>
    </xf>
    <xf numFmtId="4" fontId="4" fillId="0" borderId="15" xfId="0" applyNumberFormat="1" applyFont="1" applyBorder="1" applyAlignment="1">
      <alignment horizontal="left"/>
    </xf>
    <xf numFmtId="4" fontId="4" fillId="0" borderId="53" xfId="0" applyNumberFormat="1" applyFont="1" applyBorder="1" applyAlignment="1">
      <alignment horizontal="left"/>
    </xf>
    <xf numFmtId="0" fontId="6" fillId="0" borderId="39" xfId="0" applyFont="1" applyBorder="1"/>
    <xf numFmtId="0" fontId="6" fillId="0" borderId="15" xfId="0" applyFont="1" applyBorder="1"/>
    <xf numFmtId="0" fontId="6" fillId="0" borderId="14" xfId="0" applyFont="1" applyBorder="1"/>
    <xf numFmtId="0" fontId="2" fillId="0" borderId="28" xfId="0" applyFont="1" applyBorder="1"/>
    <xf numFmtId="0" fontId="96" fillId="54" borderId="28" xfId="269" applyFont="1" applyFill="1" applyBorder="1" applyAlignment="1">
      <alignment horizontal="left"/>
    </xf>
    <xf numFmtId="38" fontId="0" fillId="0" borderId="28" xfId="3801" applyNumberFormat="1" applyFont="1" applyBorder="1" applyAlignment="1">
      <alignment horizontal="right"/>
    </xf>
    <xf numFmtId="38" fontId="2" fillId="0" borderId="54" xfId="0" applyNumberFormat="1" applyFont="1" applyBorder="1" applyAlignment="1">
      <alignment horizontal="right"/>
    </xf>
    <xf numFmtId="38" fontId="2" fillId="0" borderId="55" xfId="0" applyNumberFormat="1" applyFont="1" applyBorder="1" applyAlignment="1">
      <alignment horizontal="right"/>
    </xf>
    <xf numFmtId="14" fontId="6" fillId="0" borderId="34" xfId="269" applyNumberFormat="1" applyFont="1" applyBorder="1" applyAlignment="1">
      <alignment horizontal="right"/>
    </xf>
    <xf numFmtId="180" fontId="6" fillId="0" borderId="28" xfId="269" applyNumberFormat="1" applyFont="1" applyBorder="1" applyAlignment="1">
      <alignment horizontal="centerContinuous"/>
    </xf>
    <xf numFmtId="38" fontId="6" fillId="0" borderId="55" xfId="269" applyNumberFormat="1" applyFont="1" applyBorder="1" applyAlignment="1">
      <alignment horizontal="right"/>
    </xf>
    <xf numFmtId="38" fontId="6" fillId="0" borderId="54" xfId="269" applyNumberFormat="1" applyFont="1" applyBorder="1" applyAlignment="1">
      <alignment horizontal="right"/>
    </xf>
    <xf numFmtId="38" fontId="4" fillId="0" borderId="28" xfId="269" applyNumberFormat="1" applyFont="1" applyBorder="1" applyAlignment="1">
      <alignment horizontal="right"/>
    </xf>
    <xf numFmtId="14" fontId="6" fillId="0" borderId="28" xfId="269" applyNumberFormat="1" applyFont="1" applyBorder="1" applyAlignment="1">
      <alignment horizontal="right"/>
    </xf>
    <xf numFmtId="38" fontId="6" fillId="0" borderId="0" xfId="269" applyNumberFormat="1" applyFont="1" applyAlignment="1">
      <alignment horizontal="centerContinuous"/>
    </xf>
    <xf numFmtId="38" fontId="4" fillId="0" borderId="54" xfId="269" applyNumberFormat="1" applyFont="1" applyBorder="1" applyAlignment="1">
      <alignment horizontal="right"/>
    </xf>
    <xf numFmtId="14" fontId="2" fillId="0" borderId="28" xfId="0" applyNumberFormat="1" applyFont="1" applyBorder="1" applyAlignment="1">
      <alignment horizontal="right"/>
    </xf>
    <xf numFmtId="14" fontId="6" fillId="0" borderId="54" xfId="269" applyNumberFormat="1" applyFont="1" applyBorder="1" applyAlignment="1">
      <alignment horizontal="right"/>
    </xf>
    <xf numFmtId="38" fontId="98" fillId="0" borderId="28" xfId="3801" applyNumberFormat="1" applyFont="1" applyBorder="1" applyAlignment="1">
      <alignment horizontal="right"/>
    </xf>
    <xf numFmtId="38" fontId="0" fillId="0" borderId="28" xfId="0" applyNumberFormat="1" applyBorder="1" applyAlignment="1">
      <alignment horizontal="right"/>
    </xf>
    <xf numFmtId="0" fontId="0" fillId="0" borderId="28" xfId="0" quotePrefix="1" applyBorder="1"/>
    <xf numFmtId="38" fontId="2" fillId="0" borderId="55" xfId="0" applyNumberFormat="1" applyFont="1" applyBorder="1" applyAlignment="1">
      <alignment horizontal="left"/>
    </xf>
    <xf numFmtId="0" fontId="96" fillId="54" borderId="55" xfId="269" applyFont="1" applyFill="1" applyBorder="1" applyAlignment="1">
      <alignment horizontal="left"/>
    </xf>
    <xf numFmtId="38" fontId="2" fillId="0" borderId="55" xfId="0" applyNumberFormat="1" applyFont="1" applyBorder="1"/>
    <xf numFmtId="177" fontId="0" fillId="0" borderId="28" xfId="0" applyNumberFormat="1" applyBorder="1" applyAlignment="1">
      <alignment horizontal="right"/>
    </xf>
    <xf numFmtId="0" fontId="47" fillId="0" borderId="0" xfId="0" applyFont="1"/>
    <xf numFmtId="0" fontId="47" fillId="0" borderId="28" xfId="0" applyFont="1" applyBorder="1"/>
    <xf numFmtId="40" fontId="0" fillId="0" borderId="28" xfId="0" applyNumberFormat="1" applyBorder="1" applyAlignment="1">
      <alignment horizontal="right"/>
    </xf>
    <xf numFmtId="0" fontId="0" fillId="0" borderId="1" xfId="0" applyBorder="1" applyAlignment="1">
      <alignment horizontal="left"/>
    </xf>
    <xf numFmtId="3" fontId="6" fillId="0" borderId="0" xfId="269" applyNumberFormat="1" applyFont="1" applyAlignment="1">
      <alignment horizontal="right"/>
    </xf>
    <xf numFmtId="0" fontId="4" fillId="0" borderId="1" xfId="269" applyFont="1" applyBorder="1"/>
    <xf numFmtId="0" fontId="96" fillId="54" borderId="1" xfId="269" applyFont="1" applyFill="1" applyBorder="1" applyAlignment="1">
      <alignment horizontal="right"/>
    </xf>
    <xf numFmtId="38" fontId="4" fillId="0" borderId="1" xfId="269" applyNumberFormat="1" applyFont="1" applyBorder="1" applyAlignment="1">
      <alignment horizontal="right" wrapText="1"/>
    </xf>
    <xf numFmtId="177" fontId="4" fillId="0" borderId="0" xfId="269" applyNumberFormat="1" applyFont="1" applyAlignment="1">
      <alignment horizontal="right"/>
    </xf>
    <xf numFmtId="3" fontId="4" fillId="0" borderId="0" xfId="269" applyNumberFormat="1" applyFont="1" applyAlignment="1">
      <alignment horizontal="right"/>
    </xf>
    <xf numFmtId="4" fontId="4" fillId="0" borderId="0" xfId="269" applyNumberFormat="1" applyFont="1" applyAlignment="1">
      <alignment horizontal="right"/>
    </xf>
    <xf numFmtId="0" fontId="94" fillId="0" borderId="0" xfId="0" applyFont="1" applyAlignment="1">
      <alignment horizontal="left" indent="1"/>
    </xf>
    <xf numFmtId="0" fontId="4" fillId="0" borderId="0" xfId="269" applyFont="1" applyAlignment="1">
      <alignment wrapText="1"/>
    </xf>
    <xf numFmtId="0" fontId="0" fillId="25" borderId="0" xfId="0" quotePrefix="1" applyFill="1" applyAlignment="1">
      <alignment horizontal="left"/>
    </xf>
    <xf numFmtId="0" fontId="64" fillId="25" borderId="0" xfId="0" applyFont="1" applyFill="1" applyAlignment="1">
      <alignment horizontal="right"/>
    </xf>
    <xf numFmtId="0" fontId="94" fillId="0" borderId="0" xfId="0" applyFont="1" applyAlignment="1">
      <alignment horizontal="center"/>
    </xf>
    <xf numFmtId="0" fontId="94" fillId="0" borderId="0" xfId="0" applyFont="1" applyAlignment="1">
      <alignment horizontal="left" indent="4"/>
    </xf>
    <xf numFmtId="0" fontId="0" fillId="0" borderId="0" xfId="0" applyAlignment="1">
      <alignment horizontal="left" indent="4"/>
    </xf>
    <xf numFmtId="14" fontId="96" fillId="54" borderId="0" xfId="269" applyNumberFormat="1" applyFont="1" applyFill="1" applyAlignment="1">
      <alignment horizontal="left"/>
    </xf>
    <xf numFmtId="14" fontId="0" fillId="0" borderId="0" xfId="0" applyNumberFormat="1"/>
    <xf numFmtId="0" fontId="74" fillId="25" borderId="0" xfId="0" applyFont="1" applyFill="1" applyAlignment="1">
      <alignment horizontal="left"/>
    </xf>
    <xf numFmtId="0" fontId="0" fillId="25" borderId="0" xfId="0" applyFill="1" applyAlignment="1">
      <alignment horizontal="left"/>
    </xf>
    <xf numFmtId="0" fontId="0" fillId="0" borderId="56" xfId="0" applyBorder="1"/>
    <xf numFmtId="16" fontId="0" fillId="0" borderId="0" xfId="0" applyNumberFormat="1"/>
    <xf numFmtId="0" fontId="4" fillId="0" borderId="53" xfId="0" applyFont="1" applyBorder="1"/>
    <xf numFmtId="0" fontId="4" fillId="0" borderId="10" xfId="0" applyFont="1" applyBorder="1"/>
    <xf numFmtId="0" fontId="4" fillId="0" borderId="46" xfId="0" applyFont="1" applyBorder="1"/>
    <xf numFmtId="0" fontId="4" fillId="0" borderId="14" xfId="0" applyFont="1" applyBorder="1"/>
    <xf numFmtId="14" fontId="93" fillId="52" borderId="35" xfId="0" applyNumberFormat="1" applyFont="1" applyFill="1" applyBorder="1" applyAlignment="1">
      <alignment horizontal="center" vertical="center"/>
    </xf>
    <xf numFmtId="0" fontId="94" fillId="0" borderId="0" xfId="0" applyFont="1" applyAlignment="1">
      <alignment horizontal="left" vertical="top" indent="1"/>
    </xf>
    <xf numFmtId="14" fontId="96" fillId="54" borderId="0" xfId="269" applyNumberFormat="1" applyFont="1" applyFill="1" applyAlignment="1">
      <alignment horizontal="right"/>
    </xf>
    <xf numFmtId="1" fontId="0" fillId="0" borderId="0" xfId="0" applyNumberFormat="1" applyAlignment="1">
      <alignment horizontal="right"/>
    </xf>
    <xf numFmtId="185" fontId="0" fillId="0" borderId="0" xfId="0" applyNumberFormat="1" applyAlignment="1">
      <alignment horizontal="right"/>
    </xf>
    <xf numFmtId="1" fontId="0" fillId="0" borderId="0" xfId="0" applyNumberFormat="1"/>
    <xf numFmtId="3" fontId="0" fillId="0" borderId="15" xfId="0" applyNumberFormat="1" applyBorder="1"/>
    <xf numFmtId="0" fontId="2" fillId="0" borderId="37" xfId="0" applyFont="1" applyBorder="1"/>
    <xf numFmtId="0" fontId="2" fillId="0" borderId="39" xfId="0" applyFont="1" applyBorder="1"/>
    <xf numFmtId="0" fontId="2" fillId="0" borderId="15" xfId="0" applyFont="1" applyBorder="1"/>
    <xf numFmtId="0" fontId="0" fillId="0" borderId="57" xfId="0" applyBorder="1"/>
    <xf numFmtId="0" fontId="0" fillId="55" borderId="57" xfId="0" applyFill="1" applyBorder="1"/>
    <xf numFmtId="177" fontId="2" fillId="0" borderId="54" xfId="0" applyNumberFormat="1" applyFont="1" applyBorder="1" applyAlignment="1">
      <alignment horizontal="right"/>
    </xf>
    <xf numFmtId="176" fontId="2" fillId="0" borderId="54" xfId="0" applyNumberFormat="1" applyFont="1" applyBorder="1" applyAlignment="1">
      <alignment horizontal="right"/>
    </xf>
    <xf numFmtId="0" fontId="4" fillId="0" borderId="58" xfId="3802" applyFont="1" applyBorder="1" applyAlignment="1">
      <alignment horizontal="left"/>
    </xf>
    <xf numFmtId="0" fontId="0" fillId="0" borderId="58" xfId="0" applyBorder="1" applyAlignment="1">
      <alignment horizontal="left"/>
    </xf>
    <xf numFmtId="0" fontId="0" fillId="0" borderId="58" xfId="0" applyBorder="1"/>
    <xf numFmtId="0" fontId="4" fillId="0" borderId="58" xfId="3802" applyFont="1" applyBorder="1"/>
    <xf numFmtId="0" fontId="4" fillId="25" borderId="0" xfId="87" applyFill="1" applyAlignment="1">
      <alignment horizontal="left" indent="1"/>
    </xf>
    <xf numFmtId="0" fontId="101" fillId="25" borderId="0" xfId="3803" applyFill="1" applyAlignment="1" applyProtection="1"/>
    <xf numFmtId="0" fontId="102" fillId="0" borderId="0" xfId="0" applyFont="1" applyAlignment="1">
      <alignment horizontal="right"/>
    </xf>
    <xf numFmtId="4" fontId="2" fillId="0" borderId="0" xfId="0" applyNumberFormat="1" applyFont="1" applyAlignment="1">
      <alignment horizontal="right"/>
    </xf>
    <xf numFmtId="4" fontId="0" fillId="0" borderId="34" xfId="0" applyNumberFormat="1" applyBorder="1" applyAlignment="1">
      <alignment horizontal="right"/>
    </xf>
    <xf numFmtId="4" fontId="6" fillId="0" borderId="28" xfId="269" applyNumberFormat="1" applyFont="1" applyBorder="1" applyAlignment="1">
      <alignment horizontal="right"/>
    </xf>
    <xf numFmtId="3" fontId="6" fillId="0" borderId="28" xfId="269" applyNumberFormat="1" applyFont="1" applyBorder="1" applyAlignment="1">
      <alignment horizontal="right"/>
    </xf>
    <xf numFmtId="3" fontId="4" fillId="0" borderId="28" xfId="269" applyNumberFormat="1" applyFont="1" applyBorder="1" applyAlignment="1">
      <alignment horizontal="right"/>
    </xf>
    <xf numFmtId="3" fontId="0" fillId="0" borderId="28" xfId="0" applyNumberFormat="1" applyBorder="1" applyAlignment="1">
      <alignment horizontal="right"/>
    </xf>
    <xf numFmtId="3" fontId="2" fillId="0" borderId="28" xfId="0" applyNumberFormat="1" applyFont="1" applyBorder="1" applyAlignment="1">
      <alignment horizontal="right"/>
    </xf>
    <xf numFmtId="168" fontId="0" fillId="0" borderId="0" xfId="3800" applyNumberFormat="1" applyFont="1" applyFill="1" applyBorder="1" applyAlignment="1">
      <alignment horizontal="right"/>
    </xf>
    <xf numFmtId="168" fontId="103" fillId="0" borderId="0" xfId="94" applyNumberFormat="1" applyFont="1" applyFill="1" applyBorder="1" applyAlignment="1">
      <alignment horizontal="right"/>
    </xf>
    <xf numFmtId="0" fontId="2" fillId="0" borderId="0" xfId="3693" applyFont="1" applyAlignment="1">
      <alignment horizontal="left"/>
    </xf>
    <xf numFmtId="168" fontId="2" fillId="0" borderId="0" xfId="3800" applyNumberFormat="1" applyFont="1"/>
    <xf numFmtId="0" fontId="103" fillId="0" borderId="0" xfId="3693" applyFont="1" applyAlignment="1">
      <alignment horizontal="right"/>
    </xf>
    <xf numFmtId="0" fontId="93" fillId="52" borderId="33" xfId="0" applyFont="1" applyFill="1" applyBorder="1" applyAlignment="1">
      <alignment horizontal="center" vertical="center"/>
    </xf>
    <xf numFmtId="0" fontId="93" fillId="52" borderId="36" xfId="0" applyFont="1" applyFill="1" applyBorder="1" applyAlignment="1">
      <alignment horizontal="center" vertical="center"/>
    </xf>
    <xf numFmtId="0" fontId="93" fillId="52" borderId="34" xfId="0" applyFont="1" applyFill="1" applyBorder="1" applyAlignment="1">
      <alignment horizontal="center" vertical="center"/>
    </xf>
    <xf numFmtId="4" fontId="0" fillId="0" borderId="33" xfId="0" applyNumberFormat="1" applyBorder="1" applyAlignment="1">
      <alignment horizontal="right"/>
    </xf>
    <xf numFmtId="4" fontId="0" fillId="0" borderId="34" xfId="0" applyNumberFormat="1" applyBorder="1" applyAlignment="1">
      <alignment horizontal="right"/>
    </xf>
    <xf numFmtId="4" fontId="0" fillId="0" borderId="36" xfId="0" applyNumberFormat="1" applyBorder="1" applyAlignment="1">
      <alignment horizontal="right"/>
    </xf>
    <xf numFmtId="0" fontId="94" fillId="0" borderId="28" xfId="0" applyFont="1" applyBorder="1" applyAlignment="1">
      <alignment horizontal="center"/>
    </xf>
    <xf numFmtId="0" fontId="4" fillId="0" borderId="0" xfId="269" applyFont="1" applyAlignment="1"/>
    <xf numFmtId="0" fontId="0" fillId="0" borderId="0" xfId="0" applyAlignment="1"/>
    <xf numFmtId="40" fontId="0" fillId="0" borderId="0" xfId="0" applyNumberFormat="1" applyAlignment="1"/>
    <xf numFmtId="184" fontId="0" fillId="0" borderId="0" xfId="0" applyNumberFormat="1" applyAlignment="1"/>
  </cellXfs>
  <cellStyles count="3804">
    <cellStyle name="_x000a_bidires=100_x000d_" xfId="2" xr:uid="{00000000-0005-0000-0000-000000000000}"/>
    <cellStyle name="_x000a_bidires=100_x000d_ 10" xfId="3" xr:uid="{00000000-0005-0000-0000-000001000000}"/>
    <cellStyle name="_x000a_bidires=100_x000d_ 11" xfId="4" xr:uid="{00000000-0005-0000-0000-000002000000}"/>
    <cellStyle name="_x000a_bidires=100_x000d_ 12" xfId="5" xr:uid="{00000000-0005-0000-0000-000003000000}"/>
    <cellStyle name="_x000a_bidires=100_x000d_ 13" xfId="6" xr:uid="{00000000-0005-0000-0000-000004000000}"/>
    <cellStyle name="_x000a_bidires=100_x000d_ 14" xfId="7" xr:uid="{00000000-0005-0000-0000-000005000000}"/>
    <cellStyle name="_x000a_bidires=100_x000d_ 15" xfId="8" xr:uid="{00000000-0005-0000-0000-000006000000}"/>
    <cellStyle name="_x000a_bidires=100_x000d_ 16" xfId="9" xr:uid="{00000000-0005-0000-0000-000007000000}"/>
    <cellStyle name="_x000a_bidires=100_x000d_ 17" xfId="10" xr:uid="{00000000-0005-0000-0000-000008000000}"/>
    <cellStyle name="_x000a_bidires=100_x000d_ 18" xfId="11" xr:uid="{00000000-0005-0000-0000-000009000000}"/>
    <cellStyle name="_x000a_bidires=100_x000d_ 19" xfId="12" xr:uid="{00000000-0005-0000-0000-00000A000000}"/>
    <cellStyle name="_x000a_bidires=100_x000d_ 2" xfId="13" xr:uid="{00000000-0005-0000-0000-00000B000000}"/>
    <cellStyle name="_x000a_bidires=100_x000d_ 2 2" xfId="326" xr:uid="{00000000-0005-0000-0000-00000C000000}"/>
    <cellStyle name="_x000a_bidires=100_x000d_ 3" xfId="14" xr:uid="{00000000-0005-0000-0000-00000D000000}"/>
    <cellStyle name="_x000a_bidires=100_x000d_ 4" xfId="15" xr:uid="{00000000-0005-0000-0000-00000E000000}"/>
    <cellStyle name="_x000a_bidires=100_x000d_ 5" xfId="16" xr:uid="{00000000-0005-0000-0000-00000F000000}"/>
    <cellStyle name="_x000a_bidires=100_x000d_ 6" xfId="17" xr:uid="{00000000-0005-0000-0000-000010000000}"/>
    <cellStyle name="_x000a_bidires=100_x000d_ 7" xfId="18" xr:uid="{00000000-0005-0000-0000-000011000000}"/>
    <cellStyle name="_x000a_bidires=100_x000d_ 8" xfId="19" xr:uid="{00000000-0005-0000-0000-000012000000}"/>
    <cellStyle name="_x000a_bidires=100_x000d_ 9" xfId="20" xr:uid="{00000000-0005-0000-0000-000013000000}"/>
    <cellStyle name="******************************************" xfId="21" xr:uid="{00000000-0005-0000-0000-000014000000}"/>
    <cellStyle name="20% - Accent1 10" xfId="453" xr:uid="{00000000-0005-0000-0000-000015000000}"/>
    <cellStyle name="20% - Accent1 10 10" xfId="454" xr:uid="{00000000-0005-0000-0000-000016000000}"/>
    <cellStyle name="20% - Accent1 10 11" xfId="455" xr:uid="{00000000-0005-0000-0000-000017000000}"/>
    <cellStyle name="20% - Accent1 10 12" xfId="456" xr:uid="{00000000-0005-0000-0000-000018000000}"/>
    <cellStyle name="20% - Accent1 10 13" xfId="457" xr:uid="{00000000-0005-0000-0000-000019000000}"/>
    <cellStyle name="20% - Accent1 10 14" xfId="458" xr:uid="{00000000-0005-0000-0000-00001A000000}"/>
    <cellStyle name="20% - Accent1 10 15" xfId="459" xr:uid="{00000000-0005-0000-0000-00001B000000}"/>
    <cellStyle name="20% - Accent1 10 16" xfId="460" xr:uid="{00000000-0005-0000-0000-00001C000000}"/>
    <cellStyle name="20% - Accent1 10 17" xfId="461" xr:uid="{00000000-0005-0000-0000-00001D000000}"/>
    <cellStyle name="20% - Accent1 10 18" xfId="462" xr:uid="{00000000-0005-0000-0000-00001E000000}"/>
    <cellStyle name="20% - Accent1 10 19" xfId="463" xr:uid="{00000000-0005-0000-0000-00001F000000}"/>
    <cellStyle name="20% - Accent1 10 2" xfId="464" xr:uid="{00000000-0005-0000-0000-000020000000}"/>
    <cellStyle name="20% - Accent1 10 20" xfId="465" xr:uid="{00000000-0005-0000-0000-000021000000}"/>
    <cellStyle name="20% - Accent1 10 21" xfId="466" xr:uid="{00000000-0005-0000-0000-000022000000}"/>
    <cellStyle name="20% - Accent1 10 22" xfId="467" xr:uid="{00000000-0005-0000-0000-000023000000}"/>
    <cellStyle name="20% - Accent1 10 23" xfId="468" xr:uid="{00000000-0005-0000-0000-000024000000}"/>
    <cellStyle name="20% - Accent1 10 24" xfId="469" xr:uid="{00000000-0005-0000-0000-000025000000}"/>
    <cellStyle name="20% - Accent1 10 25" xfId="470" xr:uid="{00000000-0005-0000-0000-000026000000}"/>
    <cellStyle name="20% - Accent1 10 26" xfId="471" xr:uid="{00000000-0005-0000-0000-000027000000}"/>
    <cellStyle name="20% - Accent1 10 27" xfId="472" xr:uid="{00000000-0005-0000-0000-000028000000}"/>
    <cellStyle name="20% - Accent1 10 28" xfId="473" xr:uid="{00000000-0005-0000-0000-000029000000}"/>
    <cellStyle name="20% - Accent1 10 29" xfId="474" xr:uid="{00000000-0005-0000-0000-00002A000000}"/>
    <cellStyle name="20% - Accent1 10 3" xfId="475" xr:uid="{00000000-0005-0000-0000-00002B000000}"/>
    <cellStyle name="20% - Accent1 10 30" xfId="476" xr:uid="{00000000-0005-0000-0000-00002C000000}"/>
    <cellStyle name="20% - Accent1 10 31" xfId="477" xr:uid="{00000000-0005-0000-0000-00002D000000}"/>
    <cellStyle name="20% - Accent1 10 32" xfId="478" xr:uid="{00000000-0005-0000-0000-00002E000000}"/>
    <cellStyle name="20% - Accent1 10 33" xfId="479" xr:uid="{00000000-0005-0000-0000-00002F000000}"/>
    <cellStyle name="20% - Accent1 10 34" xfId="480" xr:uid="{00000000-0005-0000-0000-000030000000}"/>
    <cellStyle name="20% - Accent1 10 35" xfId="481" xr:uid="{00000000-0005-0000-0000-000031000000}"/>
    <cellStyle name="20% - Accent1 10 36" xfId="482" xr:uid="{00000000-0005-0000-0000-000032000000}"/>
    <cellStyle name="20% - Accent1 10 37" xfId="483" xr:uid="{00000000-0005-0000-0000-000033000000}"/>
    <cellStyle name="20% - Accent1 10 38" xfId="484" xr:uid="{00000000-0005-0000-0000-000034000000}"/>
    <cellStyle name="20% - Accent1 10 39" xfId="485" xr:uid="{00000000-0005-0000-0000-000035000000}"/>
    <cellStyle name="20% - Accent1 10 4" xfId="486" xr:uid="{00000000-0005-0000-0000-000036000000}"/>
    <cellStyle name="20% - Accent1 10 40" xfId="487" xr:uid="{00000000-0005-0000-0000-000037000000}"/>
    <cellStyle name="20% - Accent1 10 41" xfId="488" xr:uid="{00000000-0005-0000-0000-000038000000}"/>
    <cellStyle name="20% - Accent1 10 5" xfId="489" xr:uid="{00000000-0005-0000-0000-000039000000}"/>
    <cellStyle name="20% - Accent1 10 6" xfId="490" xr:uid="{00000000-0005-0000-0000-00003A000000}"/>
    <cellStyle name="20% - Accent1 10 7" xfId="491" xr:uid="{00000000-0005-0000-0000-00003B000000}"/>
    <cellStyle name="20% - Accent1 10 8" xfId="492" xr:uid="{00000000-0005-0000-0000-00003C000000}"/>
    <cellStyle name="20% - Accent1 10 9" xfId="493" xr:uid="{00000000-0005-0000-0000-00003D000000}"/>
    <cellStyle name="20% - Accent1 11" xfId="494" xr:uid="{00000000-0005-0000-0000-00003E000000}"/>
    <cellStyle name="20% - Accent1 11 10" xfId="495" xr:uid="{00000000-0005-0000-0000-00003F000000}"/>
    <cellStyle name="20% - Accent1 11 11" xfId="496" xr:uid="{00000000-0005-0000-0000-000040000000}"/>
    <cellStyle name="20% - Accent1 11 12" xfId="497" xr:uid="{00000000-0005-0000-0000-000041000000}"/>
    <cellStyle name="20% - Accent1 11 13" xfId="498" xr:uid="{00000000-0005-0000-0000-000042000000}"/>
    <cellStyle name="20% - Accent1 11 14" xfId="499" xr:uid="{00000000-0005-0000-0000-000043000000}"/>
    <cellStyle name="20% - Accent1 11 15" xfId="500" xr:uid="{00000000-0005-0000-0000-000044000000}"/>
    <cellStyle name="20% - Accent1 11 16" xfId="501" xr:uid="{00000000-0005-0000-0000-000045000000}"/>
    <cellStyle name="20% - Accent1 11 17" xfId="502" xr:uid="{00000000-0005-0000-0000-000046000000}"/>
    <cellStyle name="20% - Accent1 11 18" xfId="503" xr:uid="{00000000-0005-0000-0000-000047000000}"/>
    <cellStyle name="20% - Accent1 11 19" xfId="504" xr:uid="{00000000-0005-0000-0000-000048000000}"/>
    <cellStyle name="20% - Accent1 11 2" xfId="505" xr:uid="{00000000-0005-0000-0000-000049000000}"/>
    <cellStyle name="20% - Accent1 11 20" xfId="506" xr:uid="{00000000-0005-0000-0000-00004A000000}"/>
    <cellStyle name="20% - Accent1 11 21" xfId="507" xr:uid="{00000000-0005-0000-0000-00004B000000}"/>
    <cellStyle name="20% - Accent1 11 22" xfId="508" xr:uid="{00000000-0005-0000-0000-00004C000000}"/>
    <cellStyle name="20% - Accent1 11 23" xfId="509" xr:uid="{00000000-0005-0000-0000-00004D000000}"/>
    <cellStyle name="20% - Accent1 11 24" xfId="510" xr:uid="{00000000-0005-0000-0000-00004E000000}"/>
    <cellStyle name="20% - Accent1 11 25" xfId="511" xr:uid="{00000000-0005-0000-0000-00004F000000}"/>
    <cellStyle name="20% - Accent1 11 26" xfId="512" xr:uid="{00000000-0005-0000-0000-000050000000}"/>
    <cellStyle name="20% - Accent1 11 27" xfId="513" xr:uid="{00000000-0005-0000-0000-000051000000}"/>
    <cellStyle name="20% - Accent1 11 28" xfId="514" xr:uid="{00000000-0005-0000-0000-000052000000}"/>
    <cellStyle name="20% - Accent1 11 29" xfId="515" xr:uid="{00000000-0005-0000-0000-000053000000}"/>
    <cellStyle name="20% - Accent1 11 3" xfId="516" xr:uid="{00000000-0005-0000-0000-000054000000}"/>
    <cellStyle name="20% - Accent1 11 30" xfId="517" xr:uid="{00000000-0005-0000-0000-000055000000}"/>
    <cellStyle name="20% - Accent1 11 31" xfId="518" xr:uid="{00000000-0005-0000-0000-000056000000}"/>
    <cellStyle name="20% - Accent1 11 32" xfId="519" xr:uid="{00000000-0005-0000-0000-000057000000}"/>
    <cellStyle name="20% - Accent1 11 33" xfId="520" xr:uid="{00000000-0005-0000-0000-000058000000}"/>
    <cellStyle name="20% - Accent1 11 34" xfId="521" xr:uid="{00000000-0005-0000-0000-000059000000}"/>
    <cellStyle name="20% - Accent1 11 35" xfId="522" xr:uid="{00000000-0005-0000-0000-00005A000000}"/>
    <cellStyle name="20% - Accent1 11 36" xfId="523" xr:uid="{00000000-0005-0000-0000-00005B000000}"/>
    <cellStyle name="20% - Accent1 11 37" xfId="524" xr:uid="{00000000-0005-0000-0000-00005C000000}"/>
    <cellStyle name="20% - Accent1 11 38" xfId="525" xr:uid="{00000000-0005-0000-0000-00005D000000}"/>
    <cellStyle name="20% - Accent1 11 39" xfId="526" xr:uid="{00000000-0005-0000-0000-00005E000000}"/>
    <cellStyle name="20% - Accent1 11 4" xfId="527" xr:uid="{00000000-0005-0000-0000-00005F000000}"/>
    <cellStyle name="20% - Accent1 11 40" xfId="528" xr:uid="{00000000-0005-0000-0000-000060000000}"/>
    <cellStyle name="20% - Accent1 11 41" xfId="529" xr:uid="{00000000-0005-0000-0000-000061000000}"/>
    <cellStyle name="20% - Accent1 11 5" xfId="530" xr:uid="{00000000-0005-0000-0000-000062000000}"/>
    <cellStyle name="20% - Accent1 11 6" xfId="531" xr:uid="{00000000-0005-0000-0000-000063000000}"/>
    <cellStyle name="20% - Accent1 11 7" xfId="532" xr:uid="{00000000-0005-0000-0000-000064000000}"/>
    <cellStyle name="20% - Accent1 11 8" xfId="533" xr:uid="{00000000-0005-0000-0000-000065000000}"/>
    <cellStyle name="20% - Accent1 11 9" xfId="534" xr:uid="{00000000-0005-0000-0000-000066000000}"/>
    <cellStyle name="20% - Accent1 12" xfId="535" xr:uid="{00000000-0005-0000-0000-000067000000}"/>
    <cellStyle name="20% - Accent1 12 10" xfId="536" xr:uid="{00000000-0005-0000-0000-000068000000}"/>
    <cellStyle name="20% - Accent1 12 11" xfId="537" xr:uid="{00000000-0005-0000-0000-000069000000}"/>
    <cellStyle name="20% - Accent1 12 12" xfId="538" xr:uid="{00000000-0005-0000-0000-00006A000000}"/>
    <cellStyle name="20% - Accent1 12 13" xfId="539" xr:uid="{00000000-0005-0000-0000-00006B000000}"/>
    <cellStyle name="20% - Accent1 12 14" xfId="540" xr:uid="{00000000-0005-0000-0000-00006C000000}"/>
    <cellStyle name="20% - Accent1 12 15" xfId="541" xr:uid="{00000000-0005-0000-0000-00006D000000}"/>
    <cellStyle name="20% - Accent1 12 16" xfId="542" xr:uid="{00000000-0005-0000-0000-00006E000000}"/>
    <cellStyle name="20% - Accent1 12 17" xfId="543" xr:uid="{00000000-0005-0000-0000-00006F000000}"/>
    <cellStyle name="20% - Accent1 12 18" xfId="544" xr:uid="{00000000-0005-0000-0000-000070000000}"/>
    <cellStyle name="20% - Accent1 12 19" xfId="545" xr:uid="{00000000-0005-0000-0000-000071000000}"/>
    <cellStyle name="20% - Accent1 12 2" xfId="546" xr:uid="{00000000-0005-0000-0000-000072000000}"/>
    <cellStyle name="20% - Accent1 12 20" xfId="547" xr:uid="{00000000-0005-0000-0000-000073000000}"/>
    <cellStyle name="20% - Accent1 12 21" xfId="548" xr:uid="{00000000-0005-0000-0000-000074000000}"/>
    <cellStyle name="20% - Accent1 12 22" xfId="549" xr:uid="{00000000-0005-0000-0000-000075000000}"/>
    <cellStyle name="20% - Accent1 12 23" xfId="550" xr:uid="{00000000-0005-0000-0000-000076000000}"/>
    <cellStyle name="20% - Accent1 12 24" xfId="551" xr:uid="{00000000-0005-0000-0000-000077000000}"/>
    <cellStyle name="20% - Accent1 12 25" xfId="552" xr:uid="{00000000-0005-0000-0000-000078000000}"/>
    <cellStyle name="20% - Accent1 12 26" xfId="553" xr:uid="{00000000-0005-0000-0000-000079000000}"/>
    <cellStyle name="20% - Accent1 12 27" xfId="554" xr:uid="{00000000-0005-0000-0000-00007A000000}"/>
    <cellStyle name="20% - Accent1 12 28" xfId="555" xr:uid="{00000000-0005-0000-0000-00007B000000}"/>
    <cellStyle name="20% - Accent1 12 29" xfId="556" xr:uid="{00000000-0005-0000-0000-00007C000000}"/>
    <cellStyle name="20% - Accent1 12 3" xfId="557" xr:uid="{00000000-0005-0000-0000-00007D000000}"/>
    <cellStyle name="20% - Accent1 12 30" xfId="558" xr:uid="{00000000-0005-0000-0000-00007E000000}"/>
    <cellStyle name="20% - Accent1 12 31" xfId="559" xr:uid="{00000000-0005-0000-0000-00007F000000}"/>
    <cellStyle name="20% - Accent1 12 32" xfId="560" xr:uid="{00000000-0005-0000-0000-000080000000}"/>
    <cellStyle name="20% - Accent1 12 33" xfId="561" xr:uid="{00000000-0005-0000-0000-000081000000}"/>
    <cellStyle name="20% - Accent1 12 34" xfId="562" xr:uid="{00000000-0005-0000-0000-000082000000}"/>
    <cellStyle name="20% - Accent1 12 35" xfId="563" xr:uid="{00000000-0005-0000-0000-000083000000}"/>
    <cellStyle name="20% - Accent1 12 36" xfId="564" xr:uid="{00000000-0005-0000-0000-000084000000}"/>
    <cellStyle name="20% - Accent1 12 37" xfId="565" xr:uid="{00000000-0005-0000-0000-000085000000}"/>
    <cellStyle name="20% - Accent1 12 38" xfId="566" xr:uid="{00000000-0005-0000-0000-000086000000}"/>
    <cellStyle name="20% - Accent1 12 39" xfId="567" xr:uid="{00000000-0005-0000-0000-000087000000}"/>
    <cellStyle name="20% - Accent1 12 4" xfId="568" xr:uid="{00000000-0005-0000-0000-000088000000}"/>
    <cellStyle name="20% - Accent1 12 40" xfId="569" xr:uid="{00000000-0005-0000-0000-000089000000}"/>
    <cellStyle name="20% - Accent1 12 41" xfId="570" xr:uid="{00000000-0005-0000-0000-00008A000000}"/>
    <cellStyle name="20% - Accent1 12 5" xfId="571" xr:uid="{00000000-0005-0000-0000-00008B000000}"/>
    <cellStyle name="20% - Accent1 12 6" xfId="572" xr:uid="{00000000-0005-0000-0000-00008C000000}"/>
    <cellStyle name="20% - Accent1 12 7" xfId="573" xr:uid="{00000000-0005-0000-0000-00008D000000}"/>
    <cellStyle name="20% - Accent1 12 8" xfId="574" xr:uid="{00000000-0005-0000-0000-00008E000000}"/>
    <cellStyle name="20% - Accent1 12 9" xfId="575" xr:uid="{00000000-0005-0000-0000-00008F000000}"/>
    <cellStyle name="20% - Accent1 13" xfId="576" xr:uid="{00000000-0005-0000-0000-000090000000}"/>
    <cellStyle name="20% - Accent1 14" xfId="577" xr:uid="{00000000-0005-0000-0000-000091000000}"/>
    <cellStyle name="20% - Accent1 14 2" xfId="578" xr:uid="{00000000-0005-0000-0000-000092000000}"/>
    <cellStyle name="20% - Accent1 15" xfId="579" xr:uid="{00000000-0005-0000-0000-000093000000}"/>
    <cellStyle name="20% - Accent1 16" xfId="3727" xr:uid="{00000000-0005-0000-0000-000094000000}"/>
    <cellStyle name="20% - Accent1 2" xfId="22" xr:uid="{00000000-0005-0000-0000-000095000000}"/>
    <cellStyle name="20% - Accent1 2 10" xfId="580" xr:uid="{00000000-0005-0000-0000-000096000000}"/>
    <cellStyle name="20% - Accent1 2 11" xfId="581" xr:uid="{00000000-0005-0000-0000-000097000000}"/>
    <cellStyle name="20% - Accent1 2 12" xfId="582" xr:uid="{00000000-0005-0000-0000-000098000000}"/>
    <cellStyle name="20% - Accent1 2 13" xfId="583" xr:uid="{00000000-0005-0000-0000-000099000000}"/>
    <cellStyle name="20% - Accent1 2 14" xfId="584" xr:uid="{00000000-0005-0000-0000-00009A000000}"/>
    <cellStyle name="20% - Accent1 2 15" xfId="585" xr:uid="{00000000-0005-0000-0000-00009B000000}"/>
    <cellStyle name="20% - Accent1 2 16" xfId="586" xr:uid="{00000000-0005-0000-0000-00009C000000}"/>
    <cellStyle name="20% - Accent1 2 17" xfId="587" xr:uid="{00000000-0005-0000-0000-00009D000000}"/>
    <cellStyle name="20% - Accent1 2 18" xfId="588" xr:uid="{00000000-0005-0000-0000-00009E000000}"/>
    <cellStyle name="20% - Accent1 2 19" xfId="589" xr:uid="{00000000-0005-0000-0000-00009F000000}"/>
    <cellStyle name="20% - Accent1 2 2" xfId="329" xr:uid="{00000000-0005-0000-0000-0000A0000000}"/>
    <cellStyle name="20% - Accent1 2 2 2" xfId="590" xr:uid="{00000000-0005-0000-0000-0000A1000000}"/>
    <cellStyle name="20% - Accent1 2 2 2 2" xfId="591" xr:uid="{00000000-0005-0000-0000-0000A2000000}"/>
    <cellStyle name="20% - Accent1 2 2 3" xfId="592" xr:uid="{00000000-0005-0000-0000-0000A3000000}"/>
    <cellStyle name="20% - Accent1 2 2 4" xfId="593" xr:uid="{00000000-0005-0000-0000-0000A4000000}"/>
    <cellStyle name="20% - Accent1 2 2 5" xfId="594" xr:uid="{00000000-0005-0000-0000-0000A5000000}"/>
    <cellStyle name="20% - Accent1 2 20" xfId="595" xr:uid="{00000000-0005-0000-0000-0000A6000000}"/>
    <cellStyle name="20% - Accent1 2 21" xfId="596" xr:uid="{00000000-0005-0000-0000-0000A7000000}"/>
    <cellStyle name="20% - Accent1 2 22" xfId="597" xr:uid="{00000000-0005-0000-0000-0000A8000000}"/>
    <cellStyle name="20% - Accent1 2 23" xfId="598" xr:uid="{00000000-0005-0000-0000-0000A9000000}"/>
    <cellStyle name="20% - Accent1 2 24" xfId="599" xr:uid="{00000000-0005-0000-0000-0000AA000000}"/>
    <cellStyle name="20% - Accent1 2 25" xfId="600" xr:uid="{00000000-0005-0000-0000-0000AB000000}"/>
    <cellStyle name="20% - Accent1 2 26" xfId="601" xr:uid="{00000000-0005-0000-0000-0000AC000000}"/>
    <cellStyle name="20% - Accent1 2 27" xfId="602" xr:uid="{00000000-0005-0000-0000-0000AD000000}"/>
    <cellStyle name="20% - Accent1 2 28" xfId="603" xr:uid="{00000000-0005-0000-0000-0000AE000000}"/>
    <cellStyle name="20% - Accent1 2 29" xfId="604" xr:uid="{00000000-0005-0000-0000-0000AF000000}"/>
    <cellStyle name="20% - Accent1 2 3" xfId="328" xr:uid="{00000000-0005-0000-0000-0000B0000000}"/>
    <cellStyle name="20% - Accent1 2 3 2" xfId="606" xr:uid="{00000000-0005-0000-0000-0000B1000000}"/>
    <cellStyle name="20% - Accent1 2 3 3" xfId="607" xr:uid="{00000000-0005-0000-0000-0000B2000000}"/>
    <cellStyle name="20% - Accent1 2 3 4" xfId="608" xr:uid="{00000000-0005-0000-0000-0000B3000000}"/>
    <cellStyle name="20% - Accent1 2 3 5" xfId="609" xr:uid="{00000000-0005-0000-0000-0000B4000000}"/>
    <cellStyle name="20% - Accent1 2 3 6" xfId="610" xr:uid="{00000000-0005-0000-0000-0000B5000000}"/>
    <cellStyle name="20% - Accent1 2 3 7" xfId="605" xr:uid="{00000000-0005-0000-0000-0000B6000000}"/>
    <cellStyle name="20% - Accent1 2 30" xfId="611" xr:uid="{00000000-0005-0000-0000-0000B7000000}"/>
    <cellStyle name="20% - Accent1 2 31" xfId="612" xr:uid="{00000000-0005-0000-0000-0000B8000000}"/>
    <cellStyle name="20% - Accent1 2 32" xfId="613" xr:uid="{00000000-0005-0000-0000-0000B9000000}"/>
    <cellStyle name="20% - Accent1 2 33" xfId="614" xr:uid="{00000000-0005-0000-0000-0000BA000000}"/>
    <cellStyle name="20% - Accent1 2 34" xfId="615" xr:uid="{00000000-0005-0000-0000-0000BB000000}"/>
    <cellStyle name="20% - Accent1 2 35" xfId="616" xr:uid="{00000000-0005-0000-0000-0000BC000000}"/>
    <cellStyle name="20% - Accent1 2 36" xfId="617" xr:uid="{00000000-0005-0000-0000-0000BD000000}"/>
    <cellStyle name="20% - Accent1 2 37" xfId="618" xr:uid="{00000000-0005-0000-0000-0000BE000000}"/>
    <cellStyle name="20% - Accent1 2 38" xfId="619" xr:uid="{00000000-0005-0000-0000-0000BF000000}"/>
    <cellStyle name="20% - Accent1 2 39" xfId="620" xr:uid="{00000000-0005-0000-0000-0000C0000000}"/>
    <cellStyle name="20% - Accent1 2 4" xfId="621" xr:uid="{00000000-0005-0000-0000-0000C1000000}"/>
    <cellStyle name="20% - Accent1 2 40" xfId="622" xr:uid="{00000000-0005-0000-0000-0000C2000000}"/>
    <cellStyle name="20% - Accent1 2 41" xfId="623" xr:uid="{00000000-0005-0000-0000-0000C3000000}"/>
    <cellStyle name="20% - Accent1 2 42" xfId="624" xr:uid="{00000000-0005-0000-0000-0000C4000000}"/>
    <cellStyle name="20% - Accent1 2 43" xfId="625" xr:uid="{00000000-0005-0000-0000-0000C5000000}"/>
    <cellStyle name="20% - Accent1 2 44" xfId="626" xr:uid="{00000000-0005-0000-0000-0000C6000000}"/>
    <cellStyle name="20% - Accent1 2 45" xfId="627" xr:uid="{00000000-0005-0000-0000-0000C7000000}"/>
    <cellStyle name="20% - Accent1 2 5" xfId="628" xr:uid="{00000000-0005-0000-0000-0000C8000000}"/>
    <cellStyle name="20% - Accent1 2 6" xfId="629" xr:uid="{00000000-0005-0000-0000-0000C9000000}"/>
    <cellStyle name="20% - Accent1 2 7" xfId="630" xr:uid="{00000000-0005-0000-0000-0000CA000000}"/>
    <cellStyle name="20% - Accent1 2 8" xfId="631" xr:uid="{00000000-0005-0000-0000-0000CB000000}"/>
    <cellStyle name="20% - Accent1 2 9" xfId="632" xr:uid="{00000000-0005-0000-0000-0000CC000000}"/>
    <cellStyle name="20% - Accent1 2_SNL_BankReg_UBPR_v1_CustomPeers" xfId="633" xr:uid="{00000000-0005-0000-0000-0000CD000000}"/>
    <cellStyle name="20% - Accent1 3" xfId="327" xr:uid="{00000000-0005-0000-0000-0000CE000000}"/>
    <cellStyle name="20% - Accent1 3 10" xfId="635" xr:uid="{00000000-0005-0000-0000-0000CF000000}"/>
    <cellStyle name="20% - Accent1 3 11" xfId="636" xr:uid="{00000000-0005-0000-0000-0000D0000000}"/>
    <cellStyle name="20% - Accent1 3 12" xfId="637" xr:uid="{00000000-0005-0000-0000-0000D1000000}"/>
    <cellStyle name="20% - Accent1 3 13" xfId="638" xr:uid="{00000000-0005-0000-0000-0000D2000000}"/>
    <cellStyle name="20% - Accent1 3 14" xfId="639" xr:uid="{00000000-0005-0000-0000-0000D3000000}"/>
    <cellStyle name="20% - Accent1 3 15" xfId="640" xr:uid="{00000000-0005-0000-0000-0000D4000000}"/>
    <cellStyle name="20% - Accent1 3 16" xfId="641" xr:uid="{00000000-0005-0000-0000-0000D5000000}"/>
    <cellStyle name="20% - Accent1 3 17" xfId="642" xr:uid="{00000000-0005-0000-0000-0000D6000000}"/>
    <cellStyle name="20% - Accent1 3 18" xfId="643" xr:uid="{00000000-0005-0000-0000-0000D7000000}"/>
    <cellStyle name="20% - Accent1 3 19" xfId="644" xr:uid="{00000000-0005-0000-0000-0000D8000000}"/>
    <cellStyle name="20% - Accent1 3 2" xfId="645" xr:uid="{00000000-0005-0000-0000-0000D9000000}"/>
    <cellStyle name="20% - Accent1 3 20" xfId="646" xr:uid="{00000000-0005-0000-0000-0000DA000000}"/>
    <cellStyle name="20% - Accent1 3 21" xfId="647" xr:uid="{00000000-0005-0000-0000-0000DB000000}"/>
    <cellStyle name="20% - Accent1 3 22" xfId="648" xr:uid="{00000000-0005-0000-0000-0000DC000000}"/>
    <cellStyle name="20% - Accent1 3 23" xfId="649" xr:uid="{00000000-0005-0000-0000-0000DD000000}"/>
    <cellStyle name="20% - Accent1 3 24" xfId="650" xr:uid="{00000000-0005-0000-0000-0000DE000000}"/>
    <cellStyle name="20% - Accent1 3 25" xfId="651" xr:uid="{00000000-0005-0000-0000-0000DF000000}"/>
    <cellStyle name="20% - Accent1 3 26" xfId="652" xr:uid="{00000000-0005-0000-0000-0000E0000000}"/>
    <cellStyle name="20% - Accent1 3 27" xfId="653" xr:uid="{00000000-0005-0000-0000-0000E1000000}"/>
    <cellStyle name="20% - Accent1 3 28" xfId="654" xr:uid="{00000000-0005-0000-0000-0000E2000000}"/>
    <cellStyle name="20% - Accent1 3 29" xfId="655" xr:uid="{00000000-0005-0000-0000-0000E3000000}"/>
    <cellStyle name="20% - Accent1 3 3" xfId="656" xr:uid="{00000000-0005-0000-0000-0000E4000000}"/>
    <cellStyle name="20% - Accent1 3 30" xfId="657" xr:uid="{00000000-0005-0000-0000-0000E5000000}"/>
    <cellStyle name="20% - Accent1 3 31" xfId="658" xr:uid="{00000000-0005-0000-0000-0000E6000000}"/>
    <cellStyle name="20% - Accent1 3 32" xfId="659" xr:uid="{00000000-0005-0000-0000-0000E7000000}"/>
    <cellStyle name="20% - Accent1 3 33" xfId="660" xr:uid="{00000000-0005-0000-0000-0000E8000000}"/>
    <cellStyle name="20% - Accent1 3 34" xfId="661" xr:uid="{00000000-0005-0000-0000-0000E9000000}"/>
    <cellStyle name="20% - Accent1 3 35" xfId="662" xr:uid="{00000000-0005-0000-0000-0000EA000000}"/>
    <cellStyle name="20% - Accent1 3 36" xfId="663" xr:uid="{00000000-0005-0000-0000-0000EB000000}"/>
    <cellStyle name="20% - Accent1 3 37" xfId="664" xr:uid="{00000000-0005-0000-0000-0000EC000000}"/>
    <cellStyle name="20% - Accent1 3 38" xfId="665" xr:uid="{00000000-0005-0000-0000-0000ED000000}"/>
    <cellStyle name="20% - Accent1 3 39" xfId="666" xr:uid="{00000000-0005-0000-0000-0000EE000000}"/>
    <cellStyle name="20% - Accent1 3 4" xfId="667" xr:uid="{00000000-0005-0000-0000-0000EF000000}"/>
    <cellStyle name="20% - Accent1 3 40" xfId="668" xr:uid="{00000000-0005-0000-0000-0000F0000000}"/>
    <cellStyle name="20% - Accent1 3 41" xfId="669" xr:uid="{00000000-0005-0000-0000-0000F1000000}"/>
    <cellStyle name="20% - Accent1 3 42" xfId="670" xr:uid="{00000000-0005-0000-0000-0000F2000000}"/>
    <cellStyle name="20% - Accent1 3 43" xfId="671" xr:uid="{00000000-0005-0000-0000-0000F3000000}"/>
    <cellStyle name="20% - Accent1 3 44" xfId="672" xr:uid="{00000000-0005-0000-0000-0000F4000000}"/>
    <cellStyle name="20% - Accent1 3 45" xfId="673" xr:uid="{00000000-0005-0000-0000-0000F5000000}"/>
    <cellStyle name="20% - Accent1 3 46" xfId="634" xr:uid="{00000000-0005-0000-0000-0000F6000000}"/>
    <cellStyle name="20% - Accent1 3 5" xfId="674" xr:uid="{00000000-0005-0000-0000-0000F7000000}"/>
    <cellStyle name="20% - Accent1 3 6" xfId="675" xr:uid="{00000000-0005-0000-0000-0000F8000000}"/>
    <cellStyle name="20% - Accent1 3 7" xfId="676" xr:uid="{00000000-0005-0000-0000-0000F9000000}"/>
    <cellStyle name="20% - Accent1 3 8" xfId="677" xr:uid="{00000000-0005-0000-0000-0000FA000000}"/>
    <cellStyle name="20% - Accent1 3 9" xfId="678" xr:uid="{00000000-0005-0000-0000-0000FB000000}"/>
    <cellStyle name="20% - Accent1 4" xfId="679" xr:uid="{00000000-0005-0000-0000-0000FC000000}"/>
    <cellStyle name="20% - Accent1 4 10" xfId="680" xr:uid="{00000000-0005-0000-0000-0000FD000000}"/>
    <cellStyle name="20% - Accent1 4 11" xfId="681" xr:uid="{00000000-0005-0000-0000-0000FE000000}"/>
    <cellStyle name="20% - Accent1 4 12" xfId="682" xr:uid="{00000000-0005-0000-0000-0000FF000000}"/>
    <cellStyle name="20% - Accent1 4 13" xfId="683" xr:uid="{00000000-0005-0000-0000-000000010000}"/>
    <cellStyle name="20% - Accent1 4 14" xfId="684" xr:uid="{00000000-0005-0000-0000-000001010000}"/>
    <cellStyle name="20% - Accent1 4 15" xfId="685" xr:uid="{00000000-0005-0000-0000-000002010000}"/>
    <cellStyle name="20% - Accent1 4 16" xfId="686" xr:uid="{00000000-0005-0000-0000-000003010000}"/>
    <cellStyle name="20% - Accent1 4 17" xfId="687" xr:uid="{00000000-0005-0000-0000-000004010000}"/>
    <cellStyle name="20% - Accent1 4 18" xfId="688" xr:uid="{00000000-0005-0000-0000-000005010000}"/>
    <cellStyle name="20% - Accent1 4 19" xfId="689" xr:uid="{00000000-0005-0000-0000-000006010000}"/>
    <cellStyle name="20% - Accent1 4 2" xfId="690" xr:uid="{00000000-0005-0000-0000-000007010000}"/>
    <cellStyle name="20% - Accent1 4 20" xfId="691" xr:uid="{00000000-0005-0000-0000-000008010000}"/>
    <cellStyle name="20% - Accent1 4 21" xfId="692" xr:uid="{00000000-0005-0000-0000-000009010000}"/>
    <cellStyle name="20% - Accent1 4 22" xfId="693" xr:uid="{00000000-0005-0000-0000-00000A010000}"/>
    <cellStyle name="20% - Accent1 4 23" xfId="694" xr:uid="{00000000-0005-0000-0000-00000B010000}"/>
    <cellStyle name="20% - Accent1 4 24" xfId="695" xr:uid="{00000000-0005-0000-0000-00000C010000}"/>
    <cellStyle name="20% - Accent1 4 25" xfId="696" xr:uid="{00000000-0005-0000-0000-00000D010000}"/>
    <cellStyle name="20% - Accent1 4 26" xfId="697" xr:uid="{00000000-0005-0000-0000-00000E010000}"/>
    <cellStyle name="20% - Accent1 4 27" xfId="698" xr:uid="{00000000-0005-0000-0000-00000F010000}"/>
    <cellStyle name="20% - Accent1 4 28" xfId="699" xr:uid="{00000000-0005-0000-0000-000010010000}"/>
    <cellStyle name="20% - Accent1 4 29" xfId="700" xr:uid="{00000000-0005-0000-0000-000011010000}"/>
    <cellStyle name="20% - Accent1 4 3" xfId="701" xr:uid="{00000000-0005-0000-0000-000012010000}"/>
    <cellStyle name="20% - Accent1 4 30" xfId="702" xr:uid="{00000000-0005-0000-0000-000013010000}"/>
    <cellStyle name="20% - Accent1 4 31" xfId="703" xr:uid="{00000000-0005-0000-0000-000014010000}"/>
    <cellStyle name="20% - Accent1 4 32" xfId="704" xr:uid="{00000000-0005-0000-0000-000015010000}"/>
    <cellStyle name="20% - Accent1 4 33" xfId="705" xr:uid="{00000000-0005-0000-0000-000016010000}"/>
    <cellStyle name="20% - Accent1 4 34" xfId="706" xr:uid="{00000000-0005-0000-0000-000017010000}"/>
    <cellStyle name="20% - Accent1 4 35" xfId="707" xr:uid="{00000000-0005-0000-0000-000018010000}"/>
    <cellStyle name="20% - Accent1 4 36" xfId="708" xr:uid="{00000000-0005-0000-0000-000019010000}"/>
    <cellStyle name="20% - Accent1 4 37" xfId="709" xr:uid="{00000000-0005-0000-0000-00001A010000}"/>
    <cellStyle name="20% - Accent1 4 38" xfId="710" xr:uid="{00000000-0005-0000-0000-00001B010000}"/>
    <cellStyle name="20% - Accent1 4 39" xfId="711" xr:uid="{00000000-0005-0000-0000-00001C010000}"/>
    <cellStyle name="20% - Accent1 4 4" xfId="712" xr:uid="{00000000-0005-0000-0000-00001D010000}"/>
    <cellStyle name="20% - Accent1 4 40" xfId="713" xr:uid="{00000000-0005-0000-0000-00001E010000}"/>
    <cellStyle name="20% - Accent1 4 41" xfId="714" xr:uid="{00000000-0005-0000-0000-00001F010000}"/>
    <cellStyle name="20% - Accent1 4 5" xfId="715" xr:uid="{00000000-0005-0000-0000-000020010000}"/>
    <cellStyle name="20% - Accent1 4 6" xfId="716" xr:uid="{00000000-0005-0000-0000-000021010000}"/>
    <cellStyle name="20% - Accent1 4 7" xfId="717" xr:uid="{00000000-0005-0000-0000-000022010000}"/>
    <cellStyle name="20% - Accent1 4 8" xfId="718" xr:uid="{00000000-0005-0000-0000-000023010000}"/>
    <cellStyle name="20% - Accent1 4 9" xfId="719" xr:uid="{00000000-0005-0000-0000-000024010000}"/>
    <cellStyle name="20% - Accent1 5" xfId="720" xr:uid="{00000000-0005-0000-0000-000025010000}"/>
    <cellStyle name="20% - Accent1 5 10" xfId="721" xr:uid="{00000000-0005-0000-0000-000026010000}"/>
    <cellStyle name="20% - Accent1 5 11" xfId="722" xr:uid="{00000000-0005-0000-0000-000027010000}"/>
    <cellStyle name="20% - Accent1 5 12" xfId="723" xr:uid="{00000000-0005-0000-0000-000028010000}"/>
    <cellStyle name="20% - Accent1 5 13" xfId="724" xr:uid="{00000000-0005-0000-0000-000029010000}"/>
    <cellStyle name="20% - Accent1 5 14" xfId="725" xr:uid="{00000000-0005-0000-0000-00002A010000}"/>
    <cellStyle name="20% - Accent1 5 15" xfId="726" xr:uid="{00000000-0005-0000-0000-00002B010000}"/>
    <cellStyle name="20% - Accent1 5 16" xfId="727" xr:uid="{00000000-0005-0000-0000-00002C010000}"/>
    <cellStyle name="20% - Accent1 5 17" xfId="728" xr:uid="{00000000-0005-0000-0000-00002D010000}"/>
    <cellStyle name="20% - Accent1 5 18" xfId="729" xr:uid="{00000000-0005-0000-0000-00002E010000}"/>
    <cellStyle name="20% - Accent1 5 19" xfId="730" xr:uid="{00000000-0005-0000-0000-00002F010000}"/>
    <cellStyle name="20% - Accent1 5 2" xfId="731" xr:uid="{00000000-0005-0000-0000-000030010000}"/>
    <cellStyle name="20% - Accent1 5 20" xfId="732" xr:uid="{00000000-0005-0000-0000-000031010000}"/>
    <cellStyle name="20% - Accent1 5 21" xfId="733" xr:uid="{00000000-0005-0000-0000-000032010000}"/>
    <cellStyle name="20% - Accent1 5 22" xfId="734" xr:uid="{00000000-0005-0000-0000-000033010000}"/>
    <cellStyle name="20% - Accent1 5 23" xfId="735" xr:uid="{00000000-0005-0000-0000-000034010000}"/>
    <cellStyle name="20% - Accent1 5 24" xfId="736" xr:uid="{00000000-0005-0000-0000-000035010000}"/>
    <cellStyle name="20% - Accent1 5 25" xfId="737" xr:uid="{00000000-0005-0000-0000-000036010000}"/>
    <cellStyle name="20% - Accent1 5 26" xfId="738" xr:uid="{00000000-0005-0000-0000-000037010000}"/>
    <cellStyle name="20% - Accent1 5 27" xfId="739" xr:uid="{00000000-0005-0000-0000-000038010000}"/>
    <cellStyle name="20% - Accent1 5 28" xfId="740" xr:uid="{00000000-0005-0000-0000-000039010000}"/>
    <cellStyle name="20% - Accent1 5 29" xfId="741" xr:uid="{00000000-0005-0000-0000-00003A010000}"/>
    <cellStyle name="20% - Accent1 5 3" xfId="742" xr:uid="{00000000-0005-0000-0000-00003B010000}"/>
    <cellStyle name="20% - Accent1 5 30" xfId="743" xr:uid="{00000000-0005-0000-0000-00003C010000}"/>
    <cellStyle name="20% - Accent1 5 31" xfId="744" xr:uid="{00000000-0005-0000-0000-00003D010000}"/>
    <cellStyle name="20% - Accent1 5 32" xfId="745" xr:uid="{00000000-0005-0000-0000-00003E010000}"/>
    <cellStyle name="20% - Accent1 5 33" xfId="746" xr:uid="{00000000-0005-0000-0000-00003F010000}"/>
    <cellStyle name="20% - Accent1 5 34" xfId="747" xr:uid="{00000000-0005-0000-0000-000040010000}"/>
    <cellStyle name="20% - Accent1 5 35" xfId="748" xr:uid="{00000000-0005-0000-0000-000041010000}"/>
    <cellStyle name="20% - Accent1 5 36" xfId="749" xr:uid="{00000000-0005-0000-0000-000042010000}"/>
    <cellStyle name="20% - Accent1 5 37" xfId="750" xr:uid="{00000000-0005-0000-0000-000043010000}"/>
    <cellStyle name="20% - Accent1 5 38" xfId="751" xr:uid="{00000000-0005-0000-0000-000044010000}"/>
    <cellStyle name="20% - Accent1 5 39" xfId="752" xr:uid="{00000000-0005-0000-0000-000045010000}"/>
    <cellStyle name="20% - Accent1 5 4" xfId="753" xr:uid="{00000000-0005-0000-0000-000046010000}"/>
    <cellStyle name="20% - Accent1 5 40" xfId="754" xr:uid="{00000000-0005-0000-0000-000047010000}"/>
    <cellStyle name="20% - Accent1 5 41" xfId="755" xr:uid="{00000000-0005-0000-0000-000048010000}"/>
    <cellStyle name="20% - Accent1 5 5" xfId="756" xr:uid="{00000000-0005-0000-0000-000049010000}"/>
    <cellStyle name="20% - Accent1 5 6" xfId="757" xr:uid="{00000000-0005-0000-0000-00004A010000}"/>
    <cellStyle name="20% - Accent1 5 7" xfId="758" xr:uid="{00000000-0005-0000-0000-00004B010000}"/>
    <cellStyle name="20% - Accent1 5 8" xfId="759" xr:uid="{00000000-0005-0000-0000-00004C010000}"/>
    <cellStyle name="20% - Accent1 5 9" xfId="760" xr:uid="{00000000-0005-0000-0000-00004D010000}"/>
    <cellStyle name="20% - Accent1 6" xfId="761" xr:uid="{00000000-0005-0000-0000-00004E010000}"/>
    <cellStyle name="20% - Accent1 6 10" xfId="762" xr:uid="{00000000-0005-0000-0000-00004F010000}"/>
    <cellStyle name="20% - Accent1 6 11" xfId="763" xr:uid="{00000000-0005-0000-0000-000050010000}"/>
    <cellStyle name="20% - Accent1 6 12" xfId="764" xr:uid="{00000000-0005-0000-0000-000051010000}"/>
    <cellStyle name="20% - Accent1 6 13" xfId="765" xr:uid="{00000000-0005-0000-0000-000052010000}"/>
    <cellStyle name="20% - Accent1 6 14" xfId="766" xr:uid="{00000000-0005-0000-0000-000053010000}"/>
    <cellStyle name="20% - Accent1 6 15" xfId="767" xr:uid="{00000000-0005-0000-0000-000054010000}"/>
    <cellStyle name="20% - Accent1 6 16" xfId="768" xr:uid="{00000000-0005-0000-0000-000055010000}"/>
    <cellStyle name="20% - Accent1 6 17" xfId="769" xr:uid="{00000000-0005-0000-0000-000056010000}"/>
    <cellStyle name="20% - Accent1 6 18" xfId="770" xr:uid="{00000000-0005-0000-0000-000057010000}"/>
    <cellStyle name="20% - Accent1 6 19" xfId="771" xr:uid="{00000000-0005-0000-0000-000058010000}"/>
    <cellStyle name="20% - Accent1 6 2" xfId="772" xr:uid="{00000000-0005-0000-0000-000059010000}"/>
    <cellStyle name="20% - Accent1 6 20" xfId="773" xr:uid="{00000000-0005-0000-0000-00005A010000}"/>
    <cellStyle name="20% - Accent1 6 21" xfId="774" xr:uid="{00000000-0005-0000-0000-00005B010000}"/>
    <cellStyle name="20% - Accent1 6 22" xfId="775" xr:uid="{00000000-0005-0000-0000-00005C010000}"/>
    <cellStyle name="20% - Accent1 6 23" xfId="776" xr:uid="{00000000-0005-0000-0000-00005D010000}"/>
    <cellStyle name="20% - Accent1 6 24" xfId="777" xr:uid="{00000000-0005-0000-0000-00005E010000}"/>
    <cellStyle name="20% - Accent1 6 25" xfId="778" xr:uid="{00000000-0005-0000-0000-00005F010000}"/>
    <cellStyle name="20% - Accent1 6 26" xfId="779" xr:uid="{00000000-0005-0000-0000-000060010000}"/>
    <cellStyle name="20% - Accent1 6 27" xfId="780" xr:uid="{00000000-0005-0000-0000-000061010000}"/>
    <cellStyle name="20% - Accent1 6 28" xfId="781" xr:uid="{00000000-0005-0000-0000-000062010000}"/>
    <cellStyle name="20% - Accent1 6 29" xfId="782" xr:uid="{00000000-0005-0000-0000-000063010000}"/>
    <cellStyle name="20% - Accent1 6 3" xfId="783" xr:uid="{00000000-0005-0000-0000-000064010000}"/>
    <cellStyle name="20% - Accent1 6 30" xfId="784" xr:uid="{00000000-0005-0000-0000-000065010000}"/>
    <cellStyle name="20% - Accent1 6 31" xfId="785" xr:uid="{00000000-0005-0000-0000-000066010000}"/>
    <cellStyle name="20% - Accent1 6 32" xfId="786" xr:uid="{00000000-0005-0000-0000-000067010000}"/>
    <cellStyle name="20% - Accent1 6 33" xfId="787" xr:uid="{00000000-0005-0000-0000-000068010000}"/>
    <cellStyle name="20% - Accent1 6 34" xfId="788" xr:uid="{00000000-0005-0000-0000-000069010000}"/>
    <cellStyle name="20% - Accent1 6 35" xfId="789" xr:uid="{00000000-0005-0000-0000-00006A010000}"/>
    <cellStyle name="20% - Accent1 6 36" xfId="790" xr:uid="{00000000-0005-0000-0000-00006B010000}"/>
    <cellStyle name="20% - Accent1 6 37" xfId="791" xr:uid="{00000000-0005-0000-0000-00006C010000}"/>
    <cellStyle name="20% - Accent1 6 38" xfId="792" xr:uid="{00000000-0005-0000-0000-00006D010000}"/>
    <cellStyle name="20% - Accent1 6 39" xfId="793" xr:uid="{00000000-0005-0000-0000-00006E010000}"/>
    <cellStyle name="20% - Accent1 6 4" xfId="794" xr:uid="{00000000-0005-0000-0000-00006F010000}"/>
    <cellStyle name="20% - Accent1 6 40" xfId="795" xr:uid="{00000000-0005-0000-0000-000070010000}"/>
    <cellStyle name="20% - Accent1 6 41" xfId="796" xr:uid="{00000000-0005-0000-0000-000071010000}"/>
    <cellStyle name="20% - Accent1 6 5" xfId="797" xr:uid="{00000000-0005-0000-0000-000072010000}"/>
    <cellStyle name="20% - Accent1 6 6" xfId="798" xr:uid="{00000000-0005-0000-0000-000073010000}"/>
    <cellStyle name="20% - Accent1 6 7" xfId="799" xr:uid="{00000000-0005-0000-0000-000074010000}"/>
    <cellStyle name="20% - Accent1 6 8" xfId="800" xr:uid="{00000000-0005-0000-0000-000075010000}"/>
    <cellStyle name="20% - Accent1 6 9" xfId="801" xr:uid="{00000000-0005-0000-0000-000076010000}"/>
    <cellStyle name="20% - Accent1 7" xfId="802" xr:uid="{00000000-0005-0000-0000-000077010000}"/>
    <cellStyle name="20% - Accent1 7 10" xfId="803" xr:uid="{00000000-0005-0000-0000-000078010000}"/>
    <cellStyle name="20% - Accent1 7 11" xfId="804" xr:uid="{00000000-0005-0000-0000-000079010000}"/>
    <cellStyle name="20% - Accent1 7 12" xfId="805" xr:uid="{00000000-0005-0000-0000-00007A010000}"/>
    <cellStyle name="20% - Accent1 7 13" xfId="806" xr:uid="{00000000-0005-0000-0000-00007B010000}"/>
    <cellStyle name="20% - Accent1 7 14" xfId="807" xr:uid="{00000000-0005-0000-0000-00007C010000}"/>
    <cellStyle name="20% - Accent1 7 15" xfId="808" xr:uid="{00000000-0005-0000-0000-00007D010000}"/>
    <cellStyle name="20% - Accent1 7 16" xfId="809" xr:uid="{00000000-0005-0000-0000-00007E010000}"/>
    <cellStyle name="20% - Accent1 7 17" xfId="810" xr:uid="{00000000-0005-0000-0000-00007F010000}"/>
    <cellStyle name="20% - Accent1 7 18" xfId="811" xr:uid="{00000000-0005-0000-0000-000080010000}"/>
    <cellStyle name="20% - Accent1 7 19" xfId="812" xr:uid="{00000000-0005-0000-0000-000081010000}"/>
    <cellStyle name="20% - Accent1 7 2" xfId="813" xr:uid="{00000000-0005-0000-0000-000082010000}"/>
    <cellStyle name="20% - Accent1 7 20" xfId="814" xr:uid="{00000000-0005-0000-0000-000083010000}"/>
    <cellStyle name="20% - Accent1 7 21" xfId="815" xr:uid="{00000000-0005-0000-0000-000084010000}"/>
    <cellStyle name="20% - Accent1 7 22" xfId="816" xr:uid="{00000000-0005-0000-0000-000085010000}"/>
    <cellStyle name="20% - Accent1 7 23" xfId="817" xr:uid="{00000000-0005-0000-0000-000086010000}"/>
    <cellStyle name="20% - Accent1 7 24" xfId="818" xr:uid="{00000000-0005-0000-0000-000087010000}"/>
    <cellStyle name="20% - Accent1 7 25" xfId="819" xr:uid="{00000000-0005-0000-0000-000088010000}"/>
    <cellStyle name="20% - Accent1 7 26" xfId="820" xr:uid="{00000000-0005-0000-0000-000089010000}"/>
    <cellStyle name="20% - Accent1 7 27" xfId="821" xr:uid="{00000000-0005-0000-0000-00008A010000}"/>
    <cellStyle name="20% - Accent1 7 28" xfId="822" xr:uid="{00000000-0005-0000-0000-00008B010000}"/>
    <cellStyle name="20% - Accent1 7 29" xfId="823" xr:uid="{00000000-0005-0000-0000-00008C010000}"/>
    <cellStyle name="20% - Accent1 7 3" xfId="824" xr:uid="{00000000-0005-0000-0000-00008D010000}"/>
    <cellStyle name="20% - Accent1 7 30" xfId="825" xr:uid="{00000000-0005-0000-0000-00008E010000}"/>
    <cellStyle name="20% - Accent1 7 31" xfId="826" xr:uid="{00000000-0005-0000-0000-00008F010000}"/>
    <cellStyle name="20% - Accent1 7 32" xfId="827" xr:uid="{00000000-0005-0000-0000-000090010000}"/>
    <cellStyle name="20% - Accent1 7 33" xfId="828" xr:uid="{00000000-0005-0000-0000-000091010000}"/>
    <cellStyle name="20% - Accent1 7 34" xfId="829" xr:uid="{00000000-0005-0000-0000-000092010000}"/>
    <cellStyle name="20% - Accent1 7 35" xfId="830" xr:uid="{00000000-0005-0000-0000-000093010000}"/>
    <cellStyle name="20% - Accent1 7 36" xfId="831" xr:uid="{00000000-0005-0000-0000-000094010000}"/>
    <cellStyle name="20% - Accent1 7 37" xfId="832" xr:uid="{00000000-0005-0000-0000-000095010000}"/>
    <cellStyle name="20% - Accent1 7 38" xfId="833" xr:uid="{00000000-0005-0000-0000-000096010000}"/>
    <cellStyle name="20% - Accent1 7 39" xfId="834" xr:uid="{00000000-0005-0000-0000-000097010000}"/>
    <cellStyle name="20% - Accent1 7 4" xfId="835" xr:uid="{00000000-0005-0000-0000-000098010000}"/>
    <cellStyle name="20% - Accent1 7 40" xfId="836" xr:uid="{00000000-0005-0000-0000-000099010000}"/>
    <cellStyle name="20% - Accent1 7 41" xfId="837" xr:uid="{00000000-0005-0000-0000-00009A010000}"/>
    <cellStyle name="20% - Accent1 7 5" xfId="838" xr:uid="{00000000-0005-0000-0000-00009B010000}"/>
    <cellStyle name="20% - Accent1 7 6" xfId="839" xr:uid="{00000000-0005-0000-0000-00009C010000}"/>
    <cellStyle name="20% - Accent1 7 7" xfId="840" xr:uid="{00000000-0005-0000-0000-00009D010000}"/>
    <cellStyle name="20% - Accent1 7 8" xfId="841" xr:uid="{00000000-0005-0000-0000-00009E010000}"/>
    <cellStyle name="20% - Accent1 7 9" xfId="842" xr:uid="{00000000-0005-0000-0000-00009F010000}"/>
    <cellStyle name="20% - Accent1 8" xfId="843" xr:uid="{00000000-0005-0000-0000-0000A0010000}"/>
    <cellStyle name="20% - Accent1 8 10" xfId="844" xr:uid="{00000000-0005-0000-0000-0000A1010000}"/>
    <cellStyle name="20% - Accent1 8 11" xfId="845" xr:uid="{00000000-0005-0000-0000-0000A2010000}"/>
    <cellStyle name="20% - Accent1 8 12" xfId="846" xr:uid="{00000000-0005-0000-0000-0000A3010000}"/>
    <cellStyle name="20% - Accent1 8 13" xfId="847" xr:uid="{00000000-0005-0000-0000-0000A4010000}"/>
    <cellStyle name="20% - Accent1 8 14" xfId="848" xr:uid="{00000000-0005-0000-0000-0000A5010000}"/>
    <cellStyle name="20% - Accent1 8 15" xfId="849" xr:uid="{00000000-0005-0000-0000-0000A6010000}"/>
    <cellStyle name="20% - Accent1 8 16" xfId="850" xr:uid="{00000000-0005-0000-0000-0000A7010000}"/>
    <cellStyle name="20% - Accent1 8 17" xfId="851" xr:uid="{00000000-0005-0000-0000-0000A8010000}"/>
    <cellStyle name="20% - Accent1 8 18" xfId="852" xr:uid="{00000000-0005-0000-0000-0000A9010000}"/>
    <cellStyle name="20% - Accent1 8 19" xfId="853" xr:uid="{00000000-0005-0000-0000-0000AA010000}"/>
    <cellStyle name="20% - Accent1 8 2" xfId="854" xr:uid="{00000000-0005-0000-0000-0000AB010000}"/>
    <cellStyle name="20% - Accent1 8 20" xfId="855" xr:uid="{00000000-0005-0000-0000-0000AC010000}"/>
    <cellStyle name="20% - Accent1 8 21" xfId="856" xr:uid="{00000000-0005-0000-0000-0000AD010000}"/>
    <cellStyle name="20% - Accent1 8 22" xfId="857" xr:uid="{00000000-0005-0000-0000-0000AE010000}"/>
    <cellStyle name="20% - Accent1 8 23" xfId="858" xr:uid="{00000000-0005-0000-0000-0000AF010000}"/>
    <cellStyle name="20% - Accent1 8 24" xfId="859" xr:uid="{00000000-0005-0000-0000-0000B0010000}"/>
    <cellStyle name="20% - Accent1 8 25" xfId="860" xr:uid="{00000000-0005-0000-0000-0000B1010000}"/>
    <cellStyle name="20% - Accent1 8 26" xfId="861" xr:uid="{00000000-0005-0000-0000-0000B2010000}"/>
    <cellStyle name="20% - Accent1 8 27" xfId="862" xr:uid="{00000000-0005-0000-0000-0000B3010000}"/>
    <cellStyle name="20% - Accent1 8 28" xfId="863" xr:uid="{00000000-0005-0000-0000-0000B4010000}"/>
    <cellStyle name="20% - Accent1 8 29" xfId="864" xr:uid="{00000000-0005-0000-0000-0000B5010000}"/>
    <cellStyle name="20% - Accent1 8 3" xfId="865" xr:uid="{00000000-0005-0000-0000-0000B6010000}"/>
    <cellStyle name="20% - Accent1 8 30" xfId="866" xr:uid="{00000000-0005-0000-0000-0000B7010000}"/>
    <cellStyle name="20% - Accent1 8 31" xfId="867" xr:uid="{00000000-0005-0000-0000-0000B8010000}"/>
    <cellStyle name="20% - Accent1 8 32" xfId="868" xr:uid="{00000000-0005-0000-0000-0000B9010000}"/>
    <cellStyle name="20% - Accent1 8 33" xfId="869" xr:uid="{00000000-0005-0000-0000-0000BA010000}"/>
    <cellStyle name="20% - Accent1 8 34" xfId="870" xr:uid="{00000000-0005-0000-0000-0000BB010000}"/>
    <cellStyle name="20% - Accent1 8 35" xfId="871" xr:uid="{00000000-0005-0000-0000-0000BC010000}"/>
    <cellStyle name="20% - Accent1 8 36" xfId="872" xr:uid="{00000000-0005-0000-0000-0000BD010000}"/>
    <cellStyle name="20% - Accent1 8 37" xfId="873" xr:uid="{00000000-0005-0000-0000-0000BE010000}"/>
    <cellStyle name="20% - Accent1 8 38" xfId="874" xr:uid="{00000000-0005-0000-0000-0000BF010000}"/>
    <cellStyle name="20% - Accent1 8 39" xfId="875" xr:uid="{00000000-0005-0000-0000-0000C0010000}"/>
    <cellStyle name="20% - Accent1 8 4" xfId="876" xr:uid="{00000000-0005-0000-0000-0000C1010000}"/>
    <cellStyle name="20% - Accent1 8 40" xfId="877" xr:uid="{00000000-0005-0000-0000-0000C2010000}"/>
    <cellStyle name="20% - Accent1 8 41" xfId="878" xr:uid="{00000000-0005-0000-0000-0000C3010000}"/>
    <cellStyle name="20% - Accent1 8 5" xfId="879" xr:uid="{00000000-0005-0000-0000-0000C4010000}"/>
    <cellStyle name="20% - Accent1 8 6" xfId="880" xr:uid="{00000000-0005-0000-0000-0000C5010000}"/>
    <cellStyle name="20% - Accent1 8 7" xfId="881" xr:uid="{00000000-0005-0000-0000-0000C6010000}"/>
    <cellStyle name="20% - Accent1 8 8" xfId="882" xr:uid="{00000000-0005-0000-0000-0000C7010000}"/>
    <cellStyle name="20% - Accent1 8 9" xfId="883" xr:uid="{00000000-0005-0000-0000-0000C8010000}"/>
    <cellStyle name="20% - Accent1 9" xfId="884" xr:uid="{00000000-0005-0000-0000-0000C9010000}"/>
    <cellStyle name="20% - Accent1 9 10" xfId="885" xr:uid="{00000000-0005-0000-0000-0000CA010000}"/>
    <cellStyle name="20% - Accent1 9 11" xfId="886" xr:uid="{00000000-0005-0000-0000-0000CB010000}"/>
    <cellStyle name="20% - Accent1 9 12" xfId="887" xr:uid="{00000000-0005-0000-0000-0000CC010000}"/>
    <cellStyle name="20% - Accent1 9 13" xfId="888" xr:uid="{00000000-0005-0000-0000-0000CD010000}"/>
    <cellStyle name="20% - Accent1 9 14" xfId="889" xr:uid="{00000000-0005-0000-0000-0000CE010000}"/>
    <cellStyle name="20% - Accent1 9 15" xfId="890" xr:uid="{00000000-0005-0000-0000-0000CF010000}"/>
    <cellStyle name="20% - Accent1 9 16" xfId="891" xr:uid="{00000000-0005-0000-0000-0000D0010000}"/>
    <cellStyle name="20% - Accent1 9 17" xfId="892" xr:uid="{00000000-0005-0000-0000-0000D1010000}"/>
    <cellStyle name="20% - Accent1 9 18" xfId="893" xr:uid="{00000000-0005-0000-0000-0000D2010000}"/>
    <cellStyle name="20% - Accent1 9 19" xfId="894" xr:uid="{00000000-0005-0000-0000-0000D3010000}"/>
    <cellStyle name="20% - Accent1 9 2" xfId="895" xr:uid="{00000000-0005-0000-0000-0000D4010000}"/>
    <cellStyle name="20% - Accent1 9 20" xfId="896" xr:uid="{00000000-0005-0000-0000-0000D5010000}"/>
    <cellStyle name="20% - Accent1 9 21" xfId="897" xr:uid="{00000000-0005-0000-0000-0000D6010000}"/>
    <cellStyle name="20% - Accent1 9 22" xfId="898" xr:uid="{00000000-0005-0000-0000-0000D7010000}"/>
    <cellStyle name="20% - Accent1 9 23" xfId="899" xr:uid="{00000000-0005-0000-0000-0000D8010000}"/>
    <cellStyle name="20% - Accent1 9 24" xfId="900" xr:uid="{00000000-0005-0000-0000-0000D9010000}"/>
    <cellStyle name="20% - Accent1 9 25" xfId="901" xr:uid="{00000000-0005-0000-0000-0000DA010000}"/>
    <cellStyle name="20% - Accent1 9 26" xfId="902" xr:uid="{00000000-0005-0000-0000-0000DB010000}"/>
    <cellStyle name="20% - Accent1 9 27" xfId="903" xr:uid="{00000000-0005-0000-0000-0000DC010000}"/>
    <cellStyle name="20% - Accent1 9 28" xfId="904" xr:uid="{00000000-0005-0000-0000-0000DD010000}"/>
    <cellStyle name="20% - Accent1 9 29" xfId="905" xr:uid="{00000000-0005-0000-0000-0000DE010000}"/>
    <cellStyle name="20% - Accent1 9 3" xfId="906" xr:uid="{00000000-0005-0000-0000-0000DF010000}"/>
    <cellStyle name="20% - Accent1 9 30" xfId="907" xr:uid="{00000000-0005-0000-0000-0000E0010000}"/>
    <cellStyle name="20% - Accent1 9 31" xfId="908" xr:uid="{00000000-0005-0000-0000-0000E1010000}"/>
    <cellStyle name="20% - Accent1 9 32" xfId="909" xr:uid="{00000000-0005-0000-0000-0000E2010000}"/>
    <cellStyle name="20% - Accent1 9 33" xfId="910" xr:uid="{00000000-0005-0000-0000-0000E3010000}"/>
    <cellStyle name="20% - Accent1 9 34" xfId="911" xr:uid="{00000000-0005-0000-0000-0000E4010000}"/>
    <cellStyle name="20% - Accent1 9 35" xfId="912" xr:uid="{00000000-0005-0000-0000-0000E5010000}"/>
    <cellStyle name="20% - Accent1 9 36" xfId="913" xr:uid="{00000000-0005-0000-0000-0000E6010000}"/>
    <cellStyle name="20% - Accent1 9 37" xfId="914" xr:uid="{00000000-0005-0000-0000-0000E7010000}"/>
    <cellStyle name="20% - Accent1 9 38" xfId="915" xr:uid="{00000000-0005-0000-0000-0000E8010000}"/>
    <cellStyle name="20% - Accent1 9 39" xfId="916" xr:uid="{00000000-0005-0000-0000-0000E9010000}"/>
    <cellStyle name="20% - Accent1 9 4" xfId="917" xr:uid="{00000000-0005-0000-0000-0000EA010000}"/>
    <cellStyle name="20% - Accent1 9 40" xfId="918" xr:uid="{00000000-0005-0000-0000-0000EB010000}"/>
    <cellStyle name="20% - Accent1 9 41" xfId="919" xr:uid="{00000000-0005-0000-0000-0000EC010000}"/>
    <cellStyle name="20% - Accent1 9 5" xfId="920" xr:uid="{00000000-0005-0000-0000-0000ED010000}"/>
    <cellStyle name="20% - Accent1 9 6" xfId="921" xr:uid="{00000000-0005-0000-0000-0000EE010000}"/>
    <cellStyle name="20% - Accent1 9 7" xfId="922" xr:uid="{00000000-0005-0000-0000-0000EF010000}"/>
    <cellStyle name="20% - Accent1 9 8" xfId="923" xr:uid="{00000000-0005-0000-0000-0000F0010000}"/>
    <cellStyle name="20% - Accent1 9 9" xfId="924" xr:uid="{00000000-0005-0000-0000-0000F1010000}"/>
    <cellStyle name="20% - Accent2 10" xfId="925" xr:uid="{00000000-0005-0000-0000-0000F2010000}"/>
    <cellStyle name="20% - Accent2 10 10" xfId="926" xr:uid="{00000000-0005-0000-0000-0000F3010000}"/>
    <cellStyle name="20% - Accent2 10 11" xfId="927" xr:uid="{00000000-0005-0000-0000-0000F4010000}"/>
    <cellStyle name="20% - Accent2 10 12" xfId="928" xr:uid="{00000000-0005-0000-0000-0000F5010000}"/>
    <cellStyle name="20% - Accent2 10 13" xfId="929" xr:uid="{00000000-0005-0000-0000-0000F6010000}"/>
    <cellStyle name="20% - Accent2 10 14" xfId="930" xr:uid="{00000000-0005-0000-0000-0000F7010000}"/>
    <cellStyle name="20% - Accent2 10 15" xfId="931" xr:uid="{00000000-0005-0000-0000-0000F8010000}"/>
    <cellStyle name="20% - Accent2 10 16" xfId="932" xr:uid="{00000000-0005-0000-0000-0000F9010000}"/>
    <cellStyle name="20% - Accent2 10 17" xfId="933" xr:uid="{00000000-0005-0000-0000-0000FA010000}"/>
    <cellStyle name="20% - Accent2 10 18" xfId="934" xr:uid="{00000000-0005-0000-0000-0000FB010000}"/>
    <cellStyle name="20% - Accent2 10 19" xfId="935" xr:uid="{00000000-0005-0000-0000-0000FC010000}"/>
    <cellStyle name="20% - Accent2 10 2" xfId="936" xr:uid="{00000000-0005-0000-0000-0000FD010000}"/>
    <cellStyle name="20% - Accent2 10 20" xfId="937" xr:uid="{00000000-0005-0000-0000-0000FE010000}"/>
    <cellStyle name="20% - Accent2 10 21" xfId="938" xr:uid="{00000000-0005-0000-0000-0000FF010000}"/>
    <cellStyle name="20% - Accent2 10 22" xfId="939" xr:uid="{00000000-0005-0000-0000-000000020000}"/>
    <cellStyle name="20% - Accent2 10 23" xfId="940" xr:uid="{00000000-0005-0000-0000-000001020000}"/>
    <cellStyle name="20% - Accent2 10 24" xfId="941" xr:uid="{00000000-0005-0000-0000-000002020000}"/>
    <cellStyle name="20% - Accent2 10 25" xfId="942" xr:uid="{00000000-0005-0000-0000-000003020000}"/>
    <cellStyle name="20% - Accent2 10 26" xfId="943" xr:uid="{00000000-0005-0000-0000-000004020000}"/>
    <cellStyle name="20% - Accent2 10 27" xfId="944" xr:uid="{00000000-0005-0000-0000-000005020000}"/>
    <cellStyle name="20% - Accent2 10 28" xfId="945" xr:uid="{00000000-0005-0000-0000-000006020000}"/>
    <cellStyle name="20% - Accent2 10 29" xfId="946" xr:uid="{00000000-0005-0000-0000-000007020000}"/>
    <cellStyle name="20% - Accent2 10 3" xfId="947" xr:uid="{00000000-0005-0000-0000-000008020000}"/>
    <cellStyle name="20% - Accent2 10 30" xfId="948" xr:uid="{00000000-0005-0000-0000-000009020000}"/>
    <cellStyle name="20% - Accent2 10 31" xfId="949" xr:uid="{00000000-0005-0000-0000-00000A020000}"/>
    <cellStyle name="20% - Accent2 10 32" xfId="950" xr:uid="{00000000-0005-0000-0000-00000B020000}"/>
    <cellStyle name="20% - Accent2 10 33" xfId="951" xr:uid="{00000000-0005-0000-0000-00000C020000}"/>
    <cellStyle name="20% - Accent2 10 34" xfId="952" xr:uid="{00000000-0005-0000-0000-00000D020000}"/>
    <cellStyle name="20% - Accent2 10 35" xfId="953" xr:uid="{00000000-0005-0000-0000-00000E020000}"/>
    <cellStyle name="20% - Accent2 10 36" xfId="954" xr:uid="{00000000-0005-0000-0000-00000F020000}"/>
    <cellStyle name="20% - Accent2 10 37" xfId="955" xr:uid="{00000000-0005-0000-0000-000010020000}"/>
    <cellStyle name="20% - Accent2 10 38" xfId="956" xr:uid="{00000000-0005-0000-0000-000011020000}"/>
    <cellStyle name="20% - Accent2 10 39" xfId="957" xr:uid="{00000000-0005-0000-0000-000012020000}"/>
    <cellStyle name="20% - Accent2 10 4" xfId="958" xr:uid="{00000000-0005-0000-0000-000013020000}"/>
    <cellStyle name="20% - Accent2 10 40" xfId="959" xr:uid="{00000000-0005-0000-0000-000014020000}"/>
    <cellStyle name="20% - Accent2 10 41" xfId="960" xr:uid="{00000000-0005-0000-0000-000015020000}"/>
    <cellStyle name="20% - Accent2 10 5" xfId="961" xr:uid="{00000000-0005-0000-0000-000016020000}"/>
    <cellStyle name="20% - Accent2 10 6" xfId="962" xr:uid="{00000000-0005-0000-0000-000017020000}"/>
    <cellStyle name="20% - Accent2 10 7" xfId="963" xr:uid="{00000000-0005-0000-0000-000018020000}"/>
    <cellStyle name="20% - Accent2 10 8" xfId="964" xr:uid="{00000000-0005-0000-0000-000019020000}"/>
    <cellStyle name="20% - Accent2 10 9" xfId="965" xr:uid="{00000000-0005-0000-0000-00001A020000}"/>
    <cellStyle name="20% - Accent2 11" xfId="966" xr:uid="{00000000-0005-0000-0000-00001B020000}"/>
    <cellStyle name="20% - Accent2 11 10" xfId="967" xr:uid="{00000000-0005-0000-0000-00001C020000}"/>
    <cellStyle name="20% - Accent2 11 11" xfId="968" xr:uid="{00000000-0005-0000-0000-00001D020000}"/>
    <cellStyle name="20% - Accent2 11 12" xfId="969" xr:uid="{00000000-0005-0000-0000-00001E020000}"/>
    <cellStyle name="20% - Accent2 11 13" xfId="970" xr:uid="{00000000-0005-0000-0000-00001F020000}"/>
    <cellStyle name="20% - Accent2 11 14" xfId="971" xr:uid="{00000000-0005-0000-0000-000020020000}"/>
    <cellStyle name="20% - Accent2 11 15" xfId="972" xr:uid="{00000000-0005-0000-0000-000021020000}"/>
    <cellStyle name="20% - Accent2 11 16" xfId="973" xr:uid="{00000000-0005-0000-0000-000022020000}"/>
    <cellStyle name="20% - Accent2 11 17" xfId="974" xr:uid="{00000000-0005-0000-0000-000023020000}"/>
    <cellStyle name="20% - Accent2 11 18" xfId="975" xr:uid="{00000000-0005-0000-0000-000024020000}"/>
    <cellStyle name="20% - Accent2 11 19" xfId="976" xr:uid="{00000000-0005-0000-0000-000025020000}"/>
    <cellStyle name="20% - Accent2 11 2" xfId="977" xr:uid="{00000000-0005-0000-0000-000026020000}"/>
    <cellStyle name="20% - Accent2 11 20" xfId="978" xr:uid="{00000000-0005-0000-0000-000027020000}"/>
    <cellStyle name="20% - Accent2 11 21" xfId="979" xr:uid="{00000000-0005-0000-0000-000028020000}"/>
    <cellStyle name="20% - Accent2 11 22" xfId="980" xr:uid="{00000000-0005-0000-0000-000029020000}"/>
    <cellStyle name="20% - Accent2 11 23" xfId="981" xr:uid="{00000000-0005-0000-0000-00002A020000}"/>
    <cellStyle name="20% - Accent2 11 24" xfId="982" xr:uid="{00000000-0005-0000-0000-00002B020000}"/>
    <cellStyle name="20% - Accent2 11 25" xfId="983" xr:uid="{00000000-0005-0000-0000-00002C020000}"/>
    <cellStyle name="20% - Accent2 11 26" xfId="984" xr:uid="{00000000-0005-0000-0000-00002D020000}"/>
    <cellStyle name="20% - Accent2 11 27" xfId="985" xr:uid="{00000000-0005-0000-0000-00002E020000}"/>
    <cellStyle name="20% - Accent2 11 28" xfId="986" xr:uid="{00000000-0005-0000-0000-00002F020000}"/>
    <cellStyle name="20% - Accent2 11 29" xfId="987" xr:uid="{00000000-0005-0000-0000-000030020000}"/>
    <cellStyle name="20% - Accent2 11 3" xfId="988" xr:uid="{00000000-0005-0000-0000-000031020000}"/>
    <cellStyle name="20% - Accent2 11 30" xfId="989" xr:uid="{00000000-0005-0000-0000-000032020000}"/>
    <cellStyle name="20% - Accent2 11 31" xfId="990" xr:uid="{00000000-0005-0000-0000-000033020000}"/>
    <cellStyle name="20% - Accent2 11 32" xfId="991" xr:uid="{00000000-0005-0000-0000-000034020000}"/>
    <cellStyle name="20% - Accent2 11 33" xfId="992" xr:uid="{00000000-0005-0000-0000-000035020000}"/>
    <cellStyle name="20% - Accent2 11 34" xfId="993" xr:uid="{00000000-0005-0000-0000-000036020000}"/>
    <cellStyle name="20% - Accent2 11 35" xfId="994" xr:uid="{00000000-0005-0000-0000-000037020000}"/>
    <cellStyle name="20% - Accent2 11 36" xfId="995" xr:uid="{00000000-0005-0000-0000-000038020000}"/>
    <cellStyle name="20% - Accent2 11 37" xfId="996" xr:uid="{00000000-0005-0000-0000-000039020000}"/>
    <cellStyle name="20% - Accent2 11 38" xfId="997" xr:uid="{00000000-0005-0000-0000-00003A020000}"/>
    <cellStyle name="20% - Accent2 11 39" xfId="998" xr:uid="{00000000-0005-0000-0000-00003B020000}"/>
    <cellStyle name="20% - Accent2 11 4" xfId="999" xr:uid="{00000000-0005-0000-0000-00003C020000}"/>
    <cellStyle name="20% - Accent2 11 40" xfId="1000" xr:uid="{00000000-0005-0000-0000-00003D020000}"/>
    <cellStyle name="20% - Accent2 11 41" xfId="1001" xr:uid="{00000000-0005-0000-0000-00003E020000}"/>
    <cellStyle name="20% - Accent2 11 5" xfId="1002" xr:uid="{00000000-0005-0000-0000-00003F020000}"/>
    <cellStyle name="20% - Accent2 11 6" xfId="1003" xr:uid="{00000000-0005-0000-0000-000040020000}"/>
    <cellStyle name="20% - Accent2 11 7" xfId="1004" xr:uid="{00000000-0005-0000-0000-000041020000}"/>
    <cellStyle name="20% - Accent2 11 8" xfId="1005" xr:uid="{00000000-0005-0000-0000-000042020000}"/>
    <cellStyle name="20% - Accent2 11 9" xfId="1006" xr:uid="{00000000-0005-0000-0000-000043020000}"/>
    <cellStyle name="20% - Accent2 12" xfId="1007" xr:uid="{00000000-0005-0000-0000-000044020000}"/>
    <cellStyle name="20% - Accent2 12 10" xfId="1008" xr:uid="{00000000-0005-0000-0000-000045020000}"/>
    <cellStyle name="20% - Accent2 12 11" xfId="1009" xr:uid="{00000000-0005-0000-0000-000046020000}"/>
    <cellStyle name="20% - Accent2 12 12" xfId="1010" xr:uid="{00000000-0005-0000-0000-000047020000}"/>
    <cellStyle name="20% - Accent2 12 13" xfId="1011" xr:uid="{00000000-0005-0000-0000-000048020000}"/>
    <cellStyle name="20% - Accent2 12 14" xfId="1012" xr:uid="{00000000-0005-0000-0000-000049020000}"/>
    <cellStyle name="20% - Accent2 12 15" xfId="1013" xr:uid="{00000000-0005-0000-0000-00004A020000}"/>
    <cellStyle name="20% - Accent2 12 16" xfId="1014" xr:uid="{00000000-0005-0000-0000-00004B020000}"/>
    <cellStyle name="20% - Accent2 12 17" xfId="1015" xr:uid="{00000000-0005-0000-0000-00004C020000}"/>
    <cellStyle name="20% - Accent2 12 18" xfId="1016" xr:uid="{00000000-0005-0000-0000-00004D020000}"/>
    <cellStyle name="20% - Accent2 12 19" xfId="1017" xr:uid="{00000000-0005-0000-0000-00004E020000}"/>
    <cellStyle name="20% - Accent2 12 2" xfId="1018" xr:uid="{00000000-0005-0000-0000-00004F020000}"/>
    <cellStyle name="20% - Accent2 12 20" xfId="1019" xr:uid="{00000000-0005-0000-0000-000050020000}"/>
    <cellStyle name="20% - Accent2 12 21" xfId="1020" xr:uid="{00000000-0005-0000-0000-000051020000}"/>
    <cellStyle name="20% - Accent2 12 22" xfId="1021" xr:uid="{00000000-0005-0000-0000-000052020000}"/>
    <cellStyle name="20% - Accent2 12 23" xfId="1022" xr:uid="{00000000-0005-0000-0000-000053020000}"/>
    <cellStyle name="20% - Accent2 12 24" xfId="1023" xr:uid="{00000000-0005-0000-0000-000054020000}"/>
    <cellStyle name="20% - Accent2 12 25" xfId="1024" xr:uid="{00000000-0005-0000-0000-000055020000}"/>
    <cellStyle name="20% - Accent2 12 26" xfId="1025" xr:uid="{00000000-0005-0000-0000-000056020000}"/>
    <cellStyle name="20% - Accent2 12 27" xfId="1026" xr:uid="{00000000-0005-0000-0000-000057020000}"/>
    <cellStyle name="20% - Accent2 12 28" xfId="1027" xr:uid="{00000000-0005-0000-0000-000058020000}"/>
    <cellStyle name="20% - Accent2 12 29" xfId="1028" xr:uid="{00000000-0005-0000-0000-000059020000}"/>
    <cellStyle name="20% - Accent2 12 3" xfId="1029" xr:uid="{00000000-0005-0000-0000-00005A020000}"/>
    <cellStyle name="20% - Accent2 12 30" xfId="1030" xr:uid="{00000000-0005-0000-0000-00005B020000}"/>
    <cellStyle name="20% - Accent2 12 31" xfId="1031" xr:uid="{00000000-0005-0000-0000-00005C020000}"/>
    <cellStyle name="20% - Accent2 12 32" xfId="1032" xr:uid="{00000000-0005-0000-0000-00005D020000}"/>
    <cellStyle name="20% - Accent2 12 33" xfId="1033" xr:uid="{00000000-0005-0000-0000-00005E020000}"/>
    <cellStyle name="20% - Accent2 12 34" xfId="1034" xr:uid="{00000000-0005-0000-0000-00005F020000}"/>
    <cellStyle name="20% - Accent2 12 35" xfId="1035" xr:uid="{00000000-0005-0000-0000-000060020000}"/>
    <cellStyle name="20% - Accent2 12 36" xfId="1036" xr:uid="{00000000-0005-0000-0000-000061020000}"/>
    <cellStyle name="20% - Accent2 12 37" xfId="1037" xr:uid="{00000000-0005-0000-0000-000062020000}"/>
    <cellStyle name="20% - Accent2 12 38" xfId="1038" xr:uid="{00000000-0005-0000-0000-000063020000}"/>
    <cellStyle name="20% - Accent2 12 39" xfId="1039" xr:uid="{00000000-0005-0000-0000-000064020000}"/>
    <cellStyle name="20% - Accent2 12 4" xfId="1040" xr:uid="{00000000-0005-0000-0000-000065020000}"/>
    <cellStyle name="20% - Accent2 12 40" xfId="1041" xr:uid="{00000000-0005-0000-0000-000066020000}"/>
    <cellStyle name="20% - Accent2 12 41" xfId="1042" xr:uid="{00000000-0005-0000-0000-000067020000}"/>
    <cellStyle name="20% - Accent2 12 5" xfId="1043" xr:uid="{00000000-0005-0000-0000-000068020000}"/>
    <cellStyle name="20% - Accent2 12 6" xfId="1044" xr:uid="{00000000-0005-0000-0000-000069020000}"/>
    <cellStyle name="20% - Accent2 12 7" xfId="1045" xr:uid="{00000000-0005-0000-0000-00006A020000}"/>
    <cellStyle name="20% - Accent2 12 8" xfId="1046" xr:uid="{00000000-0005-0000-0000-00006B020000}"/>
    <cellStyle name="20% - Accent2 12 9" xfId="1047" xr:uid="{00000000-0005-0000-0000-00006C020000}"/>
    <cellStyle name="20% - Accent2 13" xfId="1048" xr:uid="{00000000-0005-0000-0000-00006D020000}"/>
    <cellStyle name="20% - Accent2 14" xfId="1049" xr:uid="{00000000-0005-0000-0000-00006E020000}"/>
    <cellStyle name="20% - Accent2 14 2" xfId="1050" xr:uid="{00000000-0005-0000-0000-00006F020000}"/>
    <cellStyle name="20% - Accent2 15" xfId="1051" xr:uid="{00000000-0005-0000-0000-000070020000}"/>
    <cellStyle name="20% - Accent2 16" xfId="3728" xr:uid="{00000000-0005-0000-0000-000071020000}"/>
    <cellStyle name="20% - Accent2 2" xfId="23" xr:uid="{00000000-0005-0000-0000-000072020000}"/>
    <cellStyle name="20% - Accent2 2 10" xfId="1052" xr:uid="{00000000-0005-0000-0000-000073020000}"/>
    <cellStyle name="20% - Accent2 2 11" xfId="1053" xr:uid="{00000000-0005-0000-0000-000074020000}"/>
    <cellStyle name="20% - Accent2 2 12" xfId="1054" xr:uid="{00000000-0005-0000-0000-000075020000}"/>
    <cellStyle name="20% - Accent2 2 13" xfId="1055" xr:uid="{00000000-0005-0000-0000-000076020000}"/>
    <cellStyle name="20% - Accent2 2 14" xfId="1056" xr:uid="{00000000-0005-0000-0000-000077020000}"/>
    <cellStyle name="20% - Accent2 2 15" xfId="1057" xr:uid="{00000000-0005-0000-0000-000078020000}"/>
    <cellStyle name="20% - Accent2 2 16" xfId="1058" xr:uid="{00000000-0005-0000-0000-000079020000}"/>
    <cellStyle name="20% - Accent2 2 17" xfId="1059" xr:uid="{00000000-0005-0000-0000-00007A020000}"/>
    <cellStyle name="20% - Accent2 2 18" xfId="1060" xr:uid="{00000000-0005-0000-0000-00007B020000}"/>
    <cellStyle name="20% - Accent2 2 19" xfId="1061" xr:uid="{00000000-0005-0000-0000-00007C020000}"/>
    <cellStyle name="20% - Accent2 2 2" xfId="332" xr:uid="{00000000-0005-0000-0000-00007D020000}"/>
    <cellStyle name="20% - Accent2 2 2 2" xfId="1062" xr:uid="{00000000-0005-0000-0000-00007E020000}"/>
    <cellStyle name="20% - Accent2 2 2 2 2" xfId="1063" xr:uid="{00000000-0005-0000-0000-00007F020000}"/>
    <cellStyle name="20% - Accent2 2 2 3" xfId="1064" xr:uid="{00000000-0005-0000-0000-000080020000}"/>
    <cellStyle name="20% - Accent2 2 2 4" xfId="1065" xr:uid="{00000000-0005-0000-0000-000081020000}"/>
    <cellStyle name="20% - Accent2 2 2 5" xfId="1066" xr:uid="{00000000-0005-0000-0000-000082020000}"/>
    <cellStyle name="20% - Accent2 2 20" xfId="1067" xr:uid="{00000000-0005-0000-0000-000083020000}"/>
    <cellStyle name="20% - Accent2 2 21" xfId="1068" xr:uid="{00000000-0005-0000-0000-000084020000}"/>
    <cellStyle name="20% - Accent2 2 22" xfId="1069" xr:uid="{00000000-0005-0000-0000-000085020000}"/>
    <cellStyle name="20% - Accent2 2 23" xfId="1070" xr:uid="{00000000-0005-0000-0000-000086020000}"/>
    <cellStyle name="20% - Accent2 2 24" xfId="1071" xr:uid="{00000000-0005-0000-0000-000087020000}"/>
    <cellStyle name="20% - Accent2 2 25" xfId="1072" xr:uid="{00000000-0005-0000-0000-000088020000}"/>
    <cellStyle name="20% - Accent2 2 26" xfId="1073" xr:uid="{00000000-0005-0000-0000-000089020000}"/>
    <cellStyle name="20% - Accent2 2 27" xfId="1074" xr:uid="{00000000-0005-0000-0000-00008A020000}"/>
    <cellStyle name="20% - Accent2 2 28" xfId="1075" xr:uid="{00000000-0005-0000-0000-00008B020000}"/>
    <cellStyle name="20% - Accent2 2 29" xfId="1076" xr:uid="{00000000-0005-0000-0000-00008C020000}"/>
    <cellStyle name="20% - Accent2 2 3" xfId="331" xr:uid="{00000000-0005-0000-0000-00008D020000}"/>
    <cellStyle name="20% - Accent2 2 3 2" xfId="1078" xr:uid="{00000000-0005-0000-0000-00008E020000}"/>
    <cellStyle name="20% - Accent2 2 3 3" xfId="1079" xr:uid="{00000000-0005-0000-0000-00008F020000}"/>
    <cellStyle name="20% - Accent2 2 3 4" xfId="1080" xr:uid="{00000000-0005-0000-0000-000090020000}"/>
    <cellStyle name="20% - Accent2 2 3 5" xfId="1081" xr:uid="{00000000-0005-0000-0000-000091020000}"/>
    <cellStyle name="20% - Accent2 2 3 6" xfId="1082" xr:uid="{00000000-0005-0000-0000-000092020000}"/>
    <cellStyle name="20% - Accent2 2 3 7" xfId="1077" xr:uid="{00000000-0005-0000-0000-000093020000}"/>
    <cellStyle name="20% - Accent2 2 30" xfId="1083" xr:uid="{00000000-0005-0000-0000-000094020000}"/>
    <cellStyle name="20% - Accent2 2 31" xfId="1084" xr:uid="{00000000-0005-0000-0000-000095020000}"/>
    <cellStyle name="20% - Accent2 2 32" xfId="1085" xr:uid="{00000000-0005-0000-0000-000096020000}"/>
    <cellStyle name="20% - Accent2 2 33" xfId="1086" xr:uid="{00000000-0005-0000-0000-000097020000}"/>
    <cellStyle name="20% - Accent2 2 34" xfId="1087" xr:uid="{00000000-0005-0000-0000-000098020000}"/>
    <cellStyle name="20% - Accent2 2 35" xfId="1088" xr:uid="{00000000-0005-0000-0000-000099020000}"/>
    <cellStyle name="20% - Accent2 2 36" xfId="1089" xr:uid="{00000000-0005-0000-0000-00009A020000}"/>
    <cellStyle name="20% - Accent2 2 37" xfId="1090" xr:uid="{00000000-0005-0000-0000-00009B020000}"/>
    <cellStyle name="20% - Accent2 2 38" xfId="1091" xr:uid="{00000000-0005-0000-0000-00009C020000}"/>
    <cellStyle name="20% - Accent2 2 39" xfId="1092" xr:uid="{00000000-0005-0000-0000-00009D020000}"/>
    <cellStyle name="20% - Accent2 2 4" xfId="1093" xr:uid="{00000000-0005-0000-0000-00009E020000}"/>
    <cellStyle name="20% - Accent2 2 40" xfId="1094" xr:uid="{00000000-0005-0000-0000-00009F020000}"/>
    <cellStyle name="20% - Accent2 2 41" xfId="1095" xr:uid="{00000000-0005-0000-0000-0000A0020000}"/>
    <cellStyle name="20% - Accent2 2 42" xfId="1096" xr:uid="{00000000-0005-0000-0000-0000A1020000}"/>
    <cellStyle name="20% - Accent2 2 43" xfId="1097" xr:uid="{00000000-0005-0000-0000-0000A2020000}"/>
    <cellStyle name="20% - Accent2 2 44" xfId="1098" xr:uid="{00000000-0005-0000-0000-0000A3020000}"/>
    <cellStyle name="20% - Accent2 2 45" xfId="1099" xr:uid="{00000000-0005-0000-0000-0000A4020000}"/>
    <cellStyle name="20% - Accent2 2 5" xfId="1100" xr:uid="{00000000-0005-0000-0000-0000A5020000}"/>
    <cellStyle name="20% - Accent2 2 6" xfId="1101" xr:uid="{00000000-0005-0000-0000-0000A6020000}"/>
    <cellStyle name="20% - Accent2 2 7" xfId="1102" xr:uid="{00000000-0005-0000-0000-0000A7020000}"/>
    <cellStyle name="20% - Accent2 2 8" xfId="1103" xr:uid="{00000000-0005-0000-0000-0000A8020000}"/>
    <cellStyle name="20% - Accent2 2 9" xfId="1104" xr:uid="{00000000-0005-0000-0000-0000A9020000}"/>
    <cellStyle name="20% - Accent2 2_SNL_BankReg_UBPR_v1_CustomPeers" xfId="1105" xr:uid="{00000000-0005-0000-0000-0000AA020000}"/>
    <cellStyle name="20% - Accent2 3" xfId="330" xr:uid="{00000000-0005-0000-0000-0000AB020000}"/>
    <cellStyle name="20% - Accent2 3 10" xfId="1107" xr:uid="{00000000-0005-0000-0000-0000AC020000}"/>
    <cellStyle name="20% - Accent2 3 11" xfId="1108" xr:uid="{00000000-0005-0000-0000-0000AD020000}"/>
    <cellStyle name="20% - Accent2 3 12" xfId="1109" xr:uid="{00000000-0005-0000-0000-0000AE020000}"/>
    <cellStyle name="20% - Accent2 3 13" xfId="1110" xr:uid="{00000000-0005-0000-0000-0000AF020000}"/>
    <cellStyle name="20% - Accent2 3 14" xfId="1111" xr:uid="{00000000-0005-0000-0000-0000B0020000}"/>
    <cellStyle name="20% - Accent2 3 15" xfId="1112" xr:uid="{00000000-0005-0000-0000-0000B1020000}"/>
    <cellStyle name="20% - Accent2 3 16" xfId="1113" xr:uid="{00000000-0005-0000-0000-0000B2020000}"/>
    <cellStyle name="20% - Accent2 3 17" xfId="1114" xr:uid="{00000000-0005-0000-0000-0000B3020000}"/>
    <cellStyle name="20% - Accent2 3 18" xfId="1115" xr:uid="{00000000-0005-0000-0000-0000B4020000}"/>
    <cellStyle name="20% - Accent2 3 19" xfId="1116" xr:uid="{00000000-0005-0000-0000-0000B5020000}"/>
    <cellStyle name="20% - Accent2 3 2" xfId="1117" xr:uid="{00000000-0005-0000-0000-0000B6020000}"/>
    <cellStyle name="20% - Accent2 3 20" xfId="1118" xr:uid="{00000000-0005-0000-0000-0000B7020000}"/>
    <cellStyle name="20% - Accent2 3 21" xfId="1119" xr:uid="{00000000-0005-0000-0000-0000B8020000}"/>
    <cellStyle name="20% - Accent2 3 22" xfId="1120" xr:uid="{00000000-0005-0000-0000-0000B9020000}"/>
    <cellStyle name="20% - Accent2 3 23" xfId="1121" xr:uid="{00000000-0005-0000-0000-0000BA020000}"/>
    <cellStyle name="20% - Accent2 3 24" xfId="1122" xr:uid="{00000000-0005-0000-0000-0000BB020000}"/>
    <cellStyle name="20% - Accent2 3 25" xfId="1123" xr:uid="{00000000-0005-0000-0000-0000BC020000}"/>
    <cellStyle name="20% - Accent2 3 26" xfId="1124" xr:uid="{00000000-0005-0000-0000-0000BD020000}"/>
    <cellStyle name="20% - Accent2 3 27" xfId="1125" xr:uid="{00000000-0005-0000-0000-0000BE020000}"/>
    <cellStyle name="20% - Accent2 3 28" xfId="1126" xr:uid="{00000000-0005-0000-0000-0000BF020000}"/>
    <cellStyle name="20% - Accent2 3 29" xfId="1127" xr:uid="{00000000-0005-0000-0000-0000C0020000}"/>
    <cellStyle name="20% - Accent2 3 3" xfId="1128" xr:uid="{00000000-0005-0000-0000-0000C1020000}"/>
    <cellStyle name="20% - Accent2 3 30" xfId="1129" xr:uid="{00000000-0005-0000-0000-0000C2020000}"/>
    <cellStyle name="20% - Accent2 3 31" xfId="1130" xr:uid="{00000000-0005-0000-0000-0000C3020000}"/>
    <cellStyle name="20% - Accent2 3 32" xfId="1131" xr:uid="{00000000-0005-0000-0000-0000C4020000}"/>
    <cellStyle name="20% - Accent2 3 33" xfId="1132" xr:uid="{00000000-0005-0000-0000-0000C5020000}"/>
    <cellStyle name="20% - Accent2 3 34" xfId="1133" xr:uid="{00000000-0005-0000-0000-0000C6020000}"/>
    <cellStyle name="20% - Accent2 3 35" xfId="1134" xr:uid="{00000000-0005-0000-0000-0000C7020000}"/>
    <cellStyle name="20% - Accent2 3 36" xfId="1135" xr:uid="{00000000-0005-0000-0000-0000C8020000}"/>
    <cellStyle name="20% - Accent2 3 37" xfId="1136" xr:uid="{00000000-0005-0000-0000-0000C9020000}"/>
    <cellStyle name="20% - Accent2 3 38" xfId="1137" xr:uid="{00000000-0005-0000-0000-0000CA020000}"/>
    <cellStyle name="20% - Accent2 3 39" xfId="1138" xr:uid="{00000000-0005-0000-0000-0000CB020000}"/>
    <cellStyle name="20% - Accent2 3 4" xfId="1139" xr:uid="{00000000-0005-0000-0000-0000CC020000}"/>
    <cellStyle name="20% - Accent2 3 40" xfId="1140" xr:uid="{00000000-0005-0000-0000-0000CD020000}"/>
    <cellStyle name="20% - Accent2 3 41" xfId="1141" xr:uid="{00000000-0005-0000-0000-0000CE020000}"/>
    <cellStyle name="20% - Accent2 3 42" xfId="1142" xr:uid="{00000000-0005-0000-0000-0000CF020000}"/>
    <cellStyle name="20% - Accent2 3 43" xfId="1143" xr:uid="{00000000-0005-0000-0000-0000D0020000}"/>
    <cellStyle name="20% - Accent2 3 44" xfId="1144" xr:uid="{00000000-0005-0000-0000-0000D1020000}"/>
    <cellStyle name="20% - Accent2 3 45" xfId="1145" xr:uid="{00000000-0005-0000-0000-0000D2020000}"/>
    <cellStyle name="20% - Accent2 3 46" xfId="1106" xr:uid="{00000000-0005-0000-0000-0000D3020000}"/>
    <cellStyle name="20% - Accent2 3 5" xfId="1146" xr:uid="{00000000-0005-0000-0000-0000D4020000}"/>
    <cellStyle name="20% - Accent2 3 6" xfId="1147" xr:uid="{00000000-0005-0000-0000-0000D5020000}"/>
    <cellStyle name="20% - Accent2 3 7" xfId="1148" xr:uid="{00000000-0005-0000-0000-0000D6020000}"/>
    <cellStyle name="20% - Accent2 3 8" xfId="1149" xr:uid="{00000000-0005-0000-0000-0000D7020000}"/>
    <cellStyle name="20% - Accent2 3 9" xfId="1150" xr:uid="{00000000-0005-0000-0000-0000D8020000}"/>
    <cellStyle name="20% - Accent2 4" xfId="1151" xr:uid="{00000000-0005-0000-0000-0000D9020000}"/>
    <cellStyle name="20% - Accent2 4 10" xfId="1152" xr:uid="{00000000-0005-0000-0000-0000DA020000}"/>
    <cellStyle name="20% - Accent2 4 11" xfId="1153" xr:uid="{00000000-0005-0000-0000-0000DB020000}"/>
    <cellStyle name="20% - Accent2 4 12" xfId="1154" xr:uid="{00000000-0005-0000-0000-0000DC020000}"/>
    <cellStyle name="20% - Accent2 4 13" xfId="1155" xr:uid="{00000000-0005-0000-0000-0000DD020000}"/>
    <cellStyle name="20% - Accent2 4 14" xfId="1156" xr:uid="{00000000-0005-0000-0000-0000DE020000}"/>
    <cellStyle name="20% - Accent2 4 15" xfId="1157" xr:uid="{00000000-0005-0000-0000-0000DF020000}"/>
    <cellStyle name="20% - Accent2 4 16" xfId="1158" xr:uid="{00000000-0005-0000-0000-0000E0020000}"/>
    <cellStyle name="20% - Accent2 4 17" xfId="1159" xr:uid="{00000000-0005-0000-0000-0000E1020000}"/>
    <cellStyle name="20% - Accent2 4 18" xfId="1160" xr:uid="{00000000-0005-0000-0000-0000E2020000}"/>
    <cellStyle name="20% - Accent2 4 19" xfId="1161" xr:uid="{00000000-0005-0000-0000-0000E3020000}"/>
    <cellStyle name="20% - Accent2 4 2" xfId="1162" xr:uid="{00000000-0005-0000-0000-0000E4020000}"/>
    <cellStyle name="20% - Accent2 4 20" xfId="1163" xr:uid="{00000000-0005-0000-0000-0000E5020000}"/>
    <cellStyle name="20% - Accent2 4 21" xfId="1164" xr:uid="{00000000-0005-0000-0000-0000E6020000}"/>
    <cellStyle name="20% - Accent2 4 22" xfId="1165" xr:uid="{00000000-0005-0000-0000-0000E7020000}"/>
    <cellStyle name="20% - Accent2 4 23" xfId="1166" xr:uid="{00000000-0005-0000-0000-0000E8020000}"/>
    <cellStyle name="20% - Accent2 4 24" xfId="1167" xr:uid="{00000000-0005-0000-0000-0000E9020000}"/>
    <cellStyle name="20% - Accent2 4 25" xfId="1168" xr:uid="{00000000-0005-0000-0000-0000EA020000}"/>
    <cellStyle name="20% - Accent2 4 26" xfId="1169" xr:uid="{00000000-0005-0000-0000-0000EB020000}"/>
    <cellStyle name="20% - Accent2 4 27" xfId="1170" xr:uid="{00000000-0005-0000-0000-0000EC020000}"/>
    <cellStyle name="20% - Accent2 4 28" xfId="1171" xr:uid="{00000000-0005-0000-0000-0000ED020000}"/>
    <cellStyle name="20% - Accent2 4 29" xfId="1172" xr:uid="{00000000-0005-0000-0000-0000EE020000}"/>
    <cellStyle name="20% - Accent2 4 3" xfId="1173" xr:uid="{00000000-0005-0000-0000-0000EF020000}"/>
    <cellStyle name="20% - Accent2 4 30" xfId="1174" xr:uid="{00000000-0005-0000-0000-0000F0020000}"/>
    <cellStyle name="20% - Accent2 4 31" xfId="1175" xr:uid="{00000000-0005-0000-0000-0000F1020000}"/>
    <cellStyle name="20% - Accent2 4 32" xfId="1176" xr:uid="{00000000-0005-0000-0000-0000F2020000}"/>
    <cellStyle name="20% - Accent2 4 33" xfId="1177" xr:uid="{00000000-0005-0000-0000-0000F3020000}"/>
    <cellStyle name="20% - Accent2 4 34" xfId="1178" xr:uid="{00000000-0005-0000-0000-0000F4020000}"/>
    <cellStyle name="20% - Accent2 4 35" xfId="1179" xr:uid="{00000000-0005-0000-0000-0000F5020000}"/>
    <cellStyle name="20% - Accent2 4 36" xfId="1180" xr:uid="{00000000-0005-0000-0000-0000F6020000}"/>
    <cellStyle name="20% - Accent2 4 37" xfId="1181" xr:uid="{00000000-0005-0000-0000-0000F7020000}"/>
    <cellStyle name="20% - Accent2 4 38" xfId="1182" xr:uid="{00000000-0005-0000-0000-0000F8020000}"/>
    <cellStyle name="20% - Accent2 4 39" xfId="1183" xr:uid="{00000000-0005-0000-0000-0000F9020000}"/>
    <cellStyle name="20% - Accent2 4 4" xfId="1184" xr:uid="{00000000-0005-0000-0000-0000FA020000}"/>
    <cellStyle name="20% - Accent2 4 40" xfId="1185" xr:uid="{00000000-0005-0000-0000-0000FB020000}"/>
    <cellStyle name="20% - Accent2 4 41" xfId="1186" xr:uid="{00000000-0005-0000-0000-0000FC020000}"/>
    <cellStyle name="20% - Accent2 4 5" xfId="1187" xr:uid="{00000000-0005-0000-0000-0000FD020000}"/>
    <cellStyle name="20% - Accent2 4 6" xfId="1188" xr:uid="{00000000-0005-0000-0000-0000FE020000}"/>
    <cellStyle name="20% - Accent2 4 7" xfId="1189" xr:uid="{00000000-0005-0000-0000-0000FF020000}"/>
    <cellStyle name="20% - Accent2 4 8" xfId="1190" xr:uid="{00000000-0005-0000-0000-000000030000}"/>
    <cellStyle name="20% - Accent2 4 9" xfId="1191" xr:uid="{00000000-0005-0000-0000-000001030000}"/>
    <cellStyle name="20% - Accent2 5" xfId="1192" xr:uid="{00000000-0005-0000-0000-000002030000}"/>
    <cellStyle name="20% - Accent2 5 10" xfId="1193" xr:uid="{00000000-0005-0000-0000-000003030000}"/>
    <cellStyle name="20% - Accent2 5 11" xfId="1194" xr:uid="{00000000-0005-0000-0000-000004030000}"/>
    <cellStyle name="20% - Accent2 5 12" xfId="1195" xr:uid="{00000000-0005-0000-0000-000005030000}"/>
    <cellStyle name="20% - Accent2 5 13" xfId="1196" xr:uid="{00000000-0005-0000-0000-000006030000}"/>
    <cellStyle name="20% - Accent2 5 14" xfId="1197" xr:uid="{00000000-0005-0000-0000-000007030000}"/>
    <cellStyle name="20% - Accent2 5 15" xfId="1198" xr:uid="{00000000-0005-0000-0000-000008030000}"/>
    <cellStyle name="20% - Accent2 5 16" xfId="1199" xr:uid="{00000000-0005-0000-0000-000009030000}"/>
    <cellStyle name="20% - Accent2 5 17" xfId="1200" xr:uid="{00000000-0005-0000-0000-00000A030000}"/>
    <cellStyle name="20% - Accent2 5 18" xfId="1201" xr:uid="{00000000-0005-0000-0000-00000B030000}"/>
    <cellStyle name="20% - Accent2 5 19" xfId="1202" xr:uid="{00000000-0005-0000-0000-00000C030000}"/>
    <cellStyle name="20% - Accent2 5 2" xfId="1203" xr:uid="{00000000-0005-0000-0000-00000D030000}"/>
    <cellStyle name="20% - Accent2 5 20" xfId="1204" xr:uid="{00000000-0005-0000-0000-00000E030000}"/>
    <cellStyle name="20% - Accent2 5 21" xfId="1205" xr:uid="{00000000-0005-0000-0000-00000F030000}"/>
    <cellStyle name="20% - Accent2 5 22" xfId="1206" xr:uid="{00000000-0005-0000-0000-000010030000}"/>
    <cellStyle name="20% - Accent2 5 23" xfId="1207" xr:uid="{00000000-0005-0000-0000-000011030000}"/>
    <cellStyle name="20% - Accent2 5 24" xfId="1208" xr:uid="{00000000-0005-0000-0000-000012030000}"/>
    <cellStyle name="20% - Accent2 5 25" xfId="1209" xr:uid="{00000000-0005-0000-0000-000013030000}"/>
    <cellStyle name="20% - Accent2 5 26" xfId="1210" xr:uid="{00000000-0005-0000-0000-000014030000}"/>
    <cellStyle name="20% - Accent2 5 27" xfId="1211" xr:uid="{00000000-0005-0000-0000-000015030000}"/>
    <cellStyle name="20% - Accent2 5 28" xfId="1212" xr:uid="{00000000-0005-0000-0000-000016030000}"/>
    <cellStyle name="20% - Accent2 5 29" xfId="1213" xr:uid="{00000000-0005-0000-0000-000017030000}"/>
    <cellStyle name="20% - Accent2 5 3" xfId="1214" xr:uid="{00000000-0005-0000-0000-000018030000}"/>
    <cellStyle name="20% - Accent2 5 30" xfId="1215" xr:uid="{00000000-0005-0000-0000-000019030000}"/>
    <cellStyle name="20% - Accent2 5 31" xfId="1216" xr:uid="{00000000-0005-0000-0000-00001A030000}"/>
    <cellStyle name="20% - Accent2 5 32" xfId="1217" xr:uid="{00000000-0005-0000-0000-00001B030000}"/>
    <cellStyle name="20% - Accent2 5 33" xfId="1218" xr:uid="{00000000-0005-0000-0000-00001C030000}"/>
    <cellStyle name="20% - Accent2 5 34" xfId="1219" xr:uid="{00000000-0005-0000-0000-00001D030000}"/>
    <cellStyle name="20% - Accent2 5 35" xfId="1220" xr:uid="{00000000-0005-0000-0000-00001E030000}"/>
    <cellStyle name="20% - Accent2 5 36" xfId="1221" xr:uid="{00000000-0005-0000-0000-00001F030000}"/>
    <cellStyle name="20% - Accent2 5 37" xfId="1222" xr:uid="{00000000-0005-0000-0000-000020030000}"/>
    <cellStyle name="20% - Accent2 5 38" xfId="1223" xr:uid="{00000000-0005-0000-0000-000021030000}"/>
    <cellStyle name="20% - Accent2 5 39" xfId="1224" xr:uid="{00000000-0005-0000-0000-000022030000}"/>
    <cellStyle name="20% - Accent2 5 4" xfId="1225" xr:uid="{00000000-0005-0000-0000-000023030000}"/>
    <cellStyle name="20% - Accent2 5 40" xfId="1226" xr:uid="{00000000-0005-0000-0000-000024030000}"/>
    <cellStyle name="20% - Accent2 5 41" xfId="1227" xr:uid="{00000000-0005-0000-0000-000025030000}"/>
    <cellStyle name="20% - Accent2 5 5" xfId="1228" xr:uid="{00000000-0005-0000-0000-000026030000}"/>
    <cellStyle name="20% - Accent2 5 6" xfId="1229" xr:uid="{00000000-0005-0000-0000-000027030000}"/>
    <cellStyle name="20% - Accent2 5 7" xfId="1230" xr:uid="{00000000-0005-0000-0000-000028030000}"/>
    <cellStyle name="20% - Accent2 5 8" xfId="1231" xr:uid="{00000000-0005-0000-0000-000029030000}"/>
    <cellStyle name="20% - Accent2 5 9" xfId="1232" xr:uid="{00000000-0005-0000-0000-00002A030000}"/>
    <cellStyle name="20% - Accent2 6" xfId="1233" xr:uid="{00000000-0005-0000-0000-00002B030000}"/>
    <cellStyle name="20% - Accent2 6 10" xfId="1234" xr:uid="{00000000-0005-0000-0000-00002C030000}"/>
    <cellStyle name="20% - Accent2 6 11" xfId="1235" xr:uid="{00000000-0005-0000-0000-00002D030000}"/>
    <cellStyle name="20% - Accent2 6 12" xfId="1236" xr:uid="{00000000-0005-0000-0000-00002E030000}"/>
    <cellStyle name="20% - Accent2 6 13" xfId="1237" xr:uid="{00000000-0005-0000-0000-00002F030000}"/>
    <cellStyle name="20% - Accent2 6 14" xfId="1238" xr:uid="{00000000-0005-0000-0000-000030030000}"/>
    <cellStyle name="20% - Accent2 6 15" xfId="1239" xr:uid="{00000000-0005-0000-0000-000031030000}"/>
    <cellStyle name="20% - Accent2 6 16" xfId="1240" xr:uid="{00000000-0005-0000-0000-000032030000}"/>
    <cellStyle name="20% - Accent2 6 17" xfId="1241" xr:uid="{00000000-0005-0000-0000-000033030000}"/>
    <cellStyle name="20% - Accent2 6 18" xfId="1242" xr:uid="{00000000-0005-0000-0000-000034030000}"/>
    <cellStyle name="20% - Accent2 6 19" xfId="1243" xr:uid="{00000000-0005-0000-0000-000035030000}"/>
    <cellStyle name="20% - Accent2 6 2" xfId="1244" xr:uid="{00000000-0005-0000-0000-000036030000}"/>
    <cellStyle name="20% - Accent2 6 20" xfId="1245" xr:uid="{00000000-0005-0000-0000-000037030000}"/>
    <cellStyle name="20% - Accent2 6 21" xfId="1246" xr:uid="{00000000-0005-0000-0000-000038030000}"/>
    <cellStyle name="20% - Accent2 6 22" xfId="1247" xr:uid="{00000000-0005-0000-0000-000039030000}"/>
    <cellStyle name="20% - Accent2 6 23" xfId="1248" xr:uid="{00000000-0005-0000-0000-00003A030000}"/>
    <cellStyle name="20% - Accent2 6 24" xfId="1249" xr:uid="{00000000-0005-0000-0000-00003B030000}"/>
    <cellStyle name="20% - Accent2 6 25" xfId="1250" xr:uid="{00000000-0005-0000-0000-00003C030000}"/>
    <cellStyle name="20% - Accent2 6 26" xfId="1251" xr:uid="{00000000-0005-0000-0000-00003D030000}"/>
    <cellStyle name="20% - Accent2 6 27" xfId="1252" xr:uid="{00000000-0005-0000-0000-00003E030000}"/>
    <cellStyle name="20% - Accent2 6 28" xfId="1253" xr:uid="{00000000-0005-0000-0000-00003F030000}"/>
    <cellStyle name="20% - Accent2 6 29" xfId="1254" xr:uid="{00000000-0005-0000-0000-000040030000}"/>
    <cellStyle name="20% - Accent2 6 3" xfId="1255" xr:uid="{00000000-0005-0000-0000-000041030000}"/>
    <cellStyle name="20% - Accent2 6 30" xfId="1256" xr:uid="{00000000-0005-0000-0000-000042030000}"/>
    <cellStyle name="20% - Accent2 6 31" xfId="1257" xr:uid="{00000000-0005-0000-0000-000043030000}"/>
    <cellStyle name="20% - Accent2 6 32" xfId="1258" xr:uid="{00000000-0005-0000-0000-000044030000}"/>
    <cellStyle name="20% - Accent2 6 33" xfId="1259" xr:uid="{00000000-0005-0000-0000-000045030000}"/>
    <cellStyle name="20% - Accent2 6 34" xfId="1260" xr:uid="{00000000-0005-0000-0000-000046030000}"/>
    <cellStyle name="20% - Accent2 6 35" xfId="1261" xr:uid="{00000000-0005-0000-0000-000047030000}"/>
    <cellStyle name="20% - Accent2 6 36" xfId="1262" xr:uid="{00000000-0005-0000-0000-000048030000}"/>
    <cellStyle name="20% - Accent2 6 37" xfId="1263" xr:uid="{00000000-0005-0000-0000-000049030000}"/>
    <cellStyle name="20% - Accent2 6 38" xfId="1264" xr:uid="{00000000-0005-0000-0000-00004A030000}"/>
    <cellStyle name="20% - Accent2 6 39" xfId="1265" xr:uid="{00000000-0005-0000-0000-00004B030000}"/>
    <cellStyle name="20% - Accent2 6 4" xfId="1266" xr:uid="{00000000-0005-0000-0000-00004C030000}"/>
    <cellStyle name="20% - Accent2 6 40" xfId="1267" xr:uid="{00000000-0005-0000-0000-00004D030000}"/>
    <cellStyle name="20% - Accent2 6 41" xfId="1268" xr:uid="{00000000-0005-0000-0000-00004E030000}"/>
    <cellStyle name="20% - Accent2 6 5" xfId="1269" xr:uid="{00000000-0005-0000-0000-00004F030000}"/>
    <cellStyle name="20% - Accent2 6 6" xfId="1270" xr:uid="{00000000-0005-0000-0000-000050030000}"/>
    <cellStyle name="20% - Accent2 6 7" xfId="1271" xr:uid="{00000000-0005-0000-0000-000051030000}"/>
    <cellStyle name="20% - Accent2 6 8" xfId="1272" xr:uid="{00000000-0005-0000-0000-000052030000}"/>
    <cellStyle name="20% - Accent2 6 9" xfId="1273" xr:uid="{00000000-0005-0000-0000-000053030000}"/>
    <cellStyle name="20% - Accent2 7" xfId="1274" xr:uid="{00000000-0005-0000-0000-000054030000}"/>
    <cellStyle name="20% - Accent2 7 10" xfId="1275" xr:uid="{00000000-0005-0000-0000-000055030000}"/>
    <cellStyle name="20% - Accent2 7 11" xfId="1276" xr:uid="{00000000-0005-0000-0000-000056030000}"/>
    <cellStyle name="20% - Accent2 7 12" xfId="1277" xr:uid="{00000000-0005-0000-0000-000057030000}"/>
    <cellStyle name="20% - Accent2 7 13" xfId="1278" xr:uid="{00000000-0005-0000-0000-000058030000}"/>
    <cellStyle name="20% - Accent2 7 14" xfId="1279" xr:uid="{00000000-0005-0000-0000-000059030000}"/>
    <cellStyle name="20% - Accent2 7 15" xfId="1280" xr:uid="{00000000-0005-0000-0000-00005A030000}"/>
    <cellStyle name="20% - Accent2 7 16" xfId="1281" xr:uid="{00000000-0005-0000-0000-00005B030000}"/>
    <cellStyle name="20% - Accent2 7 17" xfId="1282" xr:uid="{00000000-0005-0000-0000-00005C030000}"/>
    <cellStyle name="20% - Accent2 7 18" xfId="1283" xr:uid="{00000000-0005-0000-0000-00005D030000}"/>
    <cellStyle name="20% - Accent2 7 19" xfId="1284" xr:uid="{00000000-0005-0000-0000-00005E030000}"/>
    <cellStyle name="20% - Accent2 7 2" xfId="1285" xr:uid="{00000000-0005-0000-0000-00005F030000}"/>
    <cellStyle name="20% - Accent2 7 20" xfId="1286" xr:uid="{00000000-0005-0000-0000-000060030000}"/>
    <cellStyle name="20% - Accent2 7 21" xfId="1287" xr:uid="{00000000-0005-0000-0000-000061030000}"/>
    <cellStyle name="20% - Accent2 7 22" xfId="1288" xr:uid="{00000000-0005-0000-0000-000062030000}"/>
    <cellStyle name="20% - Accent2 7 23" xfId="1289" xr:uid="{00000000-0005-0000-0000-000063030000}"/>
    <cellStyle name="20% - Accent2 7 24" xfId="1290" xr:uid="{00000000-0005-0000-0000-000064030000}"/>
    <cellStyle name="20% - Accent2 7 25" xfId="1291" xr:uid="{00000000-0005-0000-0000-000065030000}"/>
    <cellStyle name="20% - Accent2 7 26" xfId="1292" xr:uid="{00000000-0005-0000-0000-000066030000}"/>
    <cellStyle name="20% - Accent2 7 27" xfId="1293" xr:uid="{00000000-0005-0000-0000-000067030000}"/>
    <cellStyle name="20% - Accent2 7 28" xfId="1294" xr:uid="{00000000-0005-0000-0000-000068030000}"/>
    <cellStyle name="20% - Accent2 7 29" xfId="1295" xr:uid="{00000000-0005-0000-0000-000069030000}"/>
    <cellStyle name="20% - Accent2 7 3" xfId="1296" xr:uid="{00000000-0005-0000-0000-00006A030000}"/>
    <cellStyle name="20% - Accent2 7 30" xfId="1297" xr:uid="{00000000-0005-0000-0000-00006B030000}"/>
    <cellStyle name="20% - Accent2 7 31" xfId="1298" xr:uid="{00000000-0005-0000-0000-00006C030000}"/>
    <cellStyle name="20% - Accent2 7 32" xfId="1299" xr:uid="{00000000-0005-0000-0000-00006D030000}"/>
    <cellStyle name="20% - Accent2 7 33" xfId="1300" xr:uid="{00000000-0005-0000-0000-00006E030000}"/>
    <cellStyle name="20% - Accent2 7 34" xfId="1301" xr:uid="{00000000-0005-0000-0000-00006F030000}"/>
    <cellStyle name="20% - Accent2 7 35" xfId="1302" xr:uid="{00000000-0005-0000-0000-000070030000}"/>
    <cellStyle name="20% - Accent2 7 36" xfId="1303" xr:uid="{00000000-0005-0000-0000-000071030000}"/>
    <cellStyle name="20% - Accent2 7 37" xfId="1304" xr:uid="{00000000-0005-0000-0000-000072030000}"/>
    <cellStyle name="20% - Accent2 7 38" xfId="1305" xr:uid="{00000000-0005-0000-0000-000073030000}"/>
    <cellStyle name="20% - Accent2 7 39" xfId="1306" xr:uid="{00000000-0005-0000-0000-000074030000}"/>
    <cellStyle name="20% - Accent2 7 4" xfId="1307" xr:uid="{00000000-0005-0000-0000-000075030000}"/>
    <cellStyle name="20% - Accent2 7 40" xfId="1308" xr:uid="{00000000-0005-0000-0000-000076030000}"/>
    <cellStyle name="20% - Accent2 7 41" xfId="1309" xr:uid="{00000000-0005-0000-0000-000077030000}"/>
    <cellStyle name="20% - Accent2 7 5" xfId="1310" xr:uid="{00000000-0005-0000-0000-000078030000}"/>
    <cellStyle name="20% - Accent2 7 6" xfId="1311" xr:uid="{00000000-0005-0000-0000-000079030000}"/>
    <cellStyle name="20% - Accent2 7 7" xfId="1312" xr:uid="{00000000-0005-0000-0000-00007A030000}"/>
    <cellStyle name="20% - Accent2 7 8" xfId="1313" xr:uid="{00000000-0005-0000-0000-00007B030000}"/>
    <cellStyle name="20% - Accent2 7 9" xfId="1314" xr:uid="{00000000-0005-0000-0000-00007C030000}"/>
    <cellStyle name="20% - Accent2 8" xfId="1315" xr:uid="{00000000-0005-0000-0000-00007D030000}"/>
    <cellStyle name="20% - Accent2 8 10" xfId="1316" xr:uid="{00000000-0005-0000-0000-00007E030000}"/>
    <cellStyle name="20% - Accent2 8 11" xfId="1317" xr:uid="{00000000-0005-0000-0000-00007F030000}"/>
    <cellStyle name="20% - Accent2 8 12" xfId="1318" xr:uid="{00000000-0005-0000-0000-000080030000}"/>
    <cellStyle name="20% - Accent2 8 13" xfId="1319" xr:uid="{00000000-0005-0000-0000-000081030000}"/>
    <cellStyle name="20% - Accent2 8 14" xfId="1320" xr:uid="{00000000-0005-0000-0000-000082030000}"/>
    <cellStyle name="20% - Accent2 8 15" xfId="1321" xr:uid="{00000000-0005-0000-0000-000083030000}"/>
    <cellStyle name="20% - Accent2 8 16" xfId="1322" xr:uid="{00000000-0005-0000-0000-000084030000}"/>
    <cellStyle name="20% - Accent2 8 17" xfId="1323" xr:uid="{00000000-0005-0000-0000-000085030000}"/>
    <cellStyle name="20% - Accent2 8 18" xfId="1324" xr:uid="{00000000-0005-0000-0000-000086030000}"/>
    <cellStyle name="20% - Accent2 8 19" xfId="1325" xr:uid="{00000000-0005-0000-0000-000087030000}"/>
    <cellStyle name="20% - Accent2 8 2" xfId="1326" xr:uid="{00000000-0005-0000-0000-000088030000}"/>
    <cellStyle name="20% - Accent2 8 20" xfId="1327" xr:uid="{00000000-0005-0000-0000-000089030000}"/>
    <cellStyle name="20% - Accent2 8 21" xfId="1328" xr:uid="{00000000-0005-0000-0000-00008A030000}"/>
    <cellStyle name="20% - Accent2 8 22" xfId="1329" xr:uid="{00000000-0005-0000-0000-00008B030000}"/>
    <cellStyle name="20% - Accent2 8 23" xfId="1330" xr:uid="{00000000-0005-0000-0000-00008C030000}"/>
    <cellStyle name="20% - Accent2 8 24" xfId="1331" xr:uid="{00000000-0005-0000-0000-00008D030000}"/>
    <cellStyle name="20% - Accent2 8 25" xfId="1332" xr:uid="{00000000-0005-0000-0000-00008E030000}"/>
    <cellStyle name="20% - Accent2 8 26" xfId="1333" xr:uid="{00000000-0005-0000-0000-00008F030000}"/>
    <cellStyle name="20% - Accent2 8 27" xfId="1334" xr:uid="{00000000-0005-0000-0000-000090030000}"/>
    <cellStyle name="20% - Accent2 8 28" xfId="1335" xr:uid="{00000000-0005-0000-0000-000091030000}"/>
    <cellStyle name="20% - Accent2 8 29" xfId="1336" xr:uid="{00000000-0005-0000-0000-000092030000}"/>
    <cellStyle name="20% - Accent2 8 3" xfId="1337" xr:uid="{00000000-0005-0000-0000-000093030000}"/>
    <cellStyle name="20% - Accent2 8 30" xfId="1338" xr:uid="{00000000-0005-0000-0000-000094030000}"/>
    <cellStyle name="20% - Accent2 8 31" xfId="1339" xr:uid="{00000000-0005-0000-0000-000095030000}"/>
    <cellStyle name="20% - Accent2 8 32" xfId="1340" xr:uid="{00000000-0005-0000-0000-000096030000}"/>
    <cellStyle name="20% - Accent2 8 33" xfId="1341" xr:uid="{00000000-0005-0000-0000-000097030000}"/>
    <cellStyle name="20% - Accent2 8 34" xfId="1342" xr:uid="{00000000-0005-0000-0000-000098030000}"/>
    <cellStyle name="20% - Accent2 8 35" xfId="1343" xr:uid="{00000000-0005-0000-0000-000099030000}"/>
    <cellStyle name="20% - Accent2 8 36" xfId="1344" xr:uid="{00000000-0005-0000-0000-00009A030000}"/>
    <cellStyle name="20% - Accent2 8 37" xfId="1345" xr:uid="{00000000-0005-0000-0000-00009B030000}"/>
    <cellStyle name="20% - Accent2 8 38" xfId="1346" xr:uid="{00000000-0005-0000-0000-00009C030000}"/>
    <cellStyle name="20% - Accent2 8 39" xfId="1347" xr:uid="{00000000-0005-0000-0000-00009D030000}"/>
    <cellStyle name="20% - Accent2 8 4" xfId="1348" xr:uid="{00000000-0005-0000-0000-00009E030000}"/>
    <cellStyle name="20% - Accent2 8 40" xfId="1349" xr:uid="{00000000-0005-0000-0000-00009F030000}"/>
    <cellStyle name="20% - Accent2 8 41" xfId="1350" xr:uid="{00000000-0005-0000-0000-0000A0030000}"/>
    <cellStyle name="20% - Accent2 8 5" xfId="1351" xr:uid="{00000000-0005-0000-0000-0000A1030000}"/>
    <cellStyle name="20% - Accent2 8 6" xfId="1352" xr:uid="{00000000-0005-0000-0000-0000A2030000}"/>
    <cellStyle name="20% - Accent2 8 7" xfId="1353" xr:uid="{00000000-0005-0000-0000-0000A3030000}"/>
    <cellStyle name="20% - Accent2 8 8" xfId="1354" xr:uid="{00000000-0005-0000-0000-0000A4030000}"/>
    <cellStyle name="20% - Accent2 8 9" xfId="1355" xr:uid="{00000000-0005-0000-0000-0000A5030000}"/>
    <cellStyle name="20% - Accent2 9" xfId="1356" xr:uid="{00000000-0005-0000-0000-0000A6030000}"/>
    <cellStyle name="20% - Accent2 9 10" xfId="1357" xr:uid="{00000000-0005-0000-0000-0000A7030000}"/>
    <cellStyle name="20% - Accent2 9 11" xfId="1358" xr:uid="{00000000-0005-0000-0000-0000A8030000}"/>
    <cellStyle name="20% - Accent2 9 12" xfId="1359" xr:uid="{00000000-0005-0000-0000-0000A9030000}"/>
    <cellStyle name="20% - Accent2 9 13" xfId="1360" xr:uid="{00000000-0005-0000-0000-0000AA030000}"/>
    <cellStyle name="20% - Accent2 9 14" xfId="1361" xr:uid="{00000000-0005-0000-0000-0000AB030000}"/>
    <cellStyle name="20% - Accent2 9 15" xfId="1362" xr:uid="{00000000-0005-0000-0000-0000AC030000}"/>
    <cellStyle name="20% - Accent2 9 16" xfId="1363" xr:uid="{00000000-0005-0000-0000-0000AD030000}"/>
    <cellStyle name="20% - Accent2 9 17" xfId="1364" xr:uid="{00000000-0005-0000-0000-0000AE030000}"/>
    <cellStyle name="20% - Accent2 9 18" xfId="1365" xr:uid="{00000000-0005-0000-0000-0000AF030000}"/>
    <cellStyle name="20% - Accent2 9 19" xfId="1366" xr:uid="{00000000-0005-0000-0000-0000B0030000}"/>
    <cellStyle name="20% - Accent2 9 2" xfId="1367" xr:uid="{00000000-0005-0000-0000-0000B1030000}"/>
    <cellStyle name="20% - Accent2 9 20" xfId="1368" xr:uid="{00000000-0005-0000-0000-0000B2030000}"/>
    <cellStyle name="20% - Accent2 9 21" xfId="1369" xr:uid="{00000000-0005-0000-0000-0000B3030000}"/>
    <cellStyle name="20% - Accent2 9 22" xfId="1370" xr:uid="{00000000-0005-0000-0000-0000B4030000}"/>
    <cellStyle name="20% - Accent2 9 23" xfId="1371" xr:uid="{00000000-0005-0000-0000-0000B5030000}"/>
    <cellStyle name="20% - Accent2 9 24" xfId="1372" xr:uid="{00000000-0005-0000-0000-0000B6030000}"/>
    <cellStyle name="20% - Accent2 9 25" xfId="1373" xr:uid="{00000000-0005-0000-0000-0000B7030000}"/>
    <cellStyle name="20% - Accent2 9 26" xfId="1374" xr:uid="{00000000-0005-0000-0000-0000B8030000}"/>
    <cellStyle name="20% - Accent2 9 27" xfId="1375" xr:uid="{00000000-0005-0000-0000-0000B9030000}"/>
    <cellStyle name="20% - Accent2 9 28" xfId="1376" xr:uid="{00000000-0005-0000-0000-0000BA030000}"/>
    <cellStyle name="20% - Accent2 9 29" xfId="1377" xr:uid="{00000000-0005-0000-0000-0000BB030000}"/>
    <cellStyle name="20% - Accent2 9 3" xfId="1378" xr:uid="{00000000-0005-0000-0000-0000BC030000}"/>
    <cellStyle name="20% - Accent2 9 30" xfId="1379" xr:uid="{00000000-0005-0000-0000-0000BD030000}"/>
    <cellStyle name="20% - Accent2 9 31" xfId="1380" xr:uid="{00000000-0005-0000-0000-0000BE030000}"/>
    <cellStyle name="20% - Accent2 9 32" xfId="1381" xr:uid="{00000000-0005-0000-0000-0000BF030000}"/>
    <cellStyle name="20% - Accent2 9 33" xfId="1382" xr:uid="{00000000-0005-0000-0000-0000C0030000}"/>
    <cellStyle name="20% - Accent2 9 34" xfId="1383" xr:uid="{00000000-0005-0000-0000-0000C1030000}"/>
    <cellStyle name="20% - Accent2 9 35" xfId="1384" xr:uid="{00000000-0005-0000-0000-0000C2030000}"/>
    <cellStyle name="20% - Accent2 9 36" xfId="1385" xr:uid="{00000000-0005-0000-0000-0000C3030000}"/>
    <cellStyle name="20% - Accent2 9 37" xfId="1386" xr:uid="{00000000-0005-0000-0000-0000C4030000}"/>
    <cellStyle name="20% - Accent2 9 38" xfId="1387" xr:uid="{00000000-0005-0000-0000-0000C5030000}"/>
    <cellStyle name="20% - Accent2 9 39" xfId="1388" xr:uid="{00000000-0005-0000-0000-0000C6030000}"/>
    <cellStyle name="20% - Accent2 9 4" xfId="1389" xr:uid="{00000000-0005-0000-0000-0000C7030000}"/>
    <cellStyle name="20% - Accent2 9 40" xfId="1390" xr:uid="{00000000-0005-0000-0000-0000C8030000}"/>
    <cellStyle name="20% - Accent2 9 41" xfId="1391" xr:uid="{00000000-0005-0000-0000-0000C9030000}"/>
    <cellStyle name="20% - Accent2 9 5" xfId="1392" xr:uid="{00000000-0005-0000-0000-0000CA030000}"/>
    <cellStyle name="20% - Accent2 9 6" xfId="1393" xr:uid="{00000000-0005-0000-0000-0000CB030000}"/>
    <cellStyle name="20% - Accent2 9 7" xfId="1394" xr:uid="{00000000-0005-0000-0000-0000CC030000}"/>
    <cellStyle name="20% - Accent2 9 8" xfId="1395" xr:uid="{00000000-0005-0000-0000-0000CD030000}"/>
    <cellStyle name="20% - Accent2 9 9" xfId="1396" xr:uid="{00000000-0005-0000-0000-0000CE030000}"/>
    <cellStyle name="20% - Accent3 10" xfId="1397" xr:uid="{00000000-0005-0000-0000-0000CF030000}"/>
    <cellStyle name="20% - Accent3 10 10" xfId="1398" xr:uid="{00000000-0005-0000-0000-0000D0030000}"/>
    <cellStyle name="20% - Accent3 10 11" xfId="1399" xr:uid="{00000000-0005-0000-0000-0000D1030000}"/>
    <cellStyle name="20% - Accent3 10 12" xfId="1400" xr:uid="{00000000-0005-0000-0000-0000D2030000}"/>
    <cellStyle name="20% - Accent3 10 13" xfId="1401" xr:uid="{00000000-0005-0000-0000-0000D3030000}"/>
    <cellStyle name="20% - Accent3 10 14" xfId="1402" xr:uid="{00000000-0005-0000-0000-0000D4030000}"/>
    <cellStyle name="20% - Accent3 10 15" xfId="1403" xr:uid="{00000000-0005-0000-0000-0000D5030000}"/>
    <cellStyle name="20% - Accent3 10 16" xfId="1404" xr:uid="{00000000-0005-0000-0000-0000D6030000}"/>
    <cellStyle name="20% - Accent3 10 17" xfId="1405" xr:uid="{00000000-0005-0000-0000-0000D7030000}"/>
    <cellStyle name="20% - Accent3 10 18" xfId="1406" xr:uid="{00000000-0005-0000-0000-0000D8030000}"/>
    <cellStyle name="20% - Accent3 10 19" xfId="1407" xr:uid="{00000000-0005-0000-0000-0000D9030000}"/>
    <cellStyle name="20% - Accent3 10 2" xfId="1408" xr:uid="{00000000-0005-0000-0000-0000DA030000}"/>
    <cellStyle name="20% - Accent3 10 20" xfId="1409" xr:uid="{00000000-0005-0000-0000-0000DB030000}"/>
    <cellStyle name="20% - Accent3 10 21" xfId="1410" xr:uid="{00000000-0005-0000-0000-0000DC030000}"/>
    <cellStyle name="20% - Accent3 10 22" xfId="1411" xr:uid="{00000000-0005-0000-0000-0000DD030000}"/>
    <cellStyle name="20% - Accent3 10 23" xfId="1412" xr:uid="{00000000-0005-0000-0000-0000DE030000}"/>
    <cellStyle name="20% - Accent3 10 24" xfId="1413" xr:uid="{00000000-0005-0000-0000-0000DF030000}"/>
    <cellStyle name="20% - Accent3 10 25" xfId="1414" xr:uid="{00000000-0005-0000-0000-0000E0030000}"/>
    <cellStyle name="20% - Accent3 10 26" xfId="1415" xr:uid="{00000000-0005-0000-0000-0000E1030000}"/>
    <cellStyle name="20% - Accent3 10 27" xfId="1416" xr:uid="{00000000-0005-0000-0000-0000E2030000}"/>
    <cellStyle name="20% - Accent3 10 28" xfId="1417" xr:uid="{00000000-0005-0000-0000-0000E3030000}"/>
    <cellStyle name="20% - Accent3 10 29" xfId="1418" xr:uid="{00000000-0005-0000-0000-0000E4030000}"/>
    <cellStyle name="20% - Accent3 10 3" xfId="1419" xr:uid="{00000000-0005-0000-0000-0000E5030000}"/>
    <cellStyle name="20% - Accent3 10 30" xfId="1420" xr:uid="{00000000-0005-0000-0000-0000E6030000}"/>
    <cellStyle name="20% - Accent3 10 31" xfId="1421" xr:uid="{00000000-0005-0000-0000-0000E7030000}"/>
    <cellStyle name="20% - Accent3 10 32" xfId="1422" xr:uid="{00000000-0005-0000-0000-0000E8030000}"/>
    <cellStyle name="20% - Accent3 10 33" xfId="1423" xr:uid="{00000000-0005-0000-0000-0000E9030000}"/>
    <cellStyle name="20% - Accent3 10 34" xfId="1424" xr:uid="{00000000-0005-0000-0000-0000EA030000}"/>
    <cellStyle name="20% - Accent3 10 35" xfId="1425" xr:uid="{00000000-0005-0000-0000-0000EB030000}"/>
    <cellStyle name="20% - Accent3 10 36" xfId="1426" xr:uid="{00000000-0005-0000-0000-0000EC030000}"/>
    <cellStyle name="20% - Accent3 10 37" xfId="1427" xr:uid="{00000000-0005-0000-0000-0000ED030000}"/>
    <cellStyle name="20% - Accent3 10 38" xfId="1428" xr:uid="{00000000-0005-0000-0000-0000EE030000}"/>
    <cellStyle name="20% - Accent3 10 39" xfId="1429" xr:uid="{00000000-0005-0000-0000-0000EF030000}"/>
    <cellStyle name="20% - Accent3 10 4" xfId="1430" xr:uid="{00000000-0005-0000-0000-0000F0030000}"/>
    <cellStyle name="20% - Accent3 10 40" xfId="1431" xr:uid="{00000000-0005-0000-0000-0000F1030000}"/>
    <cellStyle name="20% - Accent3 10 41" xfId="1432" xr:uid="{00000000-0005-0000-0000-0000F2030000}"/>
    <cellStyle name="20% - Accent3 10 5" xfId="1433" xr:uid="{00000000-0005-0000-0000-0000F3030000}"/>
    <cellStyle name="20% - Accent3 10 6" xfId="1434" xr:uid="{00000000-0005-0000-0000-0000F4030000}"/>
    <cellStyle name="20% - Accent3 10 7" xfId="1435" xr:uid="{00000000-0005-0000-0000-0000F5030000}"/>
    <cellStyle name="20% - Accent3 10 8" xfId="1436" xr:uid="{00000000-0005-0000-0000-0000F6030000}"/>
    <cellStyle name="20% - Accent3 10 9" xfId="1437" xr:uid="{00000000-0005-0000-0000-0000F7030000}"/>
    <cellStyle name="20% - Accent3 11" xfId="1438" xr:uid="{00000000-0005-0000-0000-0000F8030000}"/>
    <cellStyle name="20% - Accent3 11 10" xfId="1439" xr:uid="{00000000-0005-0000-0000-0000F9030000}"/>
    <cellStyle name="20% - Accent3 11 11" xfId="1440" xr:uid="{00000000-0005-0000-0000-0000FA030000}"/>
    <cellStyle name="20% - Accent3 11 12" xfId="1441" xr:uid="{00000000-0005-0000-0000-0000FB030000}"/>
    <cellStyle name="20% - Accent3 11 13" xfId="1442" xr:uid="{00000000-0005-0000-0000-0000FC030000}"/>
    <cellStyle name="20% - Accent3 11 14" xfId="1443" xr:uid="{00000000-0005-0000-0000-0000FD030000}"/>
    <cellStyle name="20% - Accent3 11 15" xfId="1444" xr:uid="{00000000-0005-0000-0000-0000FE030000}"/>
    <cellStyle name="20% - Accent3 11 16" xfId="1445" xr:uid="{00000000-0005-0000-0000-0000FF030000}"/>
    <cellStyle name="20% - Accent3 11 17" xfId="1446" xr:uid="{00000000-0005-0000-0000-000000040000}"/>
    <cellStyle name="20% - Accent3 11 18" xfId="1447" xr:uid="{00000000-0005-0000-0000-000001040000}"/>
    <cellStyle name="20% - Accent3 11 19" xfId="1448" xr:uid="{00000000-0005-0000-0000-000002040000}"/>
    <cellStyle name="20% - Accent3 11 2" xfId="1449" xr:uid="{00000000-0005-0000-0000-000003040000}"/>
    <cellStyle name="20% - Accent3 11 20" xfId="1450" xr:uid="{00000000-0005-0000-0000-000004040000}"/>
    <cellStyle name="20% - Accent3 11 21" xfId="1451" xr:uid="{00000000-0005-0000-0000-000005040000}"/>
    <cellStyle name="20% - Accent3 11 22" xfId="1452" xr:uid="{00000000-0005-0000-0000-000006040000}"/>
    <cellStyle name="20% - Accent3 11 23" xfId="1453" xr:uid="{00000000-0005-0000-0000-000007040000}"/>
    <cellStyle name="20% - Accent3 11 24" xfId="1454" xr:uid="{00000000-0005-0000-0000-000008040000}"/>
    <cellStyle name="20% - Accent3 11 25" xfId="1455" xr:uid="{00000000-0005-0000-0000-000009040000}"/>
    <cellStyle name="20% - Accent3 11 26" xfId="1456" xr:uid="{00000000-0005-0000-0000-00000A040000}"/>
    <cellStyle name="20% - Accent3 11 27" xfId="1457" xr:uid="{00000000-0005-0000-0000-00000B040000}"/>
    <cellStyle name="20% - Accent3 11 28" xfId="1458" xr:uid="{00000000-0005-0000-0000-00000C040000}"/>
    <cellStyle name="20% - Accent3 11 29" xfId="1459" xr:uid="{00000000-0005-0000-0000-00000D040000}"/>
    <cellStyle name="20% - Accent3 11 3" xfId="1460" xr:uid="{00000000-0005-0000-0000-00000E040000}"/>
    <cellStyle name="20% - Accent3 11 30" xfId="1461" xr:uid="{00000000-0005-0000-0000-00000F040000}"/>
    <cellStyle name="20% - Accent3 11 31" xfId="1462" xr:uid="{00000000-0005-0000-0000-000010040000}"/>
    <cellStyle name="20% - Accent3 11 32" xfId="1463" xr:uid="{00000000-0005-0000-0000-000011040000}"/>
    <cellStyle name="20% - Accent3 11 33" xfId="1464" xr:uid="{00000000-0005-0000-0000-000012040000}"/>
    <cellStyle name="20% - Accent3 11 34" xfId="1465" xr:uid="{00000000-0005-0000-0000-000013040000}"/>
    <cellStyle name="20% - Accent3 11 35" xfId="1466" xr:uid="{00000000-0005-0000-0000-000014040000}"/>
    <cellStyle name="20% - Accent3 11 36" xfId="1467" xr:uid="{00000000-0005-0000-0000-000015040000}"/>
    <cellStyle name="20% - Accent3 11 37" xfId="1468" xr:uid="{00000000-0005-0000-0000-000016040000}"/>
    <cellStyle name="20% - Accent3 11 38" xfId="1469" xr:uid="{00000000-0005-0000-0000-000017040000}"/>
    <cellStyle name="20% - Accent3 11 39" xfId="1470" xr:uid="{00000000-0005-0000-0000-000018040000}"/>
    <cellStyle name="20% - Accent3 11 4" xfId="1471" xr:uid="{00000000-0005-0000-0000-000019040000}"/>
    <cellStyle name="20% - Accent3 11 40" xfId="1472" xr:uid="{00000000-0005-0000-0000-00001A040000}"/>
    <cellStyle name="20% - Accent3 11 41" xfId="1473" xr:uid="{00000000-0005-0000-0000-00001B040000}"/>
    <cellStyle name="20% - Accent3 11 5" xfId="1474" xr:uid="{00000000-0005-0000-0000-00001C040000}"/>
    <cellStyle name="20% - Accent3 11 6" xfId="1475" xr:uid="{00000000-0005-0000-0000-00001D040000}"/>
    <cellStyle name="20% - Accent3 11 7" xfId="1476" xr:uid="{00000000-0005-0000-0000-00001E040000}"/>
    <cellStyle name="20% - Accent3 11 8" xfId="1477" xr:uid="{00000000-0005-0000-0000-00001F040000}"/>
    <cellStyle name="20% - Accent3 11 9" xfId="1478" xr:uid="{00000000-0005-0000-0000-000020040000}"/>
    <cellStyle name="20% - Accent3 12" xfId="1479" xr:uid="{00000000-0005-0000-0000-000021040000}"/>
    <cellStyle name="20% - Accent3 12 10" xfId="1480" xr:uid="{00000000-0005-0000-0000-000022040000}"/>
    <cellStyle name="20% - Accent3 12 11" xfId="1481" xr:uid="{00000000-0005-0000-0000-000023040000}"/>
    <cellStyle name="20% - Accent3 12 12" xfId="1482" xr:uid="{00000000-0005-0000-0000-000024040000}"/>
    <cellStyle name="20% - Accent3 12 13" xfId="1483" xr:uid="{00000000-0005-0000-0000-000025040000}"/>
    <cellStyle name="20% - Accent3 12 14" xfId="1484" xr:uid="{00000000-0005-0000-0000-000026040000}"/>
    <cellStyle name="20% - Accent3 12 15" xfId="1485" xr:uid="{00000000-0005-0000-0000-000027040000}"/>
    <cellStyle name="20% - Accent3 12 16" xfId="1486" xr:uid="{00000000-0005-0000-0000-000028040000}"/>
    <cellStyle name="20% - Accent3 12 17" xfId="1487" xr:uid="{00000000-0005-0000-0000-000029040000}"/>
    <cellStyle name="20% - Accent3 12 18" xfId="1488" xr:uid="{00000000-0005-0000-0000-00002A040000}"/>
    <cellStyle name="20% - Accent3 12 19" xfId="1489" xr:uid="{00000000-0005-0000-0000-00002B040000}"/>
    <cellStyle name="20% - Accent3 12 2" xfId="1490" xr:uid="{00000000-0005-0000-0000-00002C040000}"/>
    <cellStyle name="20% - Accent3 12 20" xfId="1491" xr:uid="{00000000-0005-0000-0000-00002D040000}"/>
    <cellStyle name="20% - Accent3 12 21" xfId="1492" xr:uid="{00000000-0005-0000-0000-00002E040000}"/>
    <cellStyle name="20% - Accent3 12 22" xfId="1493" xr:uid="{00000000-0005-0000-0000-00002F040000}"/>
    <cellStyle name="20% - Accent3 12 23" xfId="1494" xr:uid="{00000000-0005-0000-0000-000030040000}"/>
    <cellStyle name="20% - Accent3 12 24" xfId="1495" xr:uid="{00000000-0005-0000-0000-000031040000}"/>
    <cellStyle name="20% - Accent3 12 25" xfId="1496" xr:uid="{00000000-0005-0000-0000-000032040000}"/>
    <cellStyle name="20% - Accent3 12 26" xfId="1497" xr:uid="{00000000-0005-0000-0000-000033040000}"/>
    <cellStyle name="20% - Accent3 12 27" xfId="1498" xr:uid="{00000000-0005-0000-0000-000034040000}"/>
    <cellStyle name="20% - Accent3 12 28" xfId="1499" xr:uid="{00000000-0005-0000-0000-000035040000}"/>
    <cellStyle name="20% - Accent3 12 29" xfId="1500" xr:uid="{00000000-0005-0000-0000-000036040000}"/>
    <cellStyle name="20% - Accent3 12 3" xfId="1501" xr:uid="{00000000-0005-0000-0000-000037040000}"/>
    <cellStyle name="20% - Accent3 12 30" xfId="1502" xr:uid="{00000000-0005-0000-0000-000038040000}"/>
    <cellStyle name="20% - Accent3 12 31" xfId="1503" xr:uid="{00000000-0005-0000-0000-000039040000}"/>
    <cellStyle name="20% - Accent3 12 32" xfId="1504" xr:uid="{00000000-0005-0000-0000-00003A040000}"/>
    <cellStyle name="20% - Accent3 12 33" xfId="1505" xr:uid="{00000000-0005-0000-0000-00003B040000}"/>
    <cellStyle name="20% - Accent3 12 34" xfId="1506" xr:uid="{00000000-0005-0000-0000-00003C040000}"/>
    <cellStyle name="20% - Accent3 12 35" xfId="1507" xr:uid="{00000000-0005-0000-0000-00003D040000}"/>
    <cellStyle name="20% - Accent3 12 36" xfId="1508" xr:uid="{00000000-0005-0000-0000-00003E040000}"/>
    <cellStyle name="20% - Accent3 12 37" xfId="1509" xr:uid="{00000000-0005-0000-0000-00003F040000}"/>
    <cellStyle name="20% - Accent3 12 38" xfId="1510" xr:uid="{00000000-0005-0000-0000-000040040000}"/>
    <cellStyle name="20% - Accent3 12 39" xfId="1511" xr:uid="{00000000-0005-0000-0000-000041040000}"/>
    <cellStyle name="20% - Accent3 12 4" xfId="1512" xr:uid="{00000000-0005-0000-0000-000042040000}"/>
    <cellStyle name="20% - Accent3 12 40" xfId="1513" xr:uid="{00000000-0005-0000-0000-000043040000}"/>
    <cellStyle name="20% - Accent3 12 41" xfId="1514" xr:uid="{00000000-0005-0000-0000-000044040000}"/>
    <cellStyle name="20% - Accent3 12 5" xfId="1515" xr:uid="{00000000-0005-0000-0000-000045040000}"/>
    <cellStyle name="20% - Accent3 12 6" xfId="1516" xr:uid="{00000000-0005-0000-0000-000046040000}"/>
    <cellStyle name="20% - Accent3 12 7" xfId="1517" xr:uid="{00000000-0005-0000-0000-000047040000}"/>
    <cellStyle name="20% - Accent3 12 8" xfId="1518" xr:uid="{00000000-0005-0000-0000-000048040000}"/>
    <cellStyle name="20% - Accent3 12 9" xfId="1519" xr:uid="{00000000-0005-0000-0000-000049040000}"/>
    <cellStyle name="20% - Accent3 13" xfId="1520" xr:uid="{00000000-0005-0000-0000-00004A040000}"/>
    <cellStyle name="20% - Accent3 14" xfId="1521" xr:uid="{00000000-0005-0000-0000-00004B040000}"/>
    <cellStyle name="20% - Accent3 14 2" xfId="1522" xr:uid="{00000000-0005-0000-0000-00004C040000}"/>
    <cellStyle name="20% - Accent3 15" xfId="1523" xr:uid="{00000000-0005-0000-0000-00004D040000}"/>
    <cellStyle name="20% - Accent3 16" xfId="3729" xr:uid="{00000000-0005-0000-0000-00004E040000}"/>
    <cellStyle name="20% - Accent3 2" xfId="24" xr:uid="{00000000-0005-0000-0000-00004F040000}"/>
    <cellStyle name="20% - Accent3 2 10" xfId="1524" xr:uid="{00000000-0005-0000-0000-000050040000}"/>
    <cellStyle name="20% - Accent3 2 11" xfId="1525" xr:uid="{00000000-0005-0000-0000-000051040000}"/>
    <cellStyle name="20% - Accent3 2 12" xfId="1526" xr:uid="{00000000-0005-0000-0000-000052040000}"/>
    <cellStyle name="20% - Accent3 2 13" xfId="1527" xr:uid="{00000000-0005-0000-0000-000053040000}"/>
    <cellStyle name="20% - Accent3 2 14" xfId="1528" xr:uid="{00000000-0005-0000-0000-000054040000}"/>
    <cellStyle name="20% - Accent3 2 15" xfId="1529" xr:uid="{00000000-0005-0000-0000-000055040000}"/>
    <cellStyle name="20% - Accent3 2 16" xfId="1530" xr:uid="{00000000-0005-0000-0000-000056040000}"/>
    <cellStyle name="20% - Accent3 2 17" xfId="1531" xr:uid="{00000000-0005-0000-0000-000057040000}"/>
    <cellStyle name="20% - Accent3 2 18" xfId="1532" xr:uid="{00000000-0005-0000-0000-000058040000}"/>
    <cellStyle name="20% - Accent3 2 19" xfId="1533" xr:uid="{00000000-0005-0000-0000-000059040000}"/>
    <cellStyle name="20% - Accent3 2 2" xfId="335" xr:uid="{00000000-0005-0000-0000-00005A040000}"/>
    <cellStyle name="20% - Accent3 2 2 2" xfId="1534" xr:uid="{00000000-0005-0000-0000-00005B040000}"/>
    <cellStyle name="20% - Accent3 2 2 2 2" xfId="1535" xr:uid="{00000000-0005-0000-0000-00005C040000}"/>
    <cellStyle name="20% - Accent3 2 2 3" xfId="1536" xr:uid="{00000000-0005-0000-0000-00005D040000}"/>
    <cellStyle name="20% - Accent3 2 2 4" xfId="1537" xr:uid="{00000000-0005-0000-0000-00005E040000}"/>
    <cellStyle name="20% - Accent3 2 2 5" xfId="1538" xr:uid="{00000000-0005-0000-0000-00005F040000}"/>
    <cellStyle name="20% - Accent3 2 20" xfId="1539" xr:uid="{00000000-0005-0000-0000-000060040000}"/>
    <cellStyle name="20% - Accent3 2 21" xfId="1540" xr:uid="{00000000-0005-0000-0000-000061040000}"/>
    <cellStyle name="20% - Accent3 2 22" xfId="1541" xr:uid="{00000000-0005-0000-0000-000062040000}"/>
    <cellStyle name="20% - Accent3 2 23" xfId="1542" xr:uid="{00000000-0005-0000-0000-000063040000}"/>
    <cellStyle name="20% - Accent3 2 24" xfId="1543" xr:uid="{00000000-0005-0000-0000-000064040000}"/>
    <cellStyle name="20% - Accent3 2 25" xfId="1544" xr:uid="{00000000-0005-0000-0000-000065040000}"/>
    <cellStyle name="20% - Accent3 2 26" xfId="1545" xr:uid="{00000000-0005-0000-0000-000066040000}"/>
    <cellStyle name="20% - Accent3 2 27" xfId="1546" xr:uid="{00000000-0005-0000-0000-000067040000}"/>
    <cellStyle name="20% - Accent3 2 28" xfId="1547" xr:uid="{00000000-0005-0000-0000-000068040000}"/>
    <cellStyle name="20% - Accent3 2 29" xfId="1548" xr:uid="{00000000-0005-0000-0000-000069040000}"/>
    <cellStyle name="20% - Accent3 2 3" xfId="334" xr:uid="{00000000-0005-0000-0000-00006A040000}"/>
    <cellStyle name="20% - Accent3 2 3 2" xfId="1550" xr:uid="{00000000-0005-0000-0000-00006B040000}"/>
    <cellStyle name="20% - Accent3 2 3 3" xfId="1551" xr:uid="{00000000-0005-0000-0000-00006C040000}"/>
    <cellStyle name="20% - Accent3 2 3 4" xfId="1552" xr:uid="{00000000-0005-0000-0000-00006D040000}"/>
    <cellStyle name="20% - Accent3 2 3 5" xfId="1553" xr:uid="{00000000-0005-0000-0000-00006E040000}"/>
    <cellStyle name="20% - Accent3 2 3 6" xfId="1554" xr:uid="{00000000-0005-0000-0000-00006F040000}"/>
    <cellStyle name="20% - Accent3 2 3 7" xfId="1549" xr:uid="{00000000-0005-0000-0000-000070040000}"/>
    <cellStyle name="20% - Accent3 2 30" xfId="1555" xr:uid="{00000000-0005-0000-0000-000071040000}"/>
    <cellStyle name="20% - Accent3 2 31" xfId="1556" xr:uid="{00000000-0005-0000-0000-000072040000}"/>
    <cellStyle name="20% - Accent3 2 32" xfId="1557" xr:uid="{00000000-0005-0000-0000-000073040000}"/>
    <cellStyle name="20% - Accent3 2 33" xfId="1558" xr:uid="{00000000-0005-0000-0000-000074040000}"/>
    <cellStyle name="20% - Accent3 2 34" xfId="1559" xr:uid="{00000000-0005-0000-0000-000075040000}"/>
    <cellStyle name="20% - Accent3 2 35" xfId="1560" xr:uid="{00000000-0005-0000-0000-000076040000}"/>
    <cellStyle name="20% - Accent3 2 36" xfId="1561" xr:uid="{00000000-0005-0000-0000-000077040000}"/>
    <cellStyle name="20% - Accent3 2 37" xfId="1562" xr:uid="{00000000-0005-0000-0000-000078040000}"/>
    <cellStyle name="20% - Accent3 2 38" xfId="1563" xr:uid="{00000000-0005-0000-0000-000079040000}"/>
    <cellStyle name="20% - Accent3 2 39" xfId="1564" xr:uid="{00000000-0005-0000-0000-00007A040000}"/>
    <cellStyle name="20% - Accent3 2 4" xfId="1565" xr:uid="{00000000-0005-0000-0000-00007B040000}"/>
    <cellStyle name="20% - Accent3 2 40" xfId="1566" xr:uid="{00000000-0005-0000-0000-00007C040000}"/>
    <cellStyle name="20% - Accent3 2 41" xfId="1567" xr:uid="{00000000-0005-0000-0000-00007D040000}"/>
    <cellStyle name="20% - Accent3 2 42" xfId="1568" xr:uid="{00000000-0005-0000-0000-00007E040000}"/>
    <cellStyle name="20% - Accent3 2 43" xfId="1569" xr:uid="{00000000-0005-0000-0000-00007F040000}"/>
    <cellStyle name="20% - Accent3 2 44" xfId="1570" xr:uid="{00000000-0005-0000-0000-000080040000}"/>
    <cellStyle name="20% - Accent3 2 45" xfId="1571" xr:uid="{00000000-0005-0000-0000-000081040000}"/>
    <cellStyle name="20% - Accent3 2 5" xfId="1572" xr:uid="{00000000-0005-0000-0000-000082040000}"/>
    <cellStyle name="20% - Accent3 2 6" xfId="1573" xr:uid="{00000000-0005-0000-0000-000083040000}"/>
    <cellStyle name="20% - Accent3 2 7" xfId="1574" xr:uid="{00000000-0005-0000-0000-000084040000}"/>
    <cellStyle name="20% - Accent3 2 8" xfId="1575" xr:uid="{00000000-0005-0000-0000-000085040000}"/>
    <cellStyle name="20% - Accent3 2 9" xfId="1576" xr:uid="{00000000-0005-0000-0000-000086040000}"/>
    <cellStyle name="20% - Accent3 2_SNL_BankReg_UBPR_v1_CustomPeers" xfId="1577" xr:uid="{00000000-0005-0000-0000-000087040000}"/>
    <cellStyle name="20% - Accent3 3" xfId="333" xr:uid="{00000000-0005-0000-0000-000088040000}"/>
    <cellStyle name="20% - Accent3 3 10" xfId="1579" xr:uid="{00000000-0005-0000-0000-000089040000}"/>
    <cellStyle name="20% - Accent3 3 11" xfId="1580" xr:uid="{00000000-0005-0000-0000-00008A040000}"/>
    <cellStyle name="20% - Accent3 3 12" xfId="1581" xr:uid="{00000000-0005-0000-0000-00008B040000}"/>
    <cellStyle name="20% - Accent3 3 13" xfId="1582" xr:uid="{00000000-0005-0000-0000-00008C040000}"/>
    <cellStyle name="20% - Accent3 3 14" xfId="1583" xr:uid="{00000000-0005-0000-0000-00008D040000}"/>
    <cellStyle name="20% - Accent3 3 15" xfId="1584" xr:uid="{00000000-0005-0000-0000-00008E040000}"/>
    <cellStyle name="20% - Accent3 3 16" xfId="1585" xr:uid="{00000000-0005-0000-0000-00008F040000}"/>
    <cellStyle name="20% - Accent3 3 17" xfId="1586" xr:uid="{00000000-0005-0000-0000-000090040000}"/>
    <cellStyle name="20% - Accent3 3 18" xfId="1587" xr:uid="{00000000-0005-0000-0000-000091040000}"/>
    <cellStyle name="20% - Accent3 3 19" xfId="1588" xr:uid="{00000000-0005-0000-0000-000092040000}"/>
    <cellStyle name="20% - Accent3 3 2" xfId="1589" xr:uid="{00000000-0005-0000-0000-000093040000}"/>
    <cellStyle name="20% - Accent3 3 20" xfId="1590" xr:uid="{00000000-0005-0000-0000-000094040000}"/>
    <cellStyle name="20% - Accent3 3 21" xfId="1591" xr:uid="{00000000-0005-0000-0000-000095040000}"/>
    <cellStyle name="20% - Accent3 3 22" xfId="1592" xr:uid="{00000000-0005-0000-0000-000096040000}"/>
    <cellStyle name="20% - Accent3 3 23" xfId="1593" xr:uid="{00000000-0005-0000-0000-000097040000}"/>
    <cellStyle name="20% - Accent3 3 24" xfId="1594" xr:uid="{00000000-0005-0000-0000-000098040000}"/>
    <cellStyle name="20% - Accent3 3 25" xfId="1595" xr:uid="{00000000-0005-0000-0000-000099040000}"/>
    <cellStyle name="20% - Accent3 3 26" xfId="1596" xr:uid="{00000000-0005-0000-0000-00009A040000}"/>
    <cellStyle name="20% - Accent3 3 27" xfId="1597" xr:uid="{00000000-0005-0000-0000-00009B040000}"/>
    <cellStyle name="20% - Accent3 3 28" xfId="1598" xr:uid="{00000000-0005-0000-0000-00009C040000}"/>
    <cellStyle name="20% - Accent3 3 29" xfId="1599" xr:uid="{00000000-0005-0000-0000-00009D040000}"/>
    <cellStyle name="20% - Accent3 3 3" xfId="1600" xr:uid="{00000000-0005-0000-0000-00009E040000}"/>
    <cellStyle name="20% - Accent3 3 30" xfId="1601" xr:uid="{00000000-0005-0000-0000-00009F040000}"/>
    <cellStyle name="20% - Accent3 3 31" xfId="1602" xr:uid="{00000000-0005-0000-0000-0000A0040000}"/>
    <cellStyle name="20% - Accent3 3 32" xfId="1603" xr:uid="{00000000-0005-0000-0000-0000A1040000}"/>
    <cellStyle name="20% - Accent3 3 33" xfId="1604" xr:uid="{00000000-0005-0000-0000-0000A2040000}"/>
    <cellStyle name="20% - Accent3 3 34" xfId="1605" xr:uid="{00000000-0005-0000-0000-0000A3040000}"/>
    <cellStyle name="20% - Accent3 3 35" xfId="1606" xr:uid="{00000000-0005-0000-0000-0000A4040000}"/>
    <cellStyle name="20% - Accent3 3 36" xfId="1607" xr:uid="{00000000-0005-0000-0000-0000A5040000}"/>
    <cellStyle name="20% - Accent3 3 37" xfId="1608" xr:uid="{00000000-0005-0000-0000-0000A6040000}"/>
    <cellStyle name="20% - Accent3 3 38" xfId="1609" xr:uid="{00000000-0005-0000-0000-0000A7040000}"/>
    <cellStyle name="20% - Accent3 3 39" xfId="1610" xr:uid="{00000000-0005-0000-0000-0000A8040000}"/>
    <cellStyle name="20% - Accent3 3 4" xfId="1611" xr:uid="{00000000-0005-0000-0000-0000A9040000}"/>
    <cellStyle name="20% - Accent3 3 40" xfId="1612" xr:uid="{00000000-0005-0000-0000-0000AA040000}"/>
    <cellStyle name="20% - Accent3 3 41" xfId="1613" xr:uid="{00000000-0005-0000-0000-0000AB040000}"/>
    <cellStyle name="20% - Accent3 3 42" xfId="1614" xr:uid="{00000000-0005-0000-0000-0000AC040000}"/>
    <cellStyle name="20% - Accent3 3 43" xfId="1615" xr:uid="{00000000-0005-0000-0000-0000AD040000}"/>
    <cellStyle name="20% - Accent3 3 44" xfId="1616" xr:uid="{00000000-0005-0000-0000-0000AE040000}"/>
    <cellStyle name="20% - Accent3 3 45" xfId="1617" xr:uid="{00000000-0005-0000-0000-0000AF040000}"/>
    <cellStyle name="20% - Accent3 3 46" xfId="1578" xr:uid="{00000000-0005-0000-0000-0000B0040000}"/>
    <cellStyle name="20% - Accent3 3 5" xfId="1618" xr:uid="{00000000-0005-0000-0000-0000B1040000}"/>
    <cellStyle name="20% - Accent3 3 6" xfId="1619" xr:uid="{00000000-0005-0000-0000-0000B2040000}"/>
    <cellStyle name="20% - Accent3 3 7" xfId="1620" xr:uid="{00000000-0005-0000-0000-0000B3040000}"/>
    <cellStyle name="20% - Accent3 3 8" xfId="1621" xr:uid="{00000000-0005-0000-0000-0000B4040000}"/>
    <cellStyle name="20% - Accent3 3 9" xfId="1622" xr:uid="{00000000-0005-0000-0000-0000B5040000}"/>
    <cellStyle name="20% - Accent3 4" xfId="1623" xr:uid="{00000000-0005-0000-0000-0000B6040000}"/>
    <cellStyle name="20% - Accent3 4 10" xfId="1624" xr:uid="{00000000-0005-0000-0000-0000B7040000}"/>
    <cellStyle name="20% - Accent3 4 11" xfId="1625" xr:uid="{00000000-0005-0000-0000-0000B8040000}"/>
    <cellStyle name="20% - Accent3 4 12" xfId="1626" xr:uid="{00000000-0005-0000-0000-0000B9040000}"/>
    <cellStyle name="20% - Accent3 4 13" xfId="1627" xr:uid="{00000000-0005-0000-0000-0000BA040000}"/>
    <cellStyle name="20% - Accent3 4 14" xfId="1628" xr:uid="{00000000-0005-0000-0000-0000BB040000}"/>
    <cellStyle name="20% - Accent3 4 15" xfId="1629" xr:uid="{00000000-0005-0000-0000-0000BC040000}"/>
    <cellStyle name="20% - Accent3 4 16" xfId="1630" xr:uid="{00000000-0005-0000-0000-0000BD040000}"/>
    <cellStyle name="20% - Accent3 4 17" xfId="1631" xr:uid="{00000000-0005-0000-0000-0000BE040000}"/>
    <cellStyle name="20% - Accent3 4 18" xfId="1632" xr:uid="{00000000-0005-0000-0000-0000BF040000}"/>
    <cellStyle name="20% - Accent3 4 19" xfId="1633" xr:uid="{00000000-0005-0000-0000-0000C0040000}"/>
    <cellStyle name="20% - Accent3 4 2" xfId="1634" xr:uid="{00000000-0005-0000-0000-0000C1040000}"/>
    <cellStyle name="20% - Accent3 4 20" xfId="1635" xr:uid="{00000000-0005-0000-0000-0000C2040000}"/>
    <cellStyle name="20% - Accent3 4 21" xfId="1636" xr:uid="{00000000-0005-0000-0000-0000C3040000}"/>
    <cellStyle name="20% - Accent3 4 22" xfId="1637" xr:uid="{00000000-0005-0000-0000-0000C4040000}"/>
    <cellStyle name="20% - Accent3 4 23" xfId="1638" xr:uid="{00000000-0005-0000-0000-0000C5040000}"/>
    <cellStyle name="20% - Accent3 4 24" xfId="1639" xr:uid="{00000000-0005-0000-0000-0000C6040000}"/>
    <cellStyle name="20% - Accent3 4 25" xfId="1640" xr:uid="{00000000-0005-0000-0000-0000C7040000}"/>
    <cellStyle name="20% - Accent3 4 26" xfId="1641" xr:uid="{00000000-0005-0000-0000-0000C8040000}"/>
    <cellStyle name="20% - Accent3 4 27" xfId="1642" xr:uid="{00000000-0005-0000-0000-0000C9040000}"/>
    <cellStyle name="20% - Accent3 4 28" xfId="1643" xr:uid="{00000000-0005-0000-0000-0000CA040000}"/>
    <cellStyle name="20% - Accent3 4 29" xfId="1644" xr:uid="{00000000-0005-0000-0000-0000CB040000}"/>
    <cellStyle name="20% - Accent3 4 3" xfId="1645" xr:uid="{00000000-0005-0000-0000-0000CC040000}"/>
    <cellStyle name="20% - Accent3 4 30" xfId="1646" xr:uid="{00000000-0005-0000-0000-0000CD040000}"/>
    <cellStyle name="20% - Accent3 4 31" xfId="1647" xr:uid="{00000000-0005-0000-0000-0000CE040000}"/>
    <cellStyle name="20% - Accent3 4 32" xfId="1648" xr:uid="{00000000-0005-0000-0000-0000CF040000}"/>
    <cellStyle name="20% - Accent3 4 33" xfId="1649" xr:uid="{00000000-0005-0000-0000-0000D0040000}"/>
    <cellStyle name="20% - Accent3 4 34" xfId="1650" xr:uid="{00000000-0005-0000-0000-0000D1040000}"/>
    <cellStyle name="20% - Accent3 4 35" xfId="1651" xr:uid="{00000000-0005-0000-0000-0000D2040000}"/>
    <cellStyle name="20% - Accent3 4 36" xfId="1652" xr:uid="{00000000-0005-0000-0000-0000D3040000}"/>
    <cellStyle name="20% - Accent3 4 37" xfId="1653" xr:uid="{00000000-0005-0000-0000-0000D4040000}"/>
    <cellStyle name="20% - Accent3 4 38" xfId="1654" xr:uid="{00000000-0005-0000-0000-0000D5040000}"/>
    <cellStyle name="20% - Accent3 4 39" xfId="1655" xr:uid="{00000000-0005-0000-0000-0000D6040000}"/>
    <cellStyle name="20% - Accent3 4 4" xfId="1656" xr:uid="{00000000-0005-0000-0000-0000D7040000}"/>
    <cellStyle name="20% - Accent3 4 40" xfId="1657" xr:uid="{00000000-0005-0000-0000-0000D8040000}"/>
    <cellStyle name="20% - Accent3 4 41" xfId="1658" xr:uid="{00000000-0005-0000-0000-0000D9040000}"/>
    <cellStyle name="20% - Accent3 4 5" xfId="1659" xr:uid="{00000000-0005-0000-0000-0000DA040000}"/>
    <cellStyle name="20% - Accent3 4 6" xfId="1660" xr:uid="{00000000-0005-0000-0000-0000DB040000}"/>
    <cellStyle name="20% - Accent3 4 7" xfId="1661" xr:uid="{00000000-0005-0000-0000-0000DC040000}"/>
    <cellStyle name="20% - Accent3 4 8" xfId="1662" xr:uid="{00000000-0005-0000-0000-0000DD040000}"/>
    <cellStyle name="20% - Accent3 4 9" xfId="1663" xr:uid="{00000000-0005-0000-0000-0000DE040000}"/>
    <cellStyle name="20% - Accent3 5" xfId="1664" xr:uid="{00000000-0005-0000-0000-0000DF040000}"/>
    <cellStyle name="20% - Accent3 5 10" xfId="1665" xr:uid="{00000000-0005-0000-0000-0000E0040000}"/>
    <cellStyle name="20% - Accent3 5 11" xfId="1666" xr:uid="{00000000-0005-0000-0000-0000E1040000}"/>
    <cellStyle name="20% - Accent3 5 12" xfId="1667" xr:uid="{00000000-0005-0000-0000-0000E2040000}"/>
    <cellStyle name="20% - Accent3 5 13" xfId="1668" xr:uid="{00000000-0005-0000-0000-0000E3040000}"/>
    <cellStyle name="20% - Accent3 5 14" xfId="1669" xr:uid="{00000000-0005-0000-0000-0000E4040000}"/>
    <cellStyle name="20% - Accent3 5 15" xfId="1670" xr:uid="{00000000-0005-0000-0000-0000E5040000}"/>
    <cellStyle name="20% - Accent3 5 16" xfId="1671" xr:uid="{00000000-0005-0000-0000-0000E6040000}"/>
    <cellStyle name="20% - Accent3 5 17" xfId="1672" xr:uid="{00000000-0005-0000-0000-0000E7040000}"/>
    <cellStyle name="20% - Accent3 5 18" xfId="1673" xr:uid="{00000000-0005-0000-0000-0000E8040000}"/>
    <cellStyle name="20% - Accent3 5 19" xfId="1674" xr:uid="{00000000-0005-0000-0000-0000E9040000}"/>
    <cellStyle name="20% - Accent3 5 2" xfId="1675" xr:uid="{00000000-0005-0000-0000-0000EA040000}"/>
    <cellStyle name="20% - Accent3 5 20" xfId="1676" xr:uid="{00000000-0005-0000-0000-0000EB040000}"/>
    <cellStyle name="20% - Accent3 5 21" xfId="1677" xr:uid="{00000000-0005-0000-0000-0000EC040000}"/>
    <cellStyle name="20% - Accent3 5 22" xfId="1678" xr:uid="{00000000-0005-0000-0000-0000ED040000}"/>
    <cellStyle name="20% - Accent3 5 23" xfId="1679" xr:uid="{00000000-0005-0000-0000-0000EE040000}"/>
    <cellStyle name="20% - Accent3 5 24" xfId="1680" xr:uid="{00000000-0005-0000-0000-0000EF040000}"/>
    <cellStyle name="20% - Accent3 5 25" xfId="1681" xr:uid="{00000000-0005-0000-0000-0000F0040000}"/>
    <cellStyle name="20% - Accent3 5 26" xfId="1682" xr:uid="{00000000-0005-0000-0000-0000F1040000}"/>
    <cellStyle name="20% - Accent3 5 27" xfId="1683" xr:uid="{00000000-0005-0000-0000-0000F2040000}"/>
    <cellStyle name="20% - Accent3 5 28" xfId="1684" xr:uid="{00000000-0005-0000-0000-0000F3040000}"/>
    <cellStyle name="20% - Accent3 5 29" xfId="1685" xr:uid="{00000000-0005-0000-0000-0000F4040000}"/>
    <cellStyle name="20% - Accent3 5 3" xfId="1686" xr:uid="{00000000-0005-0000-0000-0000F5040000}"/>
    <cellStyle name="20% - Accent3 5 30" xfId="1687" xr:uid="{00000000-0005-0000-0000-0000F6040000}"/>
    <cellStyle name="20% - Accent3 5 31" xfId="1688" xr:uid="{00000000-0005-0000-0000-0000F7040000}"/>
    <cellStyle name="20% - Accent3 5 32" xfId="1689" xr:uid="{00000000-0005-0000-0000-0000F8040000}"/>
    <cellStyle name="20% - Accent3 5 33" xfId="1690" xr:uid="{00000000-0005-0000-0000-0000F9040000}"/>
    <cellStyle name="20% - Accent3 5 34" xfId="1691" xr:uid="{00000000-0005-0000-0000-0000FA040000}"/>
    <cellStyle name="20% - Accent3 5 35" xfId="1692" xr:uid="{00000000-0005-0000-0000-0000FB040000}"/>
    <cellStyle name="20% - Accent3 5 36" xfId="1693" xr:uid="{00000000-0005-0000-0000-0000FC040000}"/>
    <cellStyle name="20% - Accent3 5 37" xfId="1694" xr:uid="{00000000-0005-0000-0000-0000FD040000}"/>
    <cellStyle name="20% - Accent3 5 38" xfId="1695" xr:uid="{00000000-0005-0000-0000-0000FE040000}"/>
    <cellStyle name="20% - Accent3 5 39" xfId="1696" xr:uid="{00000000-0005-0000-0000-0000FF040000}"/>
    <cellStyle name="20% - Accent3 5 4" xfId="1697" xr:uid="{00000000-0005-0000-0000-000000050000}"/>
    <cellStyle name="20% - Accent3 5 40" xfId="1698" xr:uid="{00000000-0005-0000-0000-000001050000}"/>
    <cellStyle name="20% - Accent3 5 41" xfId="1699" xr:uid="{00000000-0005-0000-0000-000002050000}"/>
    <cellStyle name="20% - Accent3 5 5" xfId="1700" xr:uid="{00000000-0005-0000-0000-000003050000}"/>
    <cellStyle name="20% - Accent3 5 6" xfId="1701" xr:uid="{00000000-0005-0000-0000-000004050000}"/>
    <cellStyle name="20% - Accent3 5 7" xfId="1702" xr:uid="{00000000-0005-0000-0000-000005050000}"/>
    <cellStyle name="20% - Accent3 5 8" xfId="1703" xr:uid="{00000000-0005-0000-0000-000006050000}"/>
    <cellStyle name="20% - Accent3 5 9" xfId="1704" xr:uid="{00000000-0005-0000-0000-000007050000}"/>
    <cellStyle name="20% - Accent3 6" xfId="1705" xr:uid="{00000000-0005-0000-0000-000008050000}"/>
    <cellStyle name="20% - Accent3 6 10" xfId="1706" xr:uid="{00000000-0005-0000-0000-000009050000}"/>
    <cellStyle name="20% - Accent3 6 11" xfId="1707" xr:uid="{00000000-0005-0000-0000-00000A050000}"/>
    <cellStyle name="20% - Accent3 6 12" xfId="1708" xr:uid="{00000000-0005-0000-0000-00000B050000}"/>
    <cellStyle name="20% - Accent3 6 13" xfId="1709" xr:uid="{00000000-0005-0000-0000-00000C050000}"/>
    <cellStyle name="20% - Accent3 6 14" xfId="1710" xr:uid="{00000000-0005-0000-0000-00000D050000}"/>
    <cellStyle name="20% - Accent3 6 15" xfId="1711" xr:uid="{00000000-0005-0000-0000-00000E050000}"/>
    <cellStyle name="20% - Accent3 6 16" xfId="1712" xr:uid="{00000000-0005-0000-0000-00000F050000}"/>
    <cellStyle name="20% - Accent3 6 17" xfId="1713" xr:uid="{00000000-0005-0000-0000-000010050000}"/>
    <cellStyle name="20% - Accent3 6 18" xfId="1714" xr:uid="{00000000-0005-0000-0000-000011050000}"/>
    <cellStyle name="20% - Accent3 6 19" xfId="1715" xr:uid="{00000000-0005-0000-0000-000012050000}"/>
    <cellStyle name="20% - Accent3 6 2" xfId="1716" xr:uid="{00000000-0005-0000-0000-000013050000}"/>
    <cellStyle name="20% - Accent3 6 20" xfId="1717" xr:uid="{00000000-0005-0000-0000-000014050000}"/>
    <cellStyle name="20% - Accent3 6 21" xfId="1718" xr:uid="{00000000-0005-0000-0000-000015050000}"/>
    <cellStyle name="20% - Accent3 6 22" xfId="1719" xr:uid="{00000000-0005-0000-0000-000016050000}"/>
    <cellStyle name="20% - Accent3 6 23" xfId="1720" xr:uid="{00000000-0005-0000-0000-000017050000}"/>
    <cellStyle name="20% - Accent3 6 24" xfId="1721" xr:uid="{00000000-0005-0000-0000-000018050000}"/>
    <cellStyle name="20% - Accent3 6 25" xfId="1722" xr:uid="{00000000-0005-0000-0000-000019050000}"/>
    <cellStyle name="20% - Accent3 6 26" xfId="1723" xr:uid="{00000000-0005-0000-0000-00001A050000}"/>
    <cellStyle name="20% - Accent3 6 27" xfId="1724" xr:uid="{00000000-0005-0000-0000-00001B050000}"/>
    <cellStyle name="20% - Accent3 6 28" xfId="1725" xr:uid="{00000000-0005-0000-0000-00001C050000}"/>
    <cellStyle name="20% - Accent3 6 29" xfId="1726" xr:uid="{00000000-0005-0000-0000-00001D050000}"/>
    <cellStyle name="20% - Accent3 6 3" xfId="1727" xr:uid="{00000000-0005-0000-0000-00001E050000}"/>
    <cellStyle name="20% - Accent3 6 30" xfId="1728" xr:uid="{00000000-0005-0000-0000-00001F050000}"/>
    <cellStyle name="20% - Accent3 6 31" xfId="1729" xr:uid="{00000000-0005-0000-0000-000020050000}"/>
    <cellStyle name="20% - Accent3 6 32" xfId="1730" xr:uid="{00000000-0005-0000-0000-000021050000}"/>
    <cellStyle name="20% - Accent3 6 33" xfId="1731" xr:uid="{00000000-0005-0000-0000-000022050000}"/>
    <cellStyle name="20% - Accent3 6 34" xfId="1732" xr:uid="{00000000-0005-0000-0000-000023050000}"/>
    <cellStyle name="20% - Accent3 6 35" xfId="1733" xr:uid="{00000000-0005-0000-0000-000024050000}"/>
    <cellStyle name="20% - Accent3 6 36" xfId="1734" xr:uid="{00000000-0005-0000-0000-000025050000}"/>
    <cellStyle name="20% - Accent3 6 37" xfId="1735" xr:uid="{00000000-0005-0000-0000-000026050000}"/>
    <cellStyle name="20% - Accent3 6 38" xfId="1736" xr:uid="{00000000-0005-0000-0000-000027050000}"/>
    <cellStyle name="20% - Accent3 6 39" xfId="1737" xr:uid="{00000000-0005-0000-0000-000028050000}"/>
    <cellStyle name="20% - Accent3 6 4" xfId="1738" xr:uid="{00000000-0005-0000-0000-000029050000}"/>
    <cellStyle name="20% - Accent3 6 40" xfId="1739" xr:uid="{00000000-0005-0000-0000-00002A050000}"/>
    <cellStyle name="20% - Accent3 6 41" xfId="1740" xr:uid="{00000000-0005-0000-0000-00002B050000}"/>
    <cellStyle name="20% - Accent3 6 5" xfId="1741" xr:uid="{00000000-0005-0000-0000-00002C050000}"/>
    <cellStyle name="20% - Accent3 6 6" xfId="1742" xr:uid="{00000000-0005-0000-0000-00002D050000}"/>
    <cellStyle name="20% - Accent3 6 7" xfId="1743" xr:uid="{00000000-0005-0000-0000-00002E050000}"/>
    <cellStyle name="20% - Accent3 6 8" xfId="1744" xr:uid="{00000000-0005-0000-0000-00002F050000}"/>
    <cellStyle name="20% - Accent3 6 9" xfId="1745" xr:uid="{00000000-0005-0000-0000-000030050000}"/>
    <cellStyle name="20% - Accent3 7" xfId="1746" xr:uid="{00000000-0005-0000-0000-000031050000}"/>
    <cellStyle name="20% - Accent3 7 10" xfId="1747" xr:uid="{00000000-0005-0000-0000-000032050000}"/>
    <cellStyle name="20% - Accent3 7 11" xfId="1748" xr:uid="{00000000-0005-0000-0000-000033050000}"/>
    <cellStyle name="20% - Accent3 7 12" xfId="1749" xr:uid="{00000000-0005-0000-0000-000034050000}"/>
    <cellStyle name="20% - Accent3 7 13" xfId="1750" xr:uid="{00000000-0005-0000-0000-000035050000}"/>
    <cellStyle name="20% - Accent3 7 14" xfId="1751" xr:uid="{00000000-0005-0000-0000-000036050000}"/>
    <cellStyle name="20% - Accent3 7 15" xfId="1752" xr:uid="{00000000-0005-0000-0000-000037050000}"/>
    <cellStyle name="20% - Accent3 7 16" xfId="1753" xr:uid="{00000000-0005-0000-0000-000038050000}"/>
    <cellStyle name="20% - Accent3 7 17" xfId="1754" xr:uid="{00000000-0005-0000-0000-000039050000}"/>
    <cellStyle name="20% - Accent3 7 18" xfId="1755" xr:uid="{00000000-0005-0000-0000-00003A050000}"/>
    <cellStyle name="20% - Accent3 7 19" xfId="1756" xr:uid="{00000000-0005-0000-0000-00003B050000}"/>
    <cellStyle name="20% - Accent3 7 2" xfId="1757" xr:uid="{00000000-0005-0000-0000-00003C050000}"/>
    <cellStyle name="20% - Accent3 7 20" xfId="1758" xr:uid="{00000000-0005-0000-0000-00003D050000}"/>
    <cellStyle name="20% - Accent3 7 21" xfId="1759" xr:uid="{00000000-0005-0000-0000-00003E050000}"/>
    <cellStyle name="20% - Accent3 7 22" xfId="1760" xr:uid="{00000000-0005-0000-0000-00003F050000}"/>
    <cellStyle name="20% - Accent3 7 23" xfId="1761" xr:uid="{00000000-0005-0000-0000-000040050000}"/>
    <cellStyle name="20% - Accent3 7 24" xfId="1762" xr:uid="{00000000-0005-0000-0000-000041050000}"/>
    <cellStyle name="20% - Accent3 7 25" xfId="1763" xr:uid="{00000000-0005-0000-0000-000042050000}"/>
    <cellStyle name="20% - Accent3 7 26" xfId="1764" xr:uid="{00000000-0005-0000-0000-000043050000}"/>
    <cellStyle name="20% - Accent3 7 27" xfId="1765" xr:uid="{00000000-0005-0000-0000-000044050000}"/>
    <cellStyle name="20% - Accent3 7 28" xfId="1766" xr:uid="{00000000-0005-0000-0000-000045050000}"/>
    <cellStyle name="20% - Accent3 7 29" xfId="1767" xr:uid="{00000000-0005-0000-0000-000046050000}"/>
    <cellStyle name="20% - Accent3 7 3" xfId="1768" xr:uid="{00000000-0005-0000-0000-000047050000}"/>
    <cellStyle name="20% - Accent3 7 30" xfId="1769" xr:uid="{00000000-0005-0000-0000-000048050000}"/>
    <cellStyle name="20% - Accent3 7 31" xfId="1770" xr:uid="{00000000-0005-0000-0000-000049050000}"/>
    <cellStyle name="20% - Accent3 7 32" xfId="1771" xr:uid="{00000000-0005-0000-0000-00004A050000}"/>
    <cellStyle name="20% - Accent3 7 33" xfId="1772" xr:uid="{00000000-0005-0000-0000-00004B050000}"/>
    <cellStyle name="20% - Accent3 7 34" xfId="1773" xr:uid="{00000000-0005-0000-0000-00004C050000}"/>
    <cellStyle name="20% - Accent3 7 35" xfId="1774" xr:uid="{00000000-0005-0000-0000-00004D050000}"/>
    <cellStyle name="20% - Accent3 7 36" xfId="1775" xr:uid="{00000000-0005-0000-0000-00004E050000}"/>
    <cellStyle name="20% - Accent3 7 37" xfId="1776" xr:uid="{00000000-0005-0000-0000-00004F050000}"/>
    <cellStyle name="20% - Accent3 7 38" xfId="1777" xr:uid="{00000000-0005-0000-0000-000050050000}"/>
    <cellStyle name="20% - Accent3 7 39" xfId="1778" xr:uid="{00000000-0005-0000-0000-000051050000}"/>
    <cellStyle name="20% - Accent3 7 4" xfId="1779" xr:uid="{00000000-0005-0000-0000-000052050000}"/>
    <cellStyle name="20% - Accent3 7 40" xfId="1780" xr:uid="{00000000-0005-0000-0000-000053050000}"/>
    <cellStyle name="20% - Accent3 7 41" xfId="1781" xr:uid="{00000000-0005-0000-0000-000054050000}"/>
    <cellStyle name="20% - Accent3 7 5" xfId="1782" xr:uid="{00000000-0005-0000-0000-000055050000}"/>
    <cellStyle name="20% - Accent3 7 6" xfId="1783" xr:uid="{00000000-0005-0000-0000-000056050000}"/>
    <cellStyle name="20% - Accent3 7 7" xfId="1784" xr:uid="{00000000-0005-0000-0000-000057050000}"/>
    <cellStyle name="20% - Accent3 7 8" xfId="1785" xr:uid="{00000000-0005-0000-0000-000058050000}"/>
    <cellStyle name="20% - Accent3 7 9" xfId="1786" xr:uid="{00000000-0005-0000-0000-000059050000}"/>
    <cellStyle name="20% - Accent3 8" xfId="1787" xr:uid="{00000000-0005-0000-0000-00005A050000}"/>
    <cellStyle name="20% - Accent3 8 10" xfId="1788" xr:uid="{00000000-0005-0000-0000-00005B050000}"/>
    <cellStyle name="20% - Accent3 8 11" xfId="1789" xr:uid="{00000000-0005-0000-0000-00005C050000}"/>
    <cellStyle name="20% - Accent3 8 12" xfId="1790" xr:uid="{00000000-0005-0000-0000-00005D050000}"/>
    <cellStyle name="20% - Accent3 8 13" xfId="1791" xr:uid="{00000000-0005-0000-0000-00005E050000}"/>
    <cellStyle name="20% - Accent3 8 14" xfId="1792" xr:uid="{00000000-0005-0000-0000-00005F050000}"/>
    <cellStyle name="20% - Accent3 8 15" xfId="1793" xr:uid="{00000000-0005-0000-0000-000060050000}"/>
    <cellStyle name="20% - Accent3 8 16" xfId="1794" xr:uid="{00000000-0005-0000-0000-000061050000}"/>
    <cellStyle name="20% - Accent3 8 17" xfId="1795" xr:uid="{00000000-0005-0000-0000-000062050000}"/>
    <cellStyle name="20% - Accent3 8 18" xfId="1796" xr:uid="{00000000-0005-0000-0000-000063050000}"/>
    <cellStyle name="20% - Accent3 8 19" xfId="1797" xr:uid="{00000000-0005-0000-0000-000064050000}"/>
    <cellStyle name="20% - Accent3 8 2" xfId="1798" xr:uid="{00000000-0005-0000-0000-000065050000}"/>
    <cellStyle name="20% - Accent3 8 20" xfId="1799" xr:uid="{00000000-0005-0000-0000-000066050000}"/>
    <cellStyle name="20% - Accent3 8 21" xfId="1800" xr:uid="{00000000-0005-0000-0000-000067050000}"/>
    <cellStyle name="20% - Accent3 8 22" xfId="1801" xr:uid="{00000000-0005-0000-0000-000068050000}"/>
    <cellStyle name="20% - Accent3 8 23" xfId="1802" xr:uid="{00000000-0005-0000-0000-000069050000}"/>
    <cellStyle name="20% - Accent3 8 24" xfId="1803" xr:uid="{00000000-0005-0000-0000-00006A050000}"/>
    <cellStyle name="20% - Accent3 8 25" xfId="1804" xr:uid="{00000000-0005-0000-0000-00006B050000}"/>
    <cellStyle name="20% - Accent3 8 26" xfId="1805" xr:uid="{00000000-0005-0000-0000-00006C050000}"/>
    <cellStyle name="20% - Accent3 8 27" xfId="1806" xr:uid="{00000000-0005-0000-0000-00006D050000}"/>
    <cellStyle name="20% - Accent3 8 28" xfId="1807" xr:uid="{00000000-0005-0000-0000-00006E050000}"/>
    <cellStyle name="20% - Accent3 8 29" xfId="1808" xr:uid="{00000000-0005-0000-0000-00006F050000}"/>
    <cellStyle name="20% - Accent3 8 3" xfId="1809" xr:uid="{00000000-0005-0000-0000-000070050000}"/>
    <cellStyle name="20% - Accent3 8 30" xfId="1810" xr:uid="{00000000-0005-0000-0000-000071050000}"/>
    <cellStyle name="20% - Accent3 8 31" xfId="1811" xr:uid="{00000000-0005-0000-0000-000072050000}"/>
    <cellStyle name="20% - Accent3 8 32" xfId="1812" xr:uid="{00000000-0005-0000-0000-000073050000}"/>
    <cellStyle name="20% - Accent3 8 33" xfId="1813" xr:uid="{00000000-0005-0000-0000-000074050000}"/>
    <cellStyle name="20% - Accent3 8 34" xfId="1814" xr:uid="{00000000-0005-0000-0000-000075050000}"/>
    <cellStyle name="20% - Accent3 8 35" xfId="1815" xr:uid="{00000000-0005-0000-0000-000076050000}"/>
    <cellStyle name="20% - Accent3 8 36" xfId="1816" xr:uid="{00000000-0005-0000-0000-000077050000}"/>
    <cellStyle name="20% - Accent3 8 37" xfId="1817" xr:uid="{00000000-0005-0000-0000-000078050000}"/>
    <cellStyle name="20% - Accent3 8 38" xfId="1818" xr:uid="{00000000-0005-0000-0000-000079050000}"/>
    <cellStyle name="20% - Accent3 8 39" xfId="1819" xr:uid="{00000000-0005-0000-0000-00007A050000}"/>
    <cellStyle name="20% - Accent3 8 4" xfId="1820" xr:uid="{00000000-0005-0000-0000-00007B050000}"/>
    <cellStyle name="20% - Accent3 8 40" xfId="1821" xr:uid="{00000000-0005-0000-0000-00007C050000}"/>
    <cellStyle name="20% - Accent3 8 41" xfId="1822" xr:uid="{00000000-0005-0000-0000-00007D050000}"/>
    <cellStyle name="20% - Accent3 8 5" xfId="1823" xr:uid="{00000000-0005-0000-0000-00007E050000}"/>
    <cellStyle name="20% - Accent3 8 6" xfId="1824" xr:uid="{00000000-0005-0000-0000-00007F050000}"/>
    <cellStyle name="20% - Accent3 8 7" xfId="1825" xr:uid="{00000000-0005-0000-0000-000080050000}"/>
    <cellStyle name="20% - Accent3 8 8" xfId="1826" xr:uid="{00000000-0005-0000-0000-000081050000}"/>
    <cellStyle name="20% - Accent3 8 9" xfId="1827" xr:uid="{00000000-0005-0000-0000-000082050000}"/>
    <cellStyle name="20% - Accent3 9" xfId="1828" xr:uid="{00000000-0005-0000-0000-000083050000}"/>
    <cellStyle name="20% - Accent3 9 10" xfId="1829" xr:uid="{00000000-0005-0000-0000-000084050000}"/>
    <cellStyle name="20% - Accent3 9 11" xfId="1830" xr:uid="{00000000-0005-0000-0000-000085050000}"/>
    <cellStyle name="20% - Accent3 9 12" xfId="1831" xr:uid="{00000000-0005-0000-0000-000086050000}"/>
    <cellStyle name="20% - Accent3 9 13" xfId="1832" xr:uid="{00000000-0005-0000-0000-000087050000}"/>
    <cellStyle name="20% - Accent3 9 14" xfId="1833" xr:uid="{00000000-0005-0000-0000-000088050000}"/>
    <cellStyle name="20% - Accent3 9 15" xfId="1834" xr:uid="{00000000-0005-0000-0000-000089050000}"/>
    <cellStyle name="20% - Accent3 9 16" xfId="1835" xr:uid="{00000000-0005-0000-0000-00008A050000}"/>
    <cellStyle name="20% - Accent3 9 17" xfId="1836" xr:uid="{00000000-0005-0000-0000-00008B050000}"/>
    <cellStyle name="20% - Accent3 9 18" xfId="1837" xr:uid="{00000000-0005-0000-0000-00008C050000}"/>
    <cellStyle name="20% - Accent3 9 19" xfId="1838" xr:uid="{00000000-0005-0000-0000-00008D050000}"/>
    <cellStyle name="20% - Accent3 9 2" xfId="1839" xr:uid="{00000000-0005-0000-0000-00008E050000}"/>
    <cellStyle name="20% - Accent3 9 20" xfId="1840" xr:uid="{00000000-0005-0000-0000-00008F050000}"/>
    <cellStyle name="20% - Accent3 9 21" xfId="1841" xr:uid="{00000000-0005-0000-0000-000090050000}"/>
    <cellStyle name="20% - Accent3 9 22" xfId="1842" xr:uid="{00000000-0005-0000-0000-000091050000}"/>
    <cellStyle name="20% - Accent3 9 23" xfId="1843" xr:uid="{00000000-0005-0000-0000-000092050000}"/>
    <cellStyle name="20% - Accent3 9 24" xfId="1844" xr:uid="{00000000-0005-0000-0000-000093050000}"/>
    <cellStyle name="20% - Accent3 9 25" xfId="1845" xr:uid="{00000000-0005-0000-0000-000094050000}"/>
    <cellStyle name="20% - Accent3 9 26" xfId="1846" xr:uid="{00000000-0005-0000-0000-000095050000}"/>
    <cellStyle name="20% - Accent3 9 27" xfId="1847" xr:uid="{00000000-0005-0000-0000-000096050000}"/>
    <cellStyle name="20% - Accent3 9 28" xfId="1848" xr:uid="{00000000-0005-0000-0000-000097050000}"/>
    <cellStyle name="20% - Accent3 9 29" xfId="1849" xr:uid="{00000000-0005-0000-0000-000098050000}"/>
    <cellStyle name="20% - Accent3 9 3" xfId="1850" xr:uid="{00000000-0005-0000-0000-000099050000}"/>
    <cellStyle name="20% - Accent3 9 30" xfId="1851" xr:uid="{00000000-0005-0000-0000-00009A050000}"/>
    <cellStyle name="20% - Accent3 9 31" xfId="1852" xr:uid="{00000000-0005-0000-0000-00009B050000}"/>
    <cellStyle name="20% - Accent3 9 32" xfId="1853" xr:uid="{00000000-0005-0000-0000-00009C050000}"/>
    <cellStyle name="20% - Accent3 9 33" xfId="1854" xr:uid="{00000000-0005-0000-0000-00009D050000}"/>
    <cellStyle name="20% - Accent3 9 34" xfId="1855" xr:uid="{00000000-0005-0000-0000-00009E050000}"/>
    <cellStyle name="20% - Accent3 9 35" xfId="1856" xr:uid="{00000000-0005-0000-0000-00009F050000}"/>
    <cellStyle name="20% - Accent3 9 36" xfId="1857" xr:uid="{00000000-0005-0000-0000-0000A0050000}"/>
    <cellStyle name="20% - Accent3 9 37" xfId="1858" xr:uid="{00000000-0005-0000-0000-0000A1050000}"/>
    <cellStyle name="20% - Accent3 9 38" xfId="1859" xr:uid="{00000000-0005-0000-0000-0000A2050000}"/>
    <cellStyle name="20% - Accent3 9 39" xfId="1860" xr:uid="{00000000-0005-0000-0000-0000A3050000}"/>
    <cellStyle name="20% - Accent3 9 4" xfId="1861" xr:uid="{00000000-0005-0000-0000-0000A4050000}"/>
    <cellStyle name="20% - Accent3 9 40" xfId="1862" xr:uid="{00000000-0005-0000-0000-0000A5050000}"/>
    <cellStyle name="20% - Accent3 9 41" xfId="1863" xr:uid="{00000000-0005-0000-0000-0000A6050000}"/>
    <cellStyle name="20% - Accent3 9 5" xfId="1864" xr:uid="{00000000-0005-0000-0000-0000A7050000}"/>
    <cellStyle name="20% - Accent3 9 6" xfId="1865" xr:uid="{00000000-0005-0000-0000-0000A8050000}"/>
    <cellStyle name="20% - Accent3 9 7" xfId="1866" xr:uid="{00000000-0005-0000-0000-0000A9050000}"/>
    <cellStyle name="20% - Accent3 9 8" xfId="1867" xr:uid="{00000000-0005-0000-0000-0000AA050000}"/>
    <cellStyle name="20% - Accent3 9 9" xfId="1868" xr:uid="{00000000-0005-0000-0000-0000AB050000}"/>
    <cellStyle name="20% - Accent4 10" xfId="1869" xr:uid="{00000000-0005-0000-0000-0000AC050000}"/>
    <cellStyle name="20% - Accent4 10 10" xfId="1870" xr:uid="{00000000-0005-0000-0000-0000AD050000}"/>
    <cellStyle name="20% - Accent4 10 11" xfId="1871" xr:uid="{00000000-0005-0000-0000-0000AE050000}"/>
    <cellStyle name="20% - Accent4 10 12" xfId="1872" xr:uid="{00000000-0005-0000-0000-0000AF050000}"/>
    <cellStyle name="20% - Accent4 10 13" xfId="1873" xr:uid="{00000000-0005-0000-0000-0000B0050000}"/>
    <cellStyle name="20% - Accent4 10 14" xfId="1874" xr:uid="{00000000-0005-0000-0000-0000B1050000}"/>
    <cellStyle name="20% - Accent4 10 15" xfId="1875" xr:uid="{00000000-0005-0000-0000-0000B2050000}"/>
    <cellStyle name="20% - Accent4 10 16" xfId="1876" xr:uid="{00000000-0005-0000-0000-0000B3050000}"/>
    <cellStyle name="20% - Accent4 10 17" xfId="1877" xr:uid="{00000000-0005-0000-0000-0000B4050000}"/>
    <cellStyle name="20% - Accent4 10 18" xfId="1878" xr:uid="{00000000-0005-0000-0000-0000B5050000}"/>
    <cellStyle name="20% - Accent4 10 19" xfId="1879" xr:uid="{00000000-0005-0000-0000-0000B6050000}"/>
    <cellStyle name="20% - Accent4 10 2" xfId="1880" xr:uid="{00000000-0005-0000-0000-0000B7050000}"/>
    <cellStyle name="20% - Accent4 10 20" xfId="1881" xr:uid="{00000000-0005-0000-0000-0000B8050000}"/>
    <cellStyle name="20% - Accent4 10 21" xfId="1882" xr:uid="{00000000-0005-0000-0000-0000B9050000}"/>
    <cellStyle name="20% - Accent4 10 22" xfId="1883" xr:uid="{00000000-0005-0000-0000-0000BA050000}"/>
    <cellStyle name="20% - Accent4 10 23" xfId="1884" xr:uid="{00000000-0005-0000-0000-0000BB050000}"/>
    <cellStyle name="20% - Accent4 10 24" xfId="1885" xr:uid="{00000000-0005-0000-0000-0000BC050000}"/>
    <cellStyle name="20% - Accent4 10 25" xfId="1886" xr:uid="{00000000-0005-0000-0000-0000BD050000}"/>
    <cellStyle name="20% - Accent4 10 26" xfId="1887" xr:uid="{00000000-0005-0000-0000-0000BE050000}"/>
    <cellStyle name="20% - Accent4 10 27" xfId="1888" xr:uid="{00000000-0005-0000-0000-0000BF050000}"/>
    <cellStyle name="20% - Accent4 10 28" xfId="1889" xr:uid="{00000000-0005-0000-0000-0000C0050000}"/>
    <cellStyle name="20% - Accent4 10 29" xfId="1890" xr:uid="{00000000-0005-0000-0000-0000C1050000}"/>
    <cellStyle name="20% - Accent4 10 3" xfId="1891" xr:uid="{00000000-0005-0000-0000-0000C2050000}"/>
    <cellStyle name="20% - Accent4 10 30" xfId="1892" xr:uid="{00000000-0005-0000-0000-0000C3050000}"/>
    <cellStyle name="20% - Accent4 10 31" xfId="1893" xr:uid="{00000000-0005-0000-0000-0000C4050000}"/>
    <cellStyle name="20% - Accent4 10 32" xfId="1894" xr:uid="{00000000-0005-0000-0000-0000C5050000}"/>
    <cellStyle name="20% - Accent4 10 33" xfId="1895" xr:uid="{00000000-0005-0000-0000-0000C6050000}"/>
    <cellStyle name="20% - Accent4 10 34" xfId="1896" xr:uid="{00000000-0005-0000-0000-0000C7050000}"/>
    <cellStyle name="20% - Accent4 10 35" xfId="1897" xr:uid="{00000000-0005-0000-0000-0000C8050000}"/>
    <cellStyle name="20% - Accent4 10 36" xfId="1898" xr:uid="{00000000-0005-0000-0000-0000C9050000}"/>
    <cellStyle name="20% - Accent4 10 37" xfId="1899" xr:uid="{00000000-0005-0000-0000-0000CA050000}"/>
    <cellStyle name="20% - Accent4 10 38" xfId="1900" xr:uid="{00000000-0005-0000-0000-0000CB050000}"/>
    <cellStyle name="20% - Accent4 10 39" xfId="1901" xr:uid="{00000000-0005-0000-0000-0000CC050000}"/>
    <cellStyle name="20% - Accent4 10 4" xfId="1902" xr:uid="{00000000-0005-0000-0000-0000CD050000}"/>
    <cellStyle name="20% - Accent4 10 40" xfId="1903" xr:uid="{00000000-0005-0000-0000-0000CE050000}"/>
    <cellStyle name="20% - Accent4 10 41" xfId="1904" xr:uid="{00000000-0005-0000-0000-0000CF050000}"/>
    <cellStyle name="20% - Accent4 10 5" xfId="1905" xr:uid="{00000000-0005-0000-0000-0000D0050000}"/>
    <cellStyle name="20% - Accent4 10 6" xfId="1906" xr:uid="{00000000-0005-0000-0000-0000D1050000}"/>
    <cellStyle name="20% - Accent4 10 7" xfId="1907" xr:uid="{00000000-0005-0000-0000-0000D2050000}"/>
    <cellStyle name="20% - Accent4 10 8" xfId="1908" xr:uid="{00000000-0005-0000-0000-0000D3050000}"/>
    <cellStyle name="20% - Accent4 10 9" xfId="1909" xr:uid="{00000000-0005-0000-0000-0000D4050000}"/>
    <cellStyle name="20% - Accent4 11" xfId="1910" xr:uid="{00000000-0005-0000-0000-0000D5050000}"/>
    <cellStyle name="20% - Accent4 11 10" xfId="1911" xr:uid="{00000000-0005-0000-0000-0000D6050000}"/>
    <cellStyle name="20% - Accent4 11 11" xfId="1912" xr:uid="{00000000-0005-0000-0000-0000D7050000}"/>
    <cellStyle name="20% - Accent4 11 12" xfId="1913" xr:uid="{00000000-0005-0000-0000-0000D8050000}"/>
    <cellStyle name="20% - Accent4 11 13" xfId="1914" xr:uid="{00000000-0005-0000-0000-0000D9050000}"/>
    <cellStyle name="20% - Accent4 11 14" xfId="1915" xr:uid="{00000000-0005-0000-0000-0000DA050000}"/>
    <cellStyle name="20% - Accent4 11 15" xfId="1916" xr:uid="{00000000-0005-0000-0000-0000DB050000}"/>
    <cellStyle name="20% - Accent4 11 16" xfId="1917" xr:uid="{00000000-0005-0000-0000-0000DC050000}"/>
    <cellStyle name="20% - Accent4 11 17" xfId="1918" xr:uid="{00000000-0005-0000-0000-0000DD050000}"/>
    <cellStyle name="20% - Accent4 11 18" xfId="1919" xr:uid="{00000000-0005-0000-0000-0000DE050000}"/>
    <cellStyle name="20% - Accent4 11 19" xfId="1920" xr:uid="{00000000-0005-0000-0000-0000DF050000}"/>
    <cellStyle name="20% - Accent4 11 2" xfId="1921" xr:uid="{00000000-0005-0000-0000-0000E0050000}"/>
    <cellStyle name="20% - Accent4 11 20" xfId="1922" xr:uid="{00000000-0005-0000-0000-0000E1050000}"/>
    <cellStyle name="20% - Accent4 11 21" xfId="1923" xr:uid="{00000000-0005-0000-0000-0000E2050000}"/>
    <cellStyle name="20% - Accent4 11 22" xfId="1924" xr:uid="{00000000-0005-0000-0000-0000E3050000}"/>
    <cellStyle name="20% - Accent4 11 23" xfId="1925" xr:uid="{00000000-0005-0000-0000-0000E4050000}"/>
    <cellStyle name="20% - Accent4 11 24" xfId="1926" xr:uid="{00000000-0005-0000-0000-0000E5050000}"/>
    <cellStyle name="20% - Accent4 11 25" xfId="1927" xr:uid="{00000000-0005-0000-0000-0000E6050000}"/>
    <cellStyle name="20% - Accent4 11 26" xfId="1928" xr:uid="{00000000-0005-0000-0000-0000E7050000}"/>
    <cellStyle name="20% - Accent4 11 27" xfId="1929" xr:uid="{00000000-0005-0000-0000-0000E8050000}"/>
    <cellStyle name="20% - Accent4 11 28" xfId="1930" xr:uid="{00000000-0005-0000-0000-0000E9050000}"/>
    <cellStyle name="20% - Accent4 11 29" xfId="1931" xr:uid="{00000000-0005-0000-0000-0000EA050000}"/>
    <cellStyle name="20% - Accent4 11 3" xfId="1932" xr:uid="{00000000-0005-0000-0000-0000EB050000}"/>
    <cellStyle name="20% - Accent4 11 30" xfId="1933" xr:uid="{00000000-0005-0000-0000-0000EC050000}"/>
    <cellStyle name="20% - Accent4 11 31" xfId="1934" xr:uid="{00000000-0005-0000-0000-0000ED050000}"/>
    <cellStyle name="20% - Accent4 11 32" xfId="1935" xr:uid="{00000000-0005-0000-0000-0000EE050000}"/>
    <cellStyle name="20% - Accent4 11 33" xfId="1936" xr:uid="{00000000-0005-0000-0000-0000EF050000}"/>
    <cellStyle name="20% - Accent4 11 34" xfId="1937" xr:uid="{00000000-0005-0000-0000-0000F0050000}"/>
    <cellStyle name="20% - Accent4 11 35" xfId="1938" xr:uid="{00000000-0005-0000-0000-0000F1050000}"/>
    <cellStyle name="20% - Accent4 11 36" xfId="1939" xr:uid="{00000000-0005-0000-0000-0000F2050000}"/>
    <cellStyle name="20% - Accent4 11 37" xfId="1940" xr:uid="{00000000-0005-0000-0000-0000F3050000}"/>
    <cellStyle name="20% - Accent4 11 38" xfId="1941" xr:uid="{00000000-0005-0000-0000-0000F4050000}"/>
    <cellStyle name="20% - Accent4 11 39" xfId="1942" xr:uid="{00000000-0005-0000-0000-0000F5050000}"/>
    <cellStyle name="20% - Accent4 11 4" xfId="1943" xr:uid="{00000000-0005-0000-0000-0000F6050000}"/>
    <cellStyle name="20% - Accent4 11 40" xfId="1944" xr:uid="{00000000-0005-0000-0000-0000F7050000}"/>
    <cellStyle name="20% - Accent4 11 41" xfId="1945" xr:uid="{00000000-0005-0000-0000-0000F8050000}"/>
    <cellStyle name="20% - Accent4 11 5" xfId="1946" xr:uid="{00000000-0005-0000-0000-0000F9050000}"/>
    <cellStyle name="20% - Accent4 11 6" xfId="1947" xr:uid="{00000000-0005-0000-0000-0000FA050000}"/>
    <cellStyle name="20% - Accent4 11 7" xfId="1948" xr:uid="{00000000-0005-0000-0000-0000FB050000}"/>
    <cellStyle name="20% - Accent4 11 8" xfId="1949" xr:uid="{00000000-0005-0000-0000-0000FC050000}"/>
    <cellStyle name="20% - Accent4 11 9" xfId="1950" xr:uid="{00000000-0005-0000-0000-0000FD050000}"/>
    <cellStyle name="20% - Accent4 12" xfId="1951" xr:uid="{00000000-0005-0000-0000-0000FE050000}"/>
    <cellStyle name="20% - Accent4 12 10" xfId="1952" xr:uid="{00000000-0005-0000-0000-0000FF050000}"/>
    <cellStyle name="20% - Accent4 12 11" xfId="1953" xr:uid="{00000000-0005-0000-0000-000000060000}"/>
    <cellStyle name="20% - Accent4 12 12" xfId="1954" xr:uid="{00000000-0005-0000-0000-000001060000}"/>
    <cellStyle name="20% - Accent4 12 13" xfId="1955" xr:uid="{00000000-0005-0000-0000-000002060000}"/>
    <cellStyle name="20% - Accent4 12 14" xfId="1956" xr:uid="{00000000-0005-0000-0000-000003060000}"/>
    <cellStyle name="20% - Accent4 12 15" xfId="1957" xr:uid="{00000000-0005-0000-0000-000004060000}"/>
    <cellStyle name="20% - Accent4 12 16" xfId="1958" xr:uid="{00000000-0005-0000-0000-000005060000}"/>
    <cellStyle name="20% - Accent4 12 17" xfId="1959" xr:uid="{00000000-0005-0000-0000-000006060000}"/>
    <cellStyle name="20% - Accent4 12 18" xfId="1960" xr:uid="{00000000-0005-0000-0000-000007060000}"/>
    <cellStyle name="20% - Accent4 12 19" xfId="1961" xr:uid="{00000000-0005-0000-0000-000008060000}"/>
    <cellStyle name="20% - Accent4 12 2" xfId="1962" xr:uid="{00000000-0005-0000-0000-000009060000}"/>
    <cellStyle name="20% - Accent4 12 20" xfId="1963" xr:uid="{00000000-0005-0000-0000-00000A060000}"/>
    <cellStyle name="20% - Accent4 12 21" xfId="1964" xr:uid="{00000000-0005-0000-0000-00000B060000}"/>
    <cellStyle name="20% - Accent4 12 22" xfId="1965" xr:uid="{00000000-0005-0000-0000-00000C060000}"/>
    <cellStyle name="20% - Accent4 12 23" xfId="1966" xr:uid="{00000000-0005-0000-0000-00000D060000}"/>
    <cellStyle name="20% - Accent4 12 24" xfId="1967" xr:uid="{00000000-0005-0000-0000-00000E060000}"/>
    <cellStyle name="20% - Accent4 12 25" xfId="1968" xr:uid="{00000000-0005-0000-0000-00000F060000}"/>
    <cellStyle name="20% - Accent4 12 26" xfId="1969" xr:uid="{00000000-0005-0000-0000-000010060000}"/>
    <cellStyle name="20% - Accent4 12 27" xfId="1970" xr:uid="{00000000-0005-0000-0000-000011060000}"/>
    <cellStyle name="20% - Accent4 12 28" xfId="1971" xr:uid="{00000000-0005-0000-0000-000012060000}"/>
    <cellStyle name="20% - Accent4 12 29" xfId="1972" xr:uid="{00000000-0005-0000-0000-000013060000}"/>
    <cellStyle name="20% - Accent4 12 3" xfId="1973" xr:uid="{00000000-0005-0000-0000-000014060000}"/>
    <cellStyle name="20% - Accent4 12 30" xfId="1974" xr:uid="{00000000-0005-0000-0000-000015060000}"/>
    <cellStyle name="20% - Accent4 12 31" xfId="1975" xr:uid="{00000000-0005-0000-0000-000016060000}"/>
    <cellStyle name="20% - Accent4 12 32" xfId="1976" xr:uid="{00000000-0005-0000-0000-000017060000}"/>
    <cellStyle name="20% - Accent4 12 33" xfId="1977" xr:uid="{00000000-0005-0000-0000-000018060000}"/>
    <cellStyle name="20% - Accent4 12 34" xfId="1978" xr:uid="{00000000-0005-0000-0000-000019060000}"/>
    <cellStyle name="20% - Accent4 12 35" xfId="1979" xr:uid="{00000000-0005-0000-0000-00001A060000}"/>
    <cellStyle name="20% - Accent4 12 36" xfId="1980" xr:uid="{00000000-0005-0000-0000-00001B060000}"/>
    <cellStyle name="20% - Accent4 12 37" xfId="1981" xr:uid="{00000000-0005-0000-0000-00001C060000}"/>
    <cellStyle name="20% - Accent4 12 38" xfId="1982" xr:uid="{00000000-0005-0000-0000-00001D060000}"/>
    <cellStyle name="20% - Accent4 12 39" xfId="1983" xr:uid="{00000000-0005-0000-0000-00001E060000}"/>
    <cellStyle name="20% - Accent4 12 4" xfId="1984" xr:uid="{00000000-0005-0000-0000-00001F060000}"/>
    <cellStyle name="20% - Accent4 12 40" xfId="1985" xr:uid="{00000000-0005-0000-0000-000020060000}"/>
    <cellStyle name="20% - Accent4 12 41" xfId="1986" xr:uid="{00000000-0005-0000-0000-000021060000}"/>
    <cellStyle name="20% - Accent4 12 5" xfId="1987" xr:uid="{00000000-0005-0000-0000-000022060000}"/>
    <cellStyle name="20% - Accent4 12 6" xfId="1988" xr:uid="{00000000-0005-0000-0000-000023060000}"/>
    <cellStyle name="20% - Accent4 12 7" xfId="1989" xr:uid="{00000000-0005-0000-0000-000024060000}"/>
    <cellStyle name="20% - Accent4 12 8" xfId="1990" xr:uid="{00000000-0005-0000-0000-000025060000}"/>
    <cellStyle name="20% - Accent4 12 9" xfId="1991" xr:uid="{00000000-0005-0000-0000-000026060000}"/>
    <cellStyle name="20% - Accent4 13" xfId="1992" xr:uid="{00000000-0005-0000-0000-000027060000}"/>
    <cellStyle name="20% - Accent4 14" xfId="1993" xr:uid="{00000000-0005-0000-0000-000028060000}"/>
    <cellStyle name="20% - Accent4 14 2" xfId="1994" xr:uid="{00000000-0005-0000-0000-000029060000}"/>
    <cellStyle name="20% - Accent4 15" xfId="1995" xr:uid="{00000000-0005-0000-0000-00002A060000}"/>
    <cellStyle name="20% - Accent4 16" xfId="3730" xr:uid="{00000000-0005-0000-0000-00002B060000}"/>
    <cellStyle name="20% - Accent4 2" xfId="25" xr:uid="{00000000-0005-0000-0000-00002C060000}"/>
    <cellStyle name="20% - Accent4 2 10" xfId="1996" xr:uid="{00000000-0005-0000-0000-00002D060000}"/>
    <cellStyle name="20% - Accent4 2 11" xfId="1997" xr:uid="{00000000-0005-0000-0000-00002E060000}"/>
    <cellStyle name="20% - Accent4 2 12" xfId="1998" xr:uid="{00000000-0005-0000-0000-00002F060000}"/>
    <cellStyle name="20% - Accent4 2 13" xfId="1999" xr:uid="{00000000-0005-0000-0000-000030060000}"/>
    <cellStyle name="20% - Accent4 2 14" xfId="2000" xr:uid="{00000000-0005-0000-0000-000031060000}"/>
    <cellStyle name="20% - Accent4 2 15" xfId="2001" xr:uid="{00000000-0005-0000-0000-000032060000}"/>
    <cellStyle name="20% - Accent4 2 16" xfId="2002" xr:uid="{00000000-0005-0000-0000-000033060000}"/>
    <cellStyle name="20% - Accent4 2 17" xfId="2003" xr:uid="{00000000-0005-0000-0000-000034060000}"/>
    <cellStyle name="20% - Accent4 2 18" xfId="2004" xr:uid="{00000000-0005-0000-0000-000035060000}"/>
    <cellStyle name="20% - Accent4 2 19" xfId="2005" xr:uid="{00000000-0005-0000-0000-000036060000}"/>
    <cellStyle name="20% - Accent4 2 2" xfId="338" xr:uid="{00000000-0005-0000-0000-000037060000}"/>
    <cellStyle name="20% - Accent4 2 2 2" xfId="2006" xr:uid="{00000000-0005-0000-0000-000038060000}"/>
    <cellStyle name="20% - Accent4 2 2 2 2" xfId="2007" xr:uid="{00000000-0005-0000-0000-000039060000}"/>
    <cellStyle name="20% - Accent4 2 2 3" xfId="2008" xr:uid="{00000000-0005-0000-0000-00003A060000}"/>
    <cellStyle name="20% - Accent4 2 2 4" xfId="2009" xr:uid="{00000000-0005-0000-0000-00003B060000}"/>
    <cellStyle name="20% - Accent4 2 2 5" xfId="2010" xr:uid="{00000000-0005-0000-0000-00003C060000}"/>
    <cellStyle name="20% - Accent4 2 20" xfId="2011" xr:uid="{00000000-0005-0000-0000-00003D060000}"/>
    <cellStyle name="20% - Accent4 2 21" xfId="2012" xr:uid="{00000000-0005-0000-0000-00003E060000}"/>
    <cellStyle name="20% - Accent4 2 22" xfId="2013" xr:uid="{00000000-0005-0000-0000-00003F060000}"/>
    <cellStyle name="20% - Accent4 2 23" xfId="2014" xr:uid="{00000000-0005-0000-0000-000040060000}"/>
    <cellStyle name="20% - Accent4 2 24" xfId="2015" xr:uid="{00000000-0005-0000-0000-000041060000}"/>
    <cellStyle name="20% - Accent4 2 25" xfId="2016" xr:uid="{00000000-0005-0000-0000-000042060000}"/>
    <cellStyle name="20% - Accent4 2 26" xfId="2017" xr:uid="{00000000-0005-0000-0000-000043060000}"/>
    <cellStyle name="20% - Accent4 2 27" xfId="2018" xr:uid="{00000000-0005-0000-0000-000044060000}"/>
    <cellStyle name="20% - Accent4 2 28" xfId="2019" xr:uid="{00000000-0005-0000-0000-000045060000}"/>
    <cellStyle name="20% - Accent4 2 29" xfId="2020" xr:uid="{00000000-0005-0000-0000-000046060000}"/>
    <cellStyle name="20% - Accent4 2 3" xfId="337" xr:uid="{00000000-0005-0000-0000-000047060000}"/>
    <cellStyle name="20% - Accent4 2 3 2" xfId="2022" xr:uid="{00000000-0005-0000-0000-000048060000}"/>
    <cellStyle name="20% - Accent4 2 3 3" xfId="2023" xr:uid="{00000000-0005-0000-0000-000049060000}"/>
    <cellStyle name="20% - Accent4 2 3 4" xfId="2024" xr:uid="{00000000-0005-0000-0000-00004A060000}"/>
    <cellStyle name="20% - Accent4 2 3 5" xfId="2025" xr:uid="{00000000-0005-0000-0000-00004B060000}"/>
    <cellStyle name="20% - Accent4 2 3 6" xfId="2026" xr:uid="{00000000-0005-0000-0000-00004C060000}"/>
    <cellStyle name="20% - Accent4 2 3 7" xfId="2021" xr:uid="{00000000-0005-0000-0000-00004D060000}"/>
    <cellStyle name="20% - Accent4 2 30" xfId="2027" xr:uid="{00000000-0005-0000-0000-00004E060000}"/>
    <cellStyle name="20% - Accent4 2 31" xfId="2028" xr:uid="{00000000-0005-0000-0000-00004F060000}"/>
    <cellStyle name="20% - Accent4 2 32" xfId="2029" xr:uid="{00000000-0005-0000-0000-000050060000}"/>
    <cellStyle name="20% - Accent4 2 33" xfId="2030" xr:uid="{00000000-0005-0000-0000-000051060000}"/>
    <cellStyle name="20% - Accent4 2 34" xfId="2031" xr:uid="{00000000-0005-0000-0000-000052060000}"/>
    <cellStyle name="20% - Accent4 2 35" xfId="2032" xr:uid="{00000000-0005-0000-0000-000053060000}"/>
    <cellStyle name="20% - Accent4 2 36" xfId="2033" xr:uid="{00000000-0005-0000-0000-000054060000}"/>
    <cellStyle name="20% - Accent4 2 37" xfId="2034" xr:uid="{00000000-0005-0000-0000-000055060000}"/>
    <cellStyle name="20% - Accent4 2 38" xfId="2035" xr:uid="{00000000-0005-0000-0000-000056060000}"/>
    <cellStyle name="20% - Accent4 2 39" xfId="2036" xr:uid="{00000000-0005-0000-0000-000057060000}"/>
    <cellStyle name="20% - Accent4 2 4" xfId="2037" xr:uid="{00000000-0005-0000-0000-000058060000}"/>
    <cellStyle name="20% - Accent4 2 40" xfId="2038" xr:uid="{00000000-0005-0000-0000-000059060000}"/>
    <cellStyle name="20% - Accent4 2 41" xfId="2039" xr:uid="{00000000-0005-0000-0000-00005A060000}"/>
    <cellStyle name="20% - Accent4 2 42" xfId="2040" xr:uid="{00000000-0005-0000-0000-00005B060000}"/>
    <cellStyle name="20% - Accent4 2 43" xfId="2041" xr:uid="{00000000-0005-0000-0000-00005C060000}"/>
    <cellStyle name="20% - Accent4 2 44" xfId="2042" xr:uid="{00000000-0005-0000-0000-00005D060000}"/>
    <cellStyle name="20% - Accent4 2 45" xfId="2043" xr:uid="{00000000-0005-0000-0000-00005E060000}"/>
    <cellStyle name="20% - Accent4 2 5" xfId="2044" xr:uid="{00000000-0005-0000-0000-00005F060000}"/>
    <cellStyle name="20% - Accent4 2 6" xfId="2045" xr:uid="{00000000-0005-0000-0000-000060060000}"/>
    <cellStyle name="20% - Accent4 2 7" xfId="2046" xr:uid="{00000000-0005-0000-0000-000061060000}"/>
    <cellStyle name="20% - Accent4 2 8" xfId="2047" xr:uid="{00000000-0005-0000-0000-000062060000}"/>
    <cellStyle name="20% - Accent4 2 9" xfId="2048" xr:uid="{00000000-0005-0000-0000-000063060000}"/>
    <cellStyle name="20% - Accent4 2_SNL_BankReg_UBPR_v1_CustomPeers" xfId="2049" xr:uid="{00000000-0005-0000-0000-000064060000}"/>
    <cellStyle name="20% - Accent4 3" xfId="336" xr:uid="{00000000-0005-0000-0000-000065060000}"/>
    <cellStyle name="20% - Accent4 3 10" xfId="2051" xr:uid="{00000000-0005-0000-0000-000066060000}"/>
    <cellStyle name="20% - Accent4 3 11" xfId="2052" xr:uid="{00000000-0005-0000-0000-000067060000}"/>
    <cellStyle name="20% - Accent4 3 12" xfId="2053" xr:uid="{00000000-0005-0000-0000-000068060000}"/>
    <cellStyle name="20% - Accent4 3 13" xfId="2054" xr:uid="{00000000-0005-0000-0000-000069060000}"/>
    <cellStyle name="20% - Accent4 3 14" xfId="2055" xr:uid="{00000000-0005-0000-0000-00006A060000}"/>
    <cellStyle name="20% - Accent4 3 15" xfId="2056" xr:uid="{00000000-0005-0000-0000-00006B060000}"/>
    <cellStyle name="20% - Accent4 3 16" xfId="2057" xr:uid="{00000000-0005-0000-0000-00006C060000}"/>
    <cellStyle name="20% - Accent4 3 17" xfId="2058" xr:uid="{00000000-0005-0000-0000-00006D060000}"/>
    <cellStyle name="20% - Accent4 3 18" xfId="2059" xr:uid="{00000000-0005-0000-0000-00006E060000}"/>
    <cellStyle name="20% - Accent4 3 19" xfId="2060" xr:uid="{00000000-0005-0000-0000-00006F060000}"/>
    <cellStyle name="20% - Accent4 3 2" xfId="2061" xr:uid="{00000000-0005-0000-0000-000070060000}"/>
    <cellStyle name="20% - Accent4 3 20" xfId="2062" xr:uid="{00000000-0005-0000-0000-000071060000}"/>
    <cellStyle name="20% - Accent4 3 21" xfId="2063" xr:uid="{00000000-0005-0000-0000-000072060000}"/>
    <cellStyle name="20% - Accent4 3 22" xfId="2064" xr:uid="{00000000-0005-0000-0000-000073060000}"/>
    <cellStyle name="20% - Accent4 3 23" xfId="2065" xr:uid="{00000000-0005-0000-0000-000074060000}"/>
    <cellStyle name="20% - Accent4 3 24" xfId="2066" xr:uid="{00000000-0005-0000-0000-000075060000}"/>
    <cellStyle name="20% - Accent4 3 25" xfId="2067" xr:uid="{00000000-0005-0000-0000-000076060000}"/>
    <cellStyle name="20% - Accent4 3 26" xfId="2068" xr:uid="{00000000-0005-0000-0000-000077060000}"/>
    <cellStyle name="20% - Accent4 3 27" xfId="2069" xr:uid="{00000000-0005-0000-0000-000078060000}"/>
    <cellStyle name="20% - Accent4 3 28" xfId="2070" xr:uid="{00000000-0005-0000-0000-000079060000}"/>
    <cellStyle name="20% - Accent4 3 29" xfId="2071" xr:uid="{00000000-0005-0000-0000-00007A060000}"/>
    <cellStyle name="20% - Accent4 3 3" xfId="2072" xr:uid="{00000000-0005-0000-0000-00007B060000}"/>
    <cellStyle name="20% - Accent4 3 30" xfId="2073" xr:uid="{00000000-0005-0000-0000-00007C060000}"/>
    <cellStyle name="20% - Accent4 3 31" xfId="2074" xr:uid="{00000000-0005-0000-0000-00007D060000}"/>
    <cellStyle name="20% - Accent4 3 32" xfId="2075" xr:uid="{00000000-0005-0000-0000-00007E060000}"/>
    <cellStyle name="20% - Accent4 3 33" xfId="2076" xr:uid="{00000000-0005-0000-0000-00007F060000}"/>
    <cellStyle name="20% - Accent4 3 34" xfId="2077" xr:uid="{00000000-0005-0000-0000-000080060000}"/>
    <cellStyle name="20% - Accent4 3 35" xfId="2078" xr:uid="{00000000-0005-0000-0000-000081060000}"/>
    <cellStyle name="20% - Accent4 3 36" xfId="2079" xr:uid="{00000000-0005-0000-0000-000082060000}"/>
    <cellStyle name="20% - Accent4 3 37" xfId="2080" xr:uid="{00000000-0005-0000-0000-000083060000}"/>
    <cellStyle name="20% - Accent4 3 38" xfId="2081" xr:uid="{00000000-0005-0000-0000-000084060000}"/>
    <cellStyle name="20% - Accent4 3 39" xfId="2082" xr:uid="{00000000-0005-0000-0000-000085060000}"/>
    <cellStyle name="20% - Accent4 3 4" xfId="2083" xr:uid="{00000000-0005-0000-0000-000086060000}"/>
    <cellStyle name="20% - Accent4 3 40" xfId="2084" xr:uid="{00000000-0005-0000-0000-000087060000}"/>
    <cellStyle name="20% - Accent4 3 41" xfId="2085" xr:uid="{00000000-0005-0000-0000-000088060000}"/>
    <cellStyle name="20% - Accent4 3 42" xfId="2086" xr:uid="{00000000-0005-0000-0000-000089060000}"/>
    <cellStyle name="20% - Accent4 3 43" xfId="2087" xr:uid="{00000000-0005-0000-0000-00008A060000}"/>
    <cellStyle name="20% - Accent4 3 44" xfId="2088" xr:uid="{00000000-0005-0000-0000-00008B060000}"/>
    <cellStyle name="20% - Accent4 3 45" xfId="2089" xr:uid="{00000000-0005-0000-0000-00008C060000}"/>
    <cellStyle name="20% - Accent4 3 46" xfId="2050" xr:uid="{00000000-0005-0000-0000-00008D060000}"/>
    <cellStyle name="20% - Accent4 3 5" xfId="2090" xr:uid="{00000000-0005-0000-0000-00008E060000}"/>
    <cellStyle name="20% - Accent4 3 6" xfId="2091" xr:uid="{00000000-0005-0000-0000-00008F060000}"/>
    <cellStyle name="20% - Accent4 3 7" xfId="2092" xr:uid="{00000000-0005-0000-0000-000090060000}"/>
    <cellStyle name="20% - Accent4 3 8" xfId="2093" xr:uid="{00000000-0005-0000-0000-000091060000}"/>
    <cellStyle name="20% - Accent4 3 9" xfId="2094" xr:uid="{00000000-0005-0000-0000-000092060000}"/>
    <cellStyle name="20% - Accent4 4" xfId="2095" xr:uid="{00000000-0005-0000-0000-000093060000}"/>
    <cellStyle name="20% - Accent4 4 10" xfId="2096" xr:uid="{00000000-0005-0000-0000-000094060000}"/>
    <cellStyle name="20% - Accent4 4 11" xfId="2097" xr:uid="{00000000-0005-0000-0000-000095060000}"/>
    <cellStyle name="20% - Accent4 4 12" xfId="2098" xr:uid="{00000000-0005-0000-0000-000096060000}"/>
    <cellStyle name="20% - Accent4 4 13" xfId="2099" xr:uid="{00000000-0005-0000-0000-000097060000}"/>
    <cellStyle name="20% - Accent4 4 14" xfId="2100" xr:uid="{00000000-0005-0000-0000-000098060000}"/>
    <cellStyle name="20% - Accent4 4 15" xfId="2101" xr:uid="{00000000-0005-0000-0000-000099060000}"/>
    <cellStyle name="20% - Accent4 4 16" xfId="2102" xr:uid="{00000000-0005-0000-0000-00009A060000}"/>
    <cellStyle name="20% - Accent4 4 17" xfId="2103" xr:uid="{00000000-0005-0000-0000-00009B060000}"/>
    <cellStyle name="20% - Accent4 4 18" xfId="2104" xr:uid="{00000000-0005-0000-0000-00009C060000}"/>
    <cellStyle name="20% - Accent4 4 19" xfId="2105" xr:uid="{00000000-0005-0000-0000-00009D060000}"/>
    <cellStyle name="20% - Accent4 4 2" xfId="2106" xr:uid="{00000000-0005-0000-0000-00009E060000}"/>
    <cellStyle name="20% - Accent4 4 20" xfId="2107" xr:uid="{00000000-0005-0000-0000-00009F060000}"/>
    <cellStyle name="20% - Accent4 4 21" xfId="2108" xr:uid="{00000000-0005-0000-0000-0000A0060000}"/>
    <cellStyle name="20% - Accent4 4 22" xfId="2109" xr:uid="{00000000-0005-0000-0000-0000A1060000}"/>
    <cellStyle name="20% - Accent4 4 23" xfId="2110" xr:uid="{00000000-0005-0000-0000-0000A2060000}"/>
    <cellStyle name="20% - Accent4 4 24" xfId="2111" xr:uid="{00000000-0005-0000-0000-0000A3060000}"/>
    <cellStyle name="20% - Accent4 4 25" xfId="2112" xr:uid="{00000000-0005-0000-0000-0000A4060000}"/>
    <cellStyle name="20% - Accent4 4 26" xfId="2113" xr:uid="{00000000-0005-0000-0000-0000A5060000}"/>
    <cellStyle name="20% - Accent4 4 27" xfId="2114" xr:uid="{00000000-0005-0000-0000-0000A6060000}"/>
    <cellStyle name="20% - Accent4 4 28" xfId="2115" xr:uid="{00000000-0005-0000-0000-0000A7060000}"/>
    <cellStyle name="20% - Accent4 4 29" xfId="2116" xr:uid="{00000000-0005-0000-0000-0000A8060000}"/>
    <cellStyle name="20% - Accent4 4 3" xfId="2117" xr:uid="{00000000-0005-0000-0000-0000A9060000}"/>
    <cellStyle name="20% - Accent4 4 30" xfId="2118" xr:uid="{00000000-0005-0000-0000-0000AA060000}"/>
    <cellStyle name="20% - Accent4 4 31" xfId="2119" xr:uid="{00000000-0005-0000-0000-0000AB060000}"/>
    <cellStyle name="20% - Accent4 4 32" xfId="2120" xr:uid="{00000000-0005-0000-0000-0000AC060000}"/>
    <cellStyle name="20% - Accent4 4 33" xfId="2121" xr:uid="{00000000-0005-0000-0000-0000AD060000}"/>
    <cellStyle name="20% - Accent4 4 34" xfId="2122" xr:uid="{00000000-0005-0000-0000-0000AE060000}"/>
    <cellStyle name="20% - Accent4 4 35" xfId="2123" xr:uid="{00000000-0005-0000-0000-0000AF060000}"/>
    <cellStyle name="20% - Accent4 4 36" xfId="2124" xr:uid="{00000000-0005-0000-0000-0000B0060000}"/>
    <cellStyle name="20% - Accent4 4 37" xfId="2125" xr:uid="{00000000-0005-0000-0000-0000B1060000}"/>
    <cellStyle name="20% - Accent4 4 38" xfId="2126" xr:uid="{00000000-0005-0000-0000-0000B2060000}"/>
    <cellStyle name="20% - Accent4 4 39" xfId="2127" xr:uid="{00000000-0005-0000-0000-0000B3060000}"/>
    <cellStyle name="20% - Accent4 4 4" xfId="2128" xr:uid="{00000000-0005-0000-0000-0000B4060000}"/>
    <cellStyle name="20% - Accent4 4 40" xfId="2129" xr:uid="{00000000-0005-0000-0000-0000B5060000}"/>
    <cellStyle name="20% - Accent4 4 41" xfId="2130" xr:uid="{00000000-0005-0000-0000-0000B6060000}"/>
    <cellStyle name="20% - Accent4 4 5" xfId="2131" xr:uid="{00000000-0005-0000-0000-0000B7060000}"/>
    <cellStyle name="20% - Accent4 4 6" xfId="2132" xr:uid="{00000000-0005-0000-0000-0000B8060000}"/>
    <cellStyle name="20% - Accent4 4 7" xfId="2133" xr:uid="{00000000-0005-0000-0000-0000B9060000}"/>
    <cellStyle name="20% - Accent4 4 8" xfId="2134" xr:uid="{00000000-0005-0000-0000-0000BA060000}"/>
    <cellStyle name="20% - Accent4 4 9" xfId="2135" xr:uid="{00000000-0005-0000-0000-0000BB060000}"/>
    <cellStyle name="20% - Accent4 5" xfId="2136" xr:uid="{00000000-0005-0000-0000-0000BC060000}"/>
    <cellStyle name="20% - Accent4 5 10" xfId="2137" xr:uid="{00000000-0005-0000-0000-0000BD060000}"/>
    <cellStyle name="20% - Accent4 5 11" xfId="2138" xr:uid="{00000000-0005-0000-0000-0000BE060000}"/>
    <cellStyle name="20% - Accent4 5 12" xfId="2139" xr:uid="{00000000-0005-0000-0000-0000BF060000}"/>
    <cellStyle name="20% - Accent4 5 13" xfId="2140" xr:uid="{00000000-0005-0000-0000-0000C0060000}"/>
    <cellStyle name="20% - Accent4 5 14" xfId="2141" xr:uid="{00000000-0005-0000-0000-0000C1060000}"/>
    <cellStyle name="20% - Accent4 5 15" xfId="2142" xr:uid="{00000000-0005-0000-0000-0000C2060000}"/>
    <cellStyle name="20% - Accent4 5 16" xfId="2143" xr:uid="{00000000-0005-0000-0000-0000C3060000}"/>
    <cellStyle name="20% - Accent4 5 17" xfId="2144" xr:uid="{00000000-0005-0000-0000-0000C4060000}"/>
    <cellStyle name="20% - Accent4 5 18" xfId="2145" xr:uid="{00000000-0005-0000-0000-0000C5060000}"/>
    <cellStyle name="20% - Accent4 5 19" xfId="2146" xr:uid="{00000000-0005-0000-0000-0000C6060000}"/>
    <cellStyle name="20% - Accent4 5 2" xfId="2147" xr:uid="{00000000-0005-0000-0000-0000C7060000}"/>
    <cellStyle name="20% - Accent4 5 20" xfId="2148" xr:uid="{00000000-0005-0000-0000-0000C8060000}"/>
    <cellStyle name="20% - Accent4 5 21" xfId="2149" xr:uid="{00000000-0005-0000-0000-0000C9060000}"/>
    <cellStyle name="20% - Accent4 5 22" xfId="2150" xr:uid="{00000000-0005-0000-0000-0000CA060000}"/>
    <cellStyle name="20% - Accent4 5 23" xfId="2151" xr:uid="{00000000-0005-0000-0000-0000CB060000}"/>
    <cellStyle name="20% - Accent4 5 24" xfId="2152" xr:uid="{00000000-0005-0000-0000-0000CC060000}"/>
    <cellStyle name="20% - Accent4 5 25" xfId="2153" xr:uid="{00000000-0005-0000-0000-0000CD060000}"/>
    <cellStyle name="20% - Accent4 5 26" xfId="2154" xr:uid="{00000000-0005-0000-0000-0000CE060000}"/>
    <cellStyle name="20% - Accent4 5 27" xfId="2155" xr:uid="{00000000-0005-0000-0000-0000CF060000}"/>
    <cellStyle name="20% - Accent4 5 28" xfId="2156" xr:uid="{00000000-0005-0000-0000-0000D0060000}"/>
    <cellStyle name="20% - Accent4 5 29" xfId="2157" xr:uid="{00000000-0005-0000-0000-0000D1060000}"/>
    <cellStyle name="20% - Accent4 5 3" xfId="2158" xr:uid="{00000000-0005-0000-0000-0000D2060000}"/>
    <cellStyle name="20% - Accent4 5 30" xfId="2159" xr:uid="{00000000-0005-0000-0000-0000D3060000}"/>
    <cellStyle name="20% - Accent4 5 31" xfId="2160" xr:uid="{00000000-0005-0000-0000-0000D4060000}"/>
    <cellStyle name="20% - Accent4 5 32" xfId="2161" xr:uid="{00000000-0005-0000-0000-0000D5060000}"/>
    <cellStyle name="20% - Accent4 5 33" xfId="2162" xr:uid="{00000000-0005-0000-0000-0000D6060000}"/>
    <cellStyle name="20% - Accent4 5 34" xfId="2163" xr:uid="{00000000-0005-0000-0000-0000D7060000}"/>
    <cellStyle name="20% - Accent4 5 35" xfId="2164" xr:uid="{00000000-0005-0000-0000-0000D8060000}"/>
    <cellStyle name="20% - Accent4 5 36" xfId="2165" xr:uid="{00000000-0005-0000-0000-0000D9060000}"/>
    <cellStyle name="20% - Accent4 5 37" xfId="2166" xr:uid="{00000000-0005-0000-0000-0000DA060000}"/>
    <cellStyle name="20% - Accent4 5 38" xfId="2167" xr:uid="{00000000-0005-0000-0000-0000DB060000}"/>
    <cellStyle name="20% - Accent4 5 39" xfId="2168" xr:uid="{00000000-0005-0000-0000-0000DC060000}"/>
    <cellStyle name="20% - Accent4 5 4" xfId="2169" xr:uid="{00000000-0005-0000-0000-0000DD060000}"/>
    <cellStyle name="20% - Accent4 5 40" xfId="2170" xr:uid="{00000000-0005-0000-0000-0000DE060000}"/>
    <cellStyle name="20% - Accent4 5 41" xfId="2171" xr:uid="{00000000-0005-0000-0000-0000DF060000}"/>
    <cellStyle name="20% - Accent4 5 5" xfId="2172" xr:uid="{00000000-0005-0000-0000-0000E0060000}"/>
    <cellStyle name="20% - Accent4 5 6" xfId="2173" xr:uid="{00000000-0005-0000-0000-0000E1060000}"/>
    <cellStyle name="20% - Accent4 5 7" xfId="2174" xr:uid="{00000000-0005-0000-0000-0000E2060000}"/>
    <cellStyle name="20% - Accent4 5 8" xfId="2175" xr:uid="{00000000-0005-0000-0000-0000E3060000}"/>
    <cellStyle name="20% - Accent4 5 9" xfId="2176" xr:uid="{00000000-0005-0000-0000-0000E4060000}"/>
    <cellStyle name="20% - Accent4 6" xfId="2177" xr:uid="{00000000-0005-0000-0000-0000E5060000}"/>
    <cellStyle name="20% - Accent4 6 10" xfId="2178" xr:uid="{00000000-0005-0000-0000-0000E6060000}"/>
    <cellStyle name="20% - Accent4 6 11" xfId="2179" xr:uid="{00000000-0005-0000-0000-0000E7060000}"/>
    <cellStyle name="20% - Accent4 6 12" xfId="2180" xr:uid="{00000000-0005-0000-0000-0000E8060000}"/>
    <cellStyle name="20% - Accent4 6 13" xfId="2181" xr:uid="{00000000-0005-0000-0000-0000E9060000}"/>
    <cellStyle name="20% - Accent4 6 14" xfId="2182" xr:uid="{00000000-0005-0000-0000-0000EA060000}"/>
    <cellStyle name="20% - Accent4 6 15" xfId="2183" xr:uid="{00000000-0005-0000-0000-0000EB060000}"/>
    <cellStyle name="20% - Accent4 6 16" xfId="2184" xr:uid="{00000000-0005-0000-0000-0000EC060000}"/>
    <cellStyle name="20% - Accent4 6 17" xfId="2185" xr:uid="{00000000-0005-0000-0000-0000ED060000}"/>
    <cellStyle name="20% - Accent4 6 18" xfId="2186" xr:uid="{00000000-0005-0000-0000-0000EE060000}"/>
    <cellStyle name="20% - Accent4 6 19" xfId="2187" xr:uid="{00000000-0005-0000-0000-0000EF060000}"/>
    <cellStyle name="20% - Accent4 6 2" xfId="2188" xr:uid="{00000000-0005-0000-0000-0000F0060000}"/>
    <cellStyle name="20% - Accent4 6 20" xfId="2189" xr:uid="{00000000-0005-0000-0000-0000F1060000}"/>
    <cellStyle name="20% - Accent4 6 21" xfId="2190" xr:uid="{00000000-0005-0000-0000-0000F2060000}"/>
    <cellStyle name="20% - Accent4 6 22" xfId="2191" xr:uid="{00000000-0005-0000-0000-0000F3060000}"/>
    <cellStyle name="20% - Accent4 6 23" xfId="2192" xr:uid="{00000000-0005-0000-0000-0000F4060000}"/>
    <cellStyle name="20% - Accent4 6 24" xfId="2193" xr:uid="{00000000-0005-0000-0000-0000F5060000}"/>
    <cellStyle name="20% - Accent4 6 25" xfId="2194" xr:uid="{00000000-0005-0000-0000-0000F6060000}"/>
    <cellStyle name="20% - Accent4 6 26" xfId="2195" xr:uid="{00000000-0005-0000-0000-0000F7060000}"/>
    <cellStyle name="20% - Accent4 6 27" xfId="2196" xr:uid="{00000000-0005-0000-0000-0000F8060000}"/>
    <cellStyle name="20% - Accent4 6 28" xfId="2197" xr:uid="{00000000-0005-0000-0000-0000F9060000}"/>
    <cellStyle name="20% - Accent4 6 29" xfId="2198" xr:uid="{00000000-0005-0000-0000-0000FA060000}"/>
    <cellStyle name="20% - Accent4 6 3" xfId="2199" xr:uid="{00000000-0005-0000-0000-0000FB060000}"/>
    <cellStyle name="20% - Accent4 6 30" xfId="2200" xr:uid="{00000000-0005-0000-0000-0000FC060000}"/>
    <cellStyle name="20% - Accent4 6 31" xfId="2201" xr:uid="{00000000-0005-0000-0000-0000FD060000}"/>
    <cellStyle name="20% - Accent4 6 32" xfId="2202" xr:uid="{00000000-0005-0000-0000-0000FE060000}"/>
    <cellStyle name="20% - Accent4 6 33" xfId="2203" xr:uid="{00000000-0005-0000-0000-0000FF060000}"/>
    <cellStyle name="20% - Accent4 6 34" xfId="2204" xr:uid="{00000000-0005-0000-0000-000000070000}"/>
    <cellStyle name="20% - Accent4 6 35" xfId="2205" xr:uid="{00000000-0005-0000-0000-000001070000}"/>
    <cellStyle name="20% - Accent4 6 36" xfId="2206" xr:uid="{00000000-0005-0000-0000-000002070000}"/>
    <cellStyle name="20% - Accent4 6 37" xfId="2207" xr:uid="{00000000-0005-0000-0000-000003070000}"/>
    <cellStyle name="20% - Accent4 6 38" xfId="2208" xr:uid="{00000000-0005-0000-0000-000004070000}"/>
    <cellStyle name="20% - Accent4 6 39" xfId="2209" xr:uid="{00000000-0005-0000-0000-000005070000}"/>
    <cellStyle name="20% - Accent4 6 4" xfId="2210" xr:uid="{00000000-0005-0000-0000-000006070000}"/>
    <cellStyle name="20% - Accent4 6 40" xfId="2211" xr:uid="{00000000-0005-0000-0000-000007070000}"/>
    <cellStyle name="20% - Accent4 6 41" xfId="2212" xr:uid="{00000000-0005-0000-0000-000008070000}"/>
    <cellStyle name="20% - Accent4 6 5" xfId="2213" xr:uid="{00000000-0005-0000-0000-000009070000}"/>
    <cellStyle name="20% - Accent4 6 6" xfId="2214" xr:uid="{00000000-0005-0000-0000-00000A070000}"/>
    <cellStyle name="20% - Accent4 6 7" xfId="2215" xr:uid="{00000000-0005-0000-0000-00000B070000}"/>
    <cellStyle name="20% - Accent4 6 8" xfId="2216" xr:uid="{00000000-0005-0000-0000-00000C070000}"/>
    <cellStyle name="20% - Accent4 6 9" xfId="2217" xr:uid="{00000000-0005-0000-0000-00000D070000}"/>
    <cellStyle name="20% - Accent4 7" xfId="2218" xr:uid="{00000000-0005-0000-0000-00000E070000}"/>
    <cellStyle name="20% - Accent4 7 10" xfId="2219" xr:uid="{00000000-0005-0000-0000-00000F070000}"/>
    <cellStyle name="20% - Accent4 7 11" xfId="2220" xr:uid="{00000000-0005-0000-0000-000010070000}"/>
    <cellStyle name="20% - Accent4 7 12" xfId="2221" xr:uid="{00000000-0005-0000-0000-000011070000}"/>
    <cellStyle name="20% - Accent4 7 13" xfId="2222" xr:uid="{00000000-0005-0000-0000-000012070000}"/>
    <cellStyle name="20% - Accent4 7 14" xfId="2223" xr:uid="{00000000-0005-0000-0000-000013070000}"/>
    <cellStyle name="20% - Accent4 7 15" xfId="2224" xr:uid="{00000000-0005-0000-0000-000014070000}"/>
    <cellStyle name="20% - Accent4 7 16" xfId="2225" xr:uid="{00000000-0005-0000-0000-000015070000}"/>
    <cellStyle name="20% - Accent4 7 17" xfId="2226" xr:uid="{00000000-0005-0000-0000-000016070000}"/>
    <cellStyle name="20% - Accent4 7 18" xfId="2227" xr:uid="{00000000-0005-0000-0000-000017070000}"/>
    <cellStyle name="20% - Accent4 7 19" xfId="2228" xr:uid="{00000000-0005-0000-0000-000018070000}"/>
    <cellStyle name="20% - Accent4 7 2" xfId="2229" xr:uid="{00000000-0005-0000-0000-000019070000}"/>
    <cellStyle name="20% - Accent4 7 20" xfId="2230" xr:uid="{00000000-0005-0000-0000-00001A070000}"/>
    <cellStyle name="20% - Accent4 7 21" xfId="2231" xr:uid="{00000000-0005-0000-0000-00001B070000}"/>
    <cellStyle name="20% - Accent4 7 22" xfId="2232" xr:uid="{00000000-0005-0000-0000-00001C070000}"/>
    <cellStyle name="20% - Accent4 7 23" xfId="2233" xr:uid="{00000000-0005-0000-0000-00001D070000}"/>
    <cellStyle name="20% - Accent4 7 24" xfId="2234" xr:uid="{00000000-0005-0000-0000-00001E070000}"/>
    <cellStyle name="20% - Accent4 7 25" xfId="2235" xr:uid="{00000000-0005-0000-0000-00001F070000}"/>
    <cellStyle name="20% - Accent4 7 26" xfId="2236" xr:uid="{00000000-0005-0000-0000-000020070000}"/>
    <cellStyle name="20% - Accent4 7 27" xfId="2237" xr:uid="{00000000-0005-0000-0000-000021070000}"/>
    <cellStyle name="20% - Accent4 7 28" xfId="2238" xr:uid="{00000000-0005-0000-0000-000022070000}"/>
    <cellStyle name="20% - Accent4 7 29" xfId="2239" xr:uid="{00000000-0005-0000-0000-000023070000}"/>
    <cellStyle name="20% - Accent4 7 3" xfId="2240" xr:uid="{00000000-0005-0000-0000-000024070000}"/>
    <cellStyle name="20% - Accent4 7 30" xfId="2241" xr:uid="{00000000-0005-0000-0000-000025070000}"/>
    <cellStyle name="20% - Accent4 7 31" xfId="2242" xr:uid="{00000000-0005-0000-0000-000026070000}"/>
    <cellStyle name="20% - Accent4 7 32" xfId="2243" xr:uid="{00000000-0005-0000-0000-000027070000}"/>
    <cellStyle name="20% - Accent4 7 33" xfId="2244" xr:uid="{00000000-0005-0000-0000-000028070000}"/>
    <cellStyle name="20% - Accent4 7 34" xfId="2245" xr:uid="{00000000-0005-0000-0000-000029070000}"/>
    <cellStyle name="20% - Accent4 7 35" xfId="2246" xr:uid="{00000000-0005-0000-0000-00002A070000}"/>
    <cellStyle name="20% - Accent4 7 36" xfId="2247" xr:uid="{00000000-0005-0000-0000-00002B070000}"/>
    <cellStyle name="20% - Accent4 7 37" xfId="2248" xr:uid="{00000000-0005-0000-0000-00002C070000}"/>
    <cellStyle name="20% - Accent4 7 38" xfId="2249" xr:uid="{00000000-0005-0000-0000-00002D070000}"/>
    <cellStyle name="20% - Accent4 7 39" xfId="2250" xr:uid="{00000000-0005-0000-0000-00002E070000}"/>
    <cellStyle name="20% - Accent4 7 4" xfId="2251" xr:uid="{00000000-0005-0000-0000-00002F070000}"/>
    <cellStyle name="20% - Accent4 7 40" xfId="2252" xr:uid="{00000000-0005-0000-0000-000030070000}"/>
    <cellStyle name="20% - Accent4 7 41" xfId="2253" xr:uid="{00000000-0005-0000-0000-000031070000}"/>
    <cellStyle name="20% - Accent4 7 5" xfId="2254" xr:uid="{00000000-0005-0000-0000-000032070000}"/>
    <cellStyle name="20% - Accent4 7 6" xfId="2255" xr:uid="{00000000-0005-0000-0000-000033070000}"/>
    <cellStyle name="20% - Accent4 7 7" xfId="2256" xr:uid="{00000000-0005-0000-0000-000034070000}"/>
    <cellStyle name="20% - Accent4 7 8" xfId="2257" xr:uid="{00000000-0005-0000-0000-000035070000}"/>
    <cellStyle name="20% - Accent4 7 9" xfId="2258" xr:uid="{00000000-0005-0000-0000-000036070000}"/>
    <cellStyle name="20% - Accent4 8" xfId="2259" xr:uid="{00000000-0005-0000-0000-000037070000}"/>
    <cellStyle name="20% - Accent4 8 10" xfId="2260" xr:uid="{00000000-0005-0000-0000-000038070000}"/>
    <cellStyle name="20% - Accent4 8 11" xfId="2261" xr:uid="{00000000-0005-0000-0000-000039070000}"/>
    <cellStyle name="20% - Accent4 8 12" xfId="2262" xr:uid="{00000000-0005-0000-0000-00003A070000}"/>
    <cellStyle name="20% - Accent4 8 13" xfId="2263" xr:uid="{00000000-0005-0000-0000-00003B070000}"/>
    <cellStyle name="20% - Accent4 8 14" xfId="2264" xr:uid="{00000000-0005-0000-0000-00003C070000}"/>
    <cellStyle name="20% - Accent4 8 15" xfId="2265" xr:uid="{00000000-0005-0000-0000-00003D070000}"/>
    <cellStyle name="20% - Accent4 8 16" xfId="2266" xr:uid="{00000000-0005-0000-0000-00003E070000}"/>
    <cellStyle name="20% - Accent4 8 17" xfId="2267" xr:uid="{00000000-0005-0000-0000-00003F070000}"/>
    <cellStyle name="20% - Accent4 8 18" xfId="2268" xr:uid="{00000000-0005-0000-0000-000040070000}"/>
    <cellStyle name="20% - Accent4 8 19" xfId="2269" xr:uid="{00000000-0005-0000-0000-000041070000}"/>
    <cellStyle name="20% - Accent4 8 2" xfId="2270" xr:uid="{00000000-0005-0000-0000-000042070000}"/>
    <cellStyle name="20% - Accent4 8 20" xfId="2271" xr:uid="{00000000-0005-0000-0000-000043070000}"/>
    <cellStyle name="20% - Accent4 8 21" xfId="2272" xr:uid="{00000000-0005-0000-0000-000044070000}"/>
    <cellStyle name="20% - Accent4 8 22" xfId="2273" xr:uid="{00000000-0005-0000-0000-000045070000}"/>
    <cellStyle name="20% - Accent4 8 23" xfId="2274" xr:uid="{00000000-0005-0000-0000-000046070000}"/>
    <cellStyle name="20% - Accent4 8 24" xfId="2275" xr:uid="{00000000-0005-0000-0000-000047070000}"/>
    <cellStyle name="20% - Accent4 8 25" xfId="2276" xr:uid="{00000000-0005-0000-0000-000048070000}"/>
    <cellStyle name="20% - Accent4 8 26" xfId="2277" xr:uid="{00000000-0005-0000-0000-000049070000}"/>
    <cellStyle name="20% - Accent4 8 27" xfId="2278" xr:uid="{00000000-0005-0000-0000-00004A070000}"/>
    <cellStyle name="20% - Accent4 8 28" xfId="2279" xr:uid="{00000000-0005-0000-0000-00004B070000}"/>
    <cellStyle name="20% - Accent4 8 29" xfId="2280" xr:uid="{00000000-0005-0000-0000-00004C070000}"/>
    <cellStyle name="20% - Accent4 8 3" xfId="2281" xr:uid="{00000000-0005-0000-0000-00004D070000}"/>
    <cellStyle name="20% - Accent4 8 30" xfId="2282" xr:uid="{00000000-0005-0000-0000-00004E070000}"/>
    <cellStyle name="20% - Accent4 8 31" xfId="2283" xr:uid="{00000000-0005-0000-0000-00004F070000}"/>
    <cellStyle name="20% - Accent4 8 32" xfId="2284" xr:uid="{00000000-0005-0000-0000-000050070000}"/>
    <cellStyle name="20% - Accent4 8 33" xfId="2285" xr:uid="{00000000-0005-0000-0000-000051070000}"/>
    <cellStyle name="20% - Accent4 8 34" xfId="2286" xr:uid="{00000000-0005-0000-0000-000052070000}"/>
    <cellStyle name="20% - Accent4 8 35" xfId="2287" xr:uid="{00000000-0005-0000-0000-000053070000}"/>
    <cellStyle name="20% - Accent4 8 36" xfId="2288" xr:uid="{00000000-0005-0000-0000-000054070000}"/>
    <cellStyle name="20% - Accent4 8 37" xfId="2289" xr:uid="{00000000-0005-0000-0000-000055070000}"/>
    <cellStyle name="20% - Accent4 8 38" xfId="2290" xr:uid="{00000000-0005-0000-0000-000056070000}"/>
    <cellStyle name="20% - Accent4 8 39" xfId="2291" xr:uid="{00000000-0005-0000-0000-000057070000}"/>
    <cellStyle name="20% - Accent4 8 4" xfId="2292" xr:uid="{00000000-0005-0000-0000-000058070000}"/>
    <cellStyle name="20% - Accent4 8 40" xfId="2293" xr:uid="{00000000-0005-0000-0000-000059070000}"/>
    <cellStyle name="20% - Accent4 8 41" xfId="2294" xr:uid="{00000000-0005-0000-0000-00005A070000}"/>
    <cellStyle name="20% - Accent4 8 5" xfId="2295" xr:uid="{00000000-0005-0000-0000-00005B070000}"/>
    <cellStyle name="20% - Accent4 8 6" xfId="2296" xr:uid="{00000000-0005-0000-0000-00005C070000}"/>
    <cellStyle name="20% - Accent4 8 7" xfId="2297" xr:uid="{00000000-0005-0000-0000-00005D070000}"/>
    <cellStyle name="20% - Accent4 8 8" xfId="2298" xr:uid="{00000000-0005-0000-0000-00005E070000}"/>
    <cellStyle name="20% - Accent4 8 9" xfId="2299" xr:uid="{00000000-0005-0000-0000-00005F070000}"/>
    <cellStyle name="20% - Accent4 9" xfId="2300" xr:uid="{00000000-0005-0000-0000-000060070000}"/>
    <cellStyle name="20% - Accent4 9 10" xfId="2301" xr:uid="{00000000-0005-0000-0000-000061070000}"/>
    <cellStyle name="20% - Accent4 9 11" xfId="2302" xr:uid="{00000000-0005-0000-0000-000062070000}"/>
    <cellStyle name="20% - Accent4 9 12" xfId="2303" xr:uid="{00000000-0005-0000-0000-000063070000}"/>
    <cellStyle name="20% - Accent4 9 13" xfId="2304" xr:uid="{00000000-0005-0000-0000-000064070000}"/>
    <cellStyle name="20% - Accent4 9 14" xfId="2305" xr:uid="{00000000-0005-0000-0000-000065070000}"/>
    <cellStyle name="20% - Accent4 9 15" xfId="2306" xr:uid="{00000000-0005-0000-0000-000066070000}"/>
    <cellStyle name="20% - Accent4 9 16" xfId="2307" xr:uid="{00000000-0005-0000-0000-000067070000}"/>
    <cellStyle name="20% - Accent4 9 17" xfId="2308" xr:uid="{00000000-0005-0000-0000-000068070000}"/>
    <cellStyle name="20% - Accent4 9 18" xfId="2309" xr:uid="{00000000-0005-0000-0000-000069070000}"/>
    <cellStyle name="20% - Accent4 9 19" xfId="2310" xr:uid="{00000000-0005-0000-0000-00006A070000}"/>
    <cellStyle name="20% - Accent4 9 2" xfId="2311" xr:uid="{00000000-0005-0000-0000-00006B070000}"/>
    <cellStyle name="20% - Accent4 9 20" xfId="2312" xr:uid="{00000000-0005-0000-0000-00006C070000}"/>
    <cellStyle name="20% - Accent4 9 21" xfId="2313" xr:uid="{00000000-0005-0000-0000-00006D070000}"/>
    <cellStyle name="20% - Accent4 9 22" xfId="2314" xr:uid="{00000000-0005-0000-0000-00006E070000}"/>
    <cellStyle name="20% - Accent4 9 23" xfId="2315" xr:uid="{00000000-0005-0000-0000-00006F070000}"/>
    <cellStyle name="20% - Accent4 9 24" xfId="2316" xr:uid="{00000000-0005-0000-0000-000070070000}"/>
    <cellStyle name="20% - Accent4 9 25" xfId="2317" xr:uid="{00000000-0005-0000-0000-000071070000}"/>
    <cellStyle name="20% - Accent4 9 26" xfId="2318" xr:uid="{00000000-0005-0000-0000-000072070000}"/>
    <cellStyle name="20% - Accent4 9 27" xfId="2319" xr:uid="{00000000-0005-0000-0000-000073070000}"/>
    <cellStyle name="20% - Accent4 9 28" xfId="2320" xr:uid="{00000000-0005-0000-0000-000074070000}"/>
    <cellStyle name="20% - Accent4 9 29" xfId="2321" xr:uid="{00000000-0005-0000-0000-000075070000}"/>
    <cellStyle name="20% - Accent4 9 3" xfId="2322" xr:uid="{00000000-0005-0000-0000-000076070000}"/>
    <cellStyle name="20% - Accent4 9 30" xfId="2323" xr:uid="{00000000-0005-0000-0000-000077070000}"/>
    <cellStyle name="20% - Accent4 9 31" xfId="2324" xr:uid="{00000000-0005-0000-0000-000078070000}"/>
    <cellStyle name="20% - Accent4 9 32" xfId="2325" xr:uid="{00000000-0005-0000-0000-000079070000}"/>
    <cellStyle name="20% - Accent4 9 33" xfId="2326" xr:uid="{00000000-0005-0000-0000-00007A070000}"/>
    <cellStyle name="20% - Accent4 9 34" xfId="2327" xr:uid="{00000000-0005-0000-0000-00007B070000}"/>
    <cellStyle name="20% - Accent4 9 35" xfId="2328" xr:uid="{00000000-0005-0000-0000-00007C070000}"/>
    <cellStyle name="20% - Accent4 9 36" xfId="2329" xr:uid="{00000000-0005-0000-0000-00007D070000}"/>
    <cellStyle name="20% - Accent4 9 37" xfId="2330" xr:uid="{00000000-0005-0000-0000-00007E070000}"/>
    <cellStyle name="20% - Accent4 9 38" xfId="2331" xr:uid="{00000000-0005-0000-0000-00007F070000}"/>
    <cellStyle name="20% - Accent4 9 39" xfId="2332" xr:uid="{00000000-0005-0000-0000-000080070000}"/>
    <cellStyle name="20% - Accent4 9 4" xfId="2333" xr:uid="{00000000-0005-0000-0000-000081070000}"/>
    <cellStyle name="20% - Accent4 9 40" xfId="2334" xr:uid="{00000000-0005-0000-0000-000082070000}"/>
    <cellStyle name="20% - Accent4 9 41" xfId="2335" xr:uid="{00000000-0005-0000-0000-000083070000}"/>
    <cellStyle name="20% - Accent4 9 5" xfId="2336" xr:uid="{00000000-0005-0000-0000-000084070000}"/>
    <cellStyle name="20% - Accent4 9 6" xfId="2337" xr:uid="{00000000-0005-0000-0000-000085070000}"/>
    <cellStyle name="20% - Accent4 9 7" xfId="2338" xr:uid="{00000000-0005-0000-0000-000086070000}"/>
    <cellStyle name="20% - Accent4 9 8" xfId="2339" xr:uid="{00000000-0005-0000-0000-000087070000}"/>
    <cellStyle name="20% - Accent4 9 9" xfId="2340" xr:uid="{00000000-0005-0000-0000-000088070000}"/>
    <cellStyle name="20% - Accent5 10" xfId="2341" xr:uid="{00000000-0005-0000-0000-000089070000}"/>
    <cellStyle name="20% - Accent5 10 10" xfId="2342" xr:uid="{00000000-0005-0000-0000-00008A070000}"/>
    <cellStyle name="20% - Accent5 10 11" xfId="2343" xr:uid="{00000000-0005-0000-0000-00008B070000}"/>
    <cellStyle name="20% - Accent5 10 12" xfId="2344" xr:uid="{00000000-0005-0000-0000-00008C070000}"/>
    <cellStyle name="20% - Accent5 10 13" xfId="2345" xr:uid="{00000000-0005-0000-0000-00008D070000}"/>
    <cellStyle name="20% - Accent5 10 14" xfId="2346" xr:uid="{00000000-0005-0000-0000-00008E070000}"/>
    <cellStyle name="20% - Accent5 10 15" xfId="2347" xr:uid="{00000000-0005-0000-0000-00008F070000}"/>
    <cellStyle name="20% - Accent5 10 16" xfId="2348" xr:uid="{00000000-0005-0000-0000-000090070000}"/>
    <cellStyle name="20% - Accent5 10 17" xfId="2349" xr:uid="{00000000-0005-0000-0000-000091070000}"/>
    <cellStyle name="20% - Accent5 10 18" xfId="2350" xr:uid="{00000000-0005-0000-0000-000092070000}"/>
    <cellStyle name="20% - Accent5 10 19" xfId="2351" xr:uid="{00000000-0005-0000-0000-000093070000}"/>
    <cellStyle name="20% - Accent5 10 2" xfId="2352" xr:uid="{00000000-0005-0000-0000-000094070000}"/>
    <cellStyle name="20% - Accent5 10 20" xfId="2353" xr:uid="{00000000-0005-0000-0000-000095070000}"/>
    <cellStyle name="20% - Accent5 10 21" xfId="2354" xr:uid="{00000000-0005-0000-0000-000096070000}"/>
    <cellStyle name="20% - Accent5 10 22" xfId="2355" xr:uid="{00000000-0005-0000-0000-000097070000}"/>
    <cellStyle name="20% - Accent5 10 23" xfId="2356" xr:uid="{00000000-0005-0000-0000-000098070000}"/>
    <cellStyle name="20% - Accent5 10 24" xfId="2357" xr:uid="{00000000-0005-0000-0000-000099070000}"/>
    <cellStyle name="20% - Accent5 10 25" xfId="2358" xr:uid="{00000000-0005-0000-0000-00009A070000}"/>
    <cellStyle name="20% - Accent5 10 26" xfId="2359" xr:uid="{00000000-0005-0000-0000-00009B070000}"/>
    <cellStyle name="20% - Accent5 10 27" xfId="2360" xr:uid="{00000000-0005-0000-0000-00009C070000}"/>
    <cellStyle name="20% - Accent5 10 28" xfId="2361" xr:uid="{00000000-0005-0000-0000-00009D070000}"/>
    <cellStyle name="20% - Accent5 10 29" xfId="2362" xr:uid="{00000000-0005-0000-0000-00009E070000}"/>
    <cellStyle name="20% - Accent5 10 3" xfId="2363" xr:uid="{00000000-0005-0000-0000-00009F070000}"/>
    <cellStyle name="20% - Accent5 10 30" xfId="2364" xr:uid="{00000000-0005-0000-0000-0000A0070000}"/>
    <cellStyle name="20% - Accent5 10 31" xfId="2365" xr:uid="{00000000-0005-0000-0000-0000A1070000}"/>
    <cellStyle name="20% - Accent5 10 32" xfId="2366" xr:uid="{00000000-0005-0000-0000-0000A2070000}"/>
    <cellStyle name="20% - Accent5 10 33" xfId="2367" xr:uid="{00000000-0005-0000-0000-0000A3070000}"/>
    <cellStyle name="20% - Accent5 10 34" xfId="2368" xr:uid="{00000000-0005-0000-0000-0000A4070000}"/>
    <cellStyle name="20% - Accent5 10 35" xfId="2369" xr:uid="{00000000-0005-0000-0000-0000A5070000}"/>
    <cellStyle name="20% - Accent5 10 36" xfId="2370" xr:uid="{00000000-0005-0000-0000-0000A6070000}"/>
    <cellStyle name="20% - Accent5 10 37" xfId="2371" xr:uid="{00000000-0005-0000-0000-0000A7070000}"/>
    <cellStyle name="20% - Accent5 10 38" xfId="2372" xr:uid="{00000000-0005-0000-0000-0000A8070000}"/>
    <cellStyle name="20% - Accent5 10 39" xfId="2373" xr:uid="{00000000-0005-0000-0000-0000A9070000}"/>
    <cellStyle name="20% - Accent5 10 4" xfId="2374" xr:uid="{00000000-0005-0000-0000-0000AA070000}"/>
    <cellStyle name="20% - Accent5 10 40" xfId="2375" xr:uid="{00000000-0005-0000-0000-0000AB070000}"/>
    <cellStyle name="20% - Accent5 10 41" xfId="2376" xr:uid="{00000000-0005-0000-0000-0000AC070000}"/>
    <cellStyle name="20% - Accent5 10 5" xfId="2377" xr:uid="{00000000-0005-0000-0000-0000AD070000}"/>
    <cellStyle name="20% - Accent5 10 6" xfId="2378" xr:uid="{00000000-0005-0000-0000-0000AE070000}"/>
    <cellStyle name="20% - Accent5 10 7" xfId="2379" xr:uid="{00000000-0005-0000-0000-0000AF070000}"/>
    <cellStyle name="20% - Accent5 10 8" xfId="2380" xr:uid="{00000000-0005-0000-0000-0000B0070000}"/>
    <cellStyle name="20% - Accent5 10 9" xfId="2381" xr:uid="{00000000-0005-0000-0000-0000B1070000}"/>
    <cellStyle name="20% - Accent5 11" xfId="2382" xr:uid="{00000000-0005-0000-0000-0000B2070000}"/>
    <cellStyle name="20% - Accent5 11 10" xfId="2383" xr:uid="{00000000-0005-0000-0000-0000B3070000}"/>
    <cellStyle name="20% - Accent5 11 11" xfId="2384" xr:uid="{00000000-0005-0000-0000-0000B4070000}"/>
    <cellStyle name="20% - Accent5 11 12" xfId="2385" xr:uid="{00000000-0005-0000-0000-0000B5070000}"/>
    <cellStyle name="20% - Accent5 11 13" xfId="2386" xr:uid="{00000000-0005-0000-0000-0000B6070000}"/>
    <cellStyle name="20% - Accent5 11 14" xfId="2387" xr:uid="{00000000-0005-0000-0000-0000B7070000}"/>
    <cellStyle name="20% - Accent5 11 15" xfId="2388" xr:uid="{00000000-0005-0000-0000-0000B8070000}"/>
    <cellStyle name="20% - Accent5 11 16" xfId="2389" xr:uid="{00000000-0005-0000-0000-0000B9070000}"/>
    <cellStyle name="20% - Accent5 11 17" xfId="2390" xr:uid="{00000000-0005-0000-0000-0000BA070000}"/>
    <cellStyle name="20% - Accent5 11 18" xfId="2391" xr:uid="{00000000-0005-0000-0000-0000BB070000}"/>
    <cellStyle name="20% - Accent5 11 19" xfId="2392" xr:uid="{00000000-0005-0000-0000-0000BC070000}"/>
    <cellStyle name="20% - Accent5 11 2" xfId="2393" xr:uid="{00000000-0005-0000-0000-0000BD070000}"/>
    <cellStyle name="20% - Accent5 11 20" xfId="2394" xr:uid="{00000000-0005-0000-0000-0000BE070000}"/>
    <cellStyle name="20% - Accent5 11 21" xfId="2395" xr:uid="{00000000-0005-0000-0000-0000BF070000}"/>
    <cellStyle name="20% - Accent5 11 22" xfId="2396" xr:uid="{00000000-0005-0000-0000-0000C0070000}"/>
    <cellStyle name="20% - Accent5 11 23" xfId="2397" xr:uid="{00000000-0005-0000-0000-0000C1070000}"/>
    <cellStyle name="20% - Accent5 11 24" xfId="2398" xr:uid="{00000000-0005-0000-0000-0000C2070000}"/>
    <cellStyle name="20% - Accent5 11 25" xfId="2399" xr:uid="{00000000-0005-0000-0000-0000C3070000}"/>
    <cellStyle name="20% - Accent5 11 26" xfId="2400" xr:uid="{00000000-0005-0000-0000-0000C4070000}"/>
    <cellStyle name="20% - Accent5 11 27" xfId="2401" xr:uid="{00000000-0005-0000-0000-0000C5070000}"/>
    <cellStyle name="20% - Accent5 11 28" xfId="2402" xr:uid="{00000000-0005-0000-0000-0000C6070000}"/>
    <cellStyle name="20% - Accent5 11 29" xfId="2403" xr:uid="{00000000-0005-0000-0000-0000C7070000}"/>
    <cellStyle name="20% - Accent5 11 3" xfId="2404" xr:uid="{00000000-0005-0000-0000-0000C8070000}"/>
    <cellStyle name="20% - Accent5 11 30" xfId="2405" xr:uid="{00000000-0005-0000-0000-0000C9070000}"/>
    <cellStyle name="20% - Accent5 11 31" xfId="2406" xr:uid="{00000000-0005-0000-0000-0000CA070000}"/>
    <cellStyle name="20% - Accent5 11 32" xfId="2407" xr:uid="{00000000-0005-0000-0000-0000CB070000}"/>
    <cellStyle name="20% - Accent5 11 33" xfId="2408" xr:uid="{00000000-0005-0000-0000-0000CC070000}"/>
    <cellStyle name="20% - Accent5 11 34" xfId="2409" xr:uid="{00000000-0005-0000-0000-0000CD070000}"/>
    <cellStyle name="20% - Accent5 11 35" xfId="2410" xr:uid="{00000000-0005-0000-0000-0000CE070000}"/>
    <cellStyle name="20% - Accent5 11 36" xfId="2411" xr:uid="{00000000-0005-0000-0000-0000CF070000}"/>
    <cellStyle name="20% - Accent5 11 37" xfId="2412" xr:uid="{00000000-0005-0000-0000-0000D0070000}"/>
    <cellStyle name="20% - Accent5 11 38" xfId="2413" xr:uid="{00000000-0005-0000-0000-0000D1070000}"/>
    <cellStyle name="20% - Accent5 11 39" xfId="2414" xr:uid="{00000000-0005-0000-0000-0000D2070000}"/>
    <cellStyle name="20% - Accent5 11 4" xfId="2415" xr:uid="{00000000-0005-0000-0000-0000D3070000}"/>
    <cellStyle name="20% - Accent5 11 40" xfId="2416" xr:uid="{00000000-0005-0000-0000-0000D4070000}"/>
    <cellStyle name="20% - Accent5 11 41" xfId="2417" xr:uid="{00000000-0005-0000-0000-0000D5070000}"/>
    <cellStyle name="20% - Accent5 11 5" xfId="2418" xr:uid="{00000000-0005-0000-0000-0000D6070000}"/>
    <cellStyle name="20% - Accent5 11 6" xfId="2419" xr:uid="{00000000-0005-0000-0000-0000D7070000}"/>
    <cellStyle name="20% - Accent5 11 7" xfId="2420" xr:uid="{00000000-0005-0000-0000-0000D8070000}"/>
    <cellStyle name="20% - Accent5 11 8" xfId="2421" xr:uid="{00000000-0005-0000-0000-0000D9070000}"/>
    <cellStyle name="20% - Accent5 11 9" xfId="2422" xr:uid="{00000000-0005-0000-0000-0000DA070000}"/>
    <cellStyle name="20% - Accent5 12" xfId="2423" xr:uid="{00000000-0005-0000-0000-0000DB070000}"/>
    <cellStyle name="20% - Accent5 12 10" xfId="2424" xr:uid="{00000000-0005-0000-0000-0000DC070000}"/>
    <cellStyle name="20% - Accent5 12 11" xfId="2425" xr:uid="{00000000-0005-0000-0000-0000DD070000}"/>
    <cellStyle name="20% - Accent5 12 12" xfId="2426" xr:uid="{00000000-0005-0000-0000-0000DE070000}"/>
    <cellStyle name="20% - Accent5 12 13" xfId="2427" xr:uid="{00000000-0005-0000-0000-0000DF070000}"/>
    <cellStyle name="20% - Accent5 12 14" xfId="2428" xr:uid="{00000000-0005-0000-0000-0000E0070000}"/>
    <cellStyle name="20% - Accent5 12 15" xfId="2429" xr:uid="{00000000-0005-0000-0000-0000E1070000}"/>
    <cellStyle name="20% - Accent5 12 16" xfId="2430" xr:uid="{00000000-0005-0000-0000-0000E2070000}"/>
    <cellStyle name="20% - Accent5 12 17" xfId="2431" xr:uid="{00000000-0005-0000-0000-0000E3070000}"/>
    <cellStyle name="20% - Accent5 12 18" xfId="2432" xr:uid="{00000000-0005-0000-0000-0000E4070000}"/>
    <cellStyle name="20% - Accent5 12 19" xfId="2433" xr:uid="{00000000-0005-0000-0000-0000E5070000}"/>
    <cellStyle name="20% - Accent5 12 2" xfId="2434" xr:uid="{00000000-0005-0000-0000-0000E6070000}"/>
    <cellStyle name="20% - Accent5 12 20" xfId="2435" xr:uid="{00000000-0005-0000-0000-0000E7070000}"/>
    <cellStyle name="20% - Accent5 12 21" xfId="2436" xr:uid="{00000000-0005-0000-0000-0000E8070000}"/>
    <cellStyle name="20% - Accent5 12 22" xfId="2437" xr:uid="{00000000-0005-0000-0000-0000E9070000}"/>
    <cellStyle name="20% - Accent5 12 23" xfId="2438" xr:uid="{00000000-0005-0000-0000-0000EA070000}"/>
    <cellStyle name="20% - Accent5 12 24" xfId="2439" xr:uid="{00000000-0005-0000-0000-0000EB070000}"/>
    <cellStyle name="20% - Accent5 12 25" xfId="2440" xr:uid="{00000000-0005-0000-0000-0000EC070000}"/>
    <cellStyle name="20% - Accent5 12 26" xfId="2441" xr:uid="{00000000-0005-0000-0000-0000ED070000}"/>
    <cellStyle name="20% - Accent5 12 27" xfId="2442" xr:uid="{00000000-0005-0000-0000-0000EE070000}"/>
    <cellStyle name="20% - Accent5 12 28" xfId="2443" xr:uid="{00000000-0005-0000-0000-0000EF070000}"/>
    <cellStyle name="20% - Accent5 12 29" xfId="2444" xr:uid="{00000000-0005-0000-0000-0000F0070000}"/>
    <cellStyle name="20% - Accent5 12 3" xfId="2445" xr:uid="{00000000-0005-0000-0000-0000F1070000}"/>
    <cellStyle name="20% - Accent5 12 30" xfId="2446" xr:uid="{00000000-0005-0000-0000-0000F2070000}"/>
    <cellStyle name="20% - Accent5 12 31" xfId="2447" xr:uid="{00000000-0005-0000-0000-0000F3070000}"/>
    <cellStyle name="20% - Accent5 12 32" xfId="2448" xr:uid="{00000000-0005-0000-0000-0000F4070000}"/>
    <cellStyle name="20% - Accent5 12 33" xfId="2449" xr:uid="{00000000-0005-0000-0000-0000F5070000}"/>
    <cellStyle name="20% - Accent5 12 34" xfId="2450" xr:uid="{00000000-0005-0000-0000-0000F6070000}"/>
    <cellStyle name="20% - Accent5 12 35" xfId="2451" xr:uid="{00000000-0005-0000-0000-0000F7070000}"/>
    <cellStyle name="20% - Accent5 12 36" xfId="2452" xr:uid="{00000000-0005-0000-0000-0000F8070000}"/>
    <cellStyle name="20% - Accent5 12 37" xfId="2453" xr:uid="{00000000-0005-0000-0000-0000F9070000}"/>
    <cellStyle name="20% - Accent5 12 38" xfId="2454" xr:uid="{00000000-0005-0000-0000-0000FA070000}"/>
    <cellStyle name="20% - Accent5 12 39" xfId="2455" xr:uid="{00000000-0005-0000-0000-0000FB070000}"/>
    <cellStyle name="20% - Accent5 12 4" xfId="2456" xr:uid="{00000000-0005-0000-0000-0000FC070000}"/>
    <cellStyle name="20% - Accent5 12 40" xfId="2457" xr:uid="{00000000-0005-0000-0000-0000FD070000}"/>
    <cellStyle name="20% - Accent5 12 41" xfId="2458" xr:uid="{00000000-0005-0000-0000-0000FE070000}"/>
    <cellStyle name="20% - Accent5 12 5" xfId="2459" xr:uid="{00000000-0005-0000-0000-0000FF070000}"/>
    <cellStyle name="20% - Accent5 12 6" xfId="2460" xr:uid="{00000000-0005-0000-0000-000000080000}"/>
    <cellStyle name="20% - Accent5 12 7" xfId="2461" xr:uid="{00000000-0005-0000-0000-000001080000}"/>
    <cellStyle name="20% - Accent5 12 8" xfId="2462" xr:uid="{00000000-0005-0000-0000-000002080000}"/>
    <cellStyle name="20% - Accent5 12 9" xfId="2463" xr:uid="{00000000-0005-0000-0000-000003080000}"/>
    <cellStyle name="20% - Accent5 13" xfId="2464" xr:uid="{00000000-0005-0000-0000-000004080000}"/>
    <cellStyle name="20% - Accent5 14" xfId="2465" xr:uid="{00000000-0005-0000-0000-000005080000}"/>
    <cellStyle name="20% - Accent5 14 2" xfId="2466" xr:uid="{00000000-0005-0000-0000-000006080000}"/>
    <cellStyle name="20% - Accent5 15" xfId="2467" xr:uid="{00000000-0005-0000-0000-000007080000}"/>
    <cellStyle name="20% - Accent5 2" xfId="26" xr:uid="{00000000-0005-0000-0000-000008080000}"/>
    <cellStyle name="20% - Accent5 2 10" xfId="2468" xr:uid="{00000000-0005-0000-0000-000009080000}"/>
    <cellStyle name="20% - Accent5 2 11" xfId="2469" xr:uid="{00000000-0005-0000-0000-00000A080000}"/>
    <cellStyle name="20% - Accent5 2 12" xfId="2470" xr:uid="{00000000-0005-0000-0000-00000B080000}"/>
    <cellStyle name="20% - Accent5 2 13" xfId="2471" xr:uid="{00000000-0005-0000-0000-00000C080000}"/>
    <cellStyle name="20% - Accent5 2 14" xfId="2472" xr:uid="{00000000-0005-0000-0000-00000D080000}"/>
    <cellStyle name="20% - Accent5 2 15" xfId="2473" xr:uid="{00000000-0005-0000-0000-00000E080000}"/>
    <cellStyle name="20% - Accent5 2 16" xfId="2474" xr:uid="{00000000-0005-0000-0000-00000F080000}"/>
    <cellStyle name="20% - Accent5 2 17" xfId="2475" xr:uid="{00000000-0005-0000-0000-000010080000}"/>
    <cellStyle name="20% - Accent5 2 18" xfId="2476" xr:uid="{00000000-0005-0000-0000-000011080000}"/>
    <cellStyle name="20% - Accent5 2 19" xfId="2477" xr:uid="{00000000-0005-0000-0000-000012080000}"/>
    <cellStyle name="20% - Accent5 2 2" xfId="341" xr:uid="{00000000-0005-0000-0000-000013080000}"/>
    <cellStyle name="20% - Accent5 2 2 2" xfId="2478" xr:uid="{00000000-0005-0000-0000-000014080000}"/>
    <cellStyle name="20% - Accent5 2 2 2 2" xfId="2479" xr:uid="{00000000-0005-0000-0000-000015080000}"/>
    <cellStyle name="20% - Accent5 2 2 3" xfId="2480" xr:uid="{00000000-0005-0000-0000-000016080000}"/>
    <cellStyle name="20% - Accent5 2 2 4" xfId="2481" xr:uid="{00000000-0005-0000-0000-000017080000}"/>
    <cellStyle name="20% - Accent5 2 2 5" xfId="2482" xr:uid="{00000000-0005-0000-0000-000018080000}"/>
    <cellStyle name="20% - Accent5 2 20" xfId="2483" xr:uid="{00000000-0005-0000-0000-000019080000}"/>
    <cellStyle name="20% - Accent5 2 21" xfId="2484" xr:uid="{00000000-0005-0000-0000-00001A080000}"/>
    <cellStyle name="20% - Accent5 2 22" xfId="2485" xr:uid="{00000000-0005-0000-0000-00001B080000}"/>
    <cellStyle name="20% - Accent5 2 23" xfId="2486" xr:uid="{00000000-0005-0000-0000-00001C080000}"/>
    <cellStyle name="20% - Accent5 2 24" xfId="2487" xr:uid="{00000000-0005-0000-0000-00001D080000}"/>
    <cellStyle name="20% - Accent5 2 25" xfId="2488" xr:uid="{00000000-0005-0000-0000-00001E080000}"/>
    <cellStyle name="20% - Accent5 2 26" xfId="2489" xr:uid="{00000000-0005-0000-0000-00001F080000}"/>
    <cellStyle name="20% - Accent5 2 27" xfId="2490" xr:uid="{00000000-0005-0000-0000-000020080000}"/>
    <cellStyle name="20% - Accent5 2 28" xfId="2491" xr:uid="{00000000-0005-0000-0000-000021080000}"/>
    <cellStyle name="20% - Accent5 2 29" xfId="2492" xr:uid="{00000000-0005-0000-0000-000022080000}"/>
    <cellStyle name="20% - Accent5 2 3" xfId="340" xr:uid="{00000000-0005-0000-0000-000023080000}"/>
    <cellStyle name="20% - Accent5 2 3 2" xfId="2494" xr:uid="{00000000-0005-0000-0000-000024080000}"/>
    <cellStyle name="20% - Accent5 2 3 3" xfId="2495" xr:uid="{00000000-0005-0000-0000-000025080000}"/>
    <cellStyle name="20% - Accent5 2 3 4" xfId="2496" xr:uid="{00000000-0005-0000-0000-000026080000}"/>
    <cellStyle name="20% - Accent5 2 3 5" xfId="2497" xr:uid="{00000000-0005-0000-0000-000027080000}"/>
    <cellStyle name="20% - Accent5 2 3 6" xfId="2498" xr:uid="{00000000-0005-0000-0000-000028080000}"/>
    <cellStyle name="20% - Accent5 2 3 7" xfId="2493" xr:uid="{00000000-0005-0000-0000-000029080000}"/>
    <cellStyle name="20% - Accent5 2 30" xfId="2499" xr:uid="{00000000-0005-0000-0000-00002A080000}"/>
    <cellStyle name="20% - Accent5 2 31" xfId="2500" xr:uid="{00000000-0005-0000-0000-00002B080000}"/>
    <cellStyle name="20% - Accent5 2 32" xfId="2501" xr:uid="{00000000-0005-0000-0000-00002C080000}"/>
    <cellStyle name="20% - Accent5 2 33" xfId="2502" xr:uid="{00000000-0005-0000-0000-00002D080000}"/>
    <cellStyle name="20% - Accent5 2 34" xfId="2503" xr:uid="{00000000-0005-0000-0000-00002E080000}"/>
    <cellStyle name="20% - Accent5 2 35" xfId="2504" xr:uid="{00000000-0005-0000-0000-00002F080000}"/>
    <cellStyle name="20% - Accent5 2 36" xfId="2505" xr:uid="{00000000-0005-0000-0000-000030080000}"/>
    <cellStyle name="20% - Accent5 2 37" xfId="2506" xr:uid="{00000000-0005-0000-0000-000031080000}"/>
    <cellStyle name="20% - Accent5 2 38" xfId="2507" xr:uid="{00000000-0005-0000-0000-000032080000}"/>
    <cellStyle name="20% - Accent5 2 39" xfId="2508" xr:uid="{00000000-0005-0000-0000-000033080000}"/>
    <cellStyle name="20% - Accent5 2 4" xfId="2509" xr:uid="{00000000-0005-0000-0000-000034080000}"/>
    <cellStyle name="20% - Accent5 2 40" xfId="2510" xr:uid="{00000000-0005-0000-0000-000035080000}"/>
    <cellStyle name="20% - Accent5 2 41" xfId="2511" xr:uid="{00000000-0005-0000-0000-000036080000}"/>
    <cellStyle name="20% - Accent5 2 42" xfId="2512" xr:uid="{00000000-0005-0000-0000-000037080000}"/>
    <cellStyle name="20% - Accent5 2 43" xfId="2513" xr:uid="{00000000-0005-0000-0000-000038080000}"/>
    <cellStyle name="20% - Accent5 2 44" xfId="2514" xr:uid="{00000000-0005-0000-0000-000039080000}"/>
    <cellStyle name="20% - Accent5 2 45" xfId="2515" xr:uid="{00000000-0005-0000-0000-00003A080000}"/>
    <cellStyle name="20% - Accent5 2 5" xfId="2516" xr:uid="{00000000-0005-0000-0000-00003B080000}"/>
    <cellStyle name="20% - Accent5 2 6" xfId="2517" xr:uid="{00000000-0005-0000-0000-00003C080000}"/>
    <cellStyle name="20% - Accent5 2 7" xfId="2518" xr:uid="{00000000-0005-0000-0000-00003D080000}"/>
    <cellStyle name="20% - Accent5 2 8" xfId="2519" xr:uid="{00000000-0005-0000-0000-00003E080000}"/>
    <cellStyle name="20% - Accent5 2 9" xfId="2520" xr:uid="{00000000-0005-0000-0000-00003F080000}"/>
    <cellStyle name="20% - Accent5 2_SNL_BankReg_UBPR_v1_CustomPeers" xfId="2521" xr:uid="{00000000-0005-0000-0000-000040080000}"/>
    <cellStyle name="20% - Accent5 3" xfId="339" xr:uid="{00000000-0005-0000-0000-000041080000}"/>
    <cellStyle name="20% - Accent5 3 10" xfId="2523" xr:uid="{00000000-0005-0000-0000-000042080000}"/>
    <cellStyle name="20% - Accent5 3 11" xfId="2524" xr:uid="{00000000-0005-0000-0000-000043080000}"/>
    <cellStyle name="20% - Accent5 3 12" xfId="2525" xr:uid="{00000000-0005-0000-0000-000044080000}"/>
    <cellStyle name="20% - Accent5 3 13" xfId="2526" xr:uid="{00000000-0005-0000-0000-000045080000}"/>
    <cellStyle name="20% - Accent5 3 14" xfId="2527" xr:uid="{00000000-0005-0000-0000-000046080000}"/>
    <cellStyle name="20% - Accent5 3 15" xfId="2528" xr:uid="{00000000-0005-0000-0000-000047080000}"/>
    <cellStyle name="20% - Accent5 3 16" xfId="2529" xr:uid="{00000000-0005-0000-0000-000048080000}"/>
    <cellStyle name="20% - Accent5 3 17" xfId="2530" xr:uid="{00000000-0005-0000-0000-000049080000}"/>
    <cellStyle name="20% - Accent5 3 18" xfId="2531" xr:uid="{00000000-0005-0000-0000-00004A080000}"/>
    <cellStyle name="20% - Accent5 3 19" xfId="2532" xr:uid="{00000000-0005-0000-0000-00004B080000}"/>
    <cellStyle name="20% - Accent5 3 2" xfId="2533" xr:uid="{00000000-0005-0000-0000-00004C080000}"/>
    <cellStyle name="20% - Accent5 3 20" xfId="2534" xr:uid="{00000000-0005-0000-0000-00004D080000}"/>
    <cellStyle name="20% - Accent5 3 21" xfId="2535" xr:uid="{00000000-0005-0000-0000-00004E080000}"/>
    <cellStyle name="20% - Accent5 3 22" xfId="2536" xr:uid="{00000000-0005-0000-0000-00004F080000}"/>
    <cellStyle name="20% - Accent5 3 23" xfId="2537" xr:uid="{00000000-0005-0000-0000-000050080000}"/>
    <cellStyle name="20% - Accent5 3 24" xfId="2538" xr:uid="{00000000-0005-0000-0000-000051080000}"/>
    <cellStyle name="20% - Accent5 3 25" xfId="2539" xr:uid="{00000000-0005-0000-0000-000052080000}"/>
    <cellStyle name="20% - Accent5 3 26" xfId="2540" xr:uid="{00000000-0005-0000-0000-000053080000}"/>
    <cellStyle name="20% - Accent5 3 27" xfId="2541" xr:uid="{00000000-0005-0000-0000-000054080000}"/>
    <cellStyle name="20% - Accent5 3 28" xfId="2542" xr:uid="{00000000-0005-0000-0000-000055080000}"/>
    <cellStyle name="20% - Accent5 3 29" xfId="2543" xr:uid="{00000000-0005-0000-0000-000056080000}"/>
    <cellStyle name="20% - Accent5 3 3" xfId="2544" xr:uid="{00000000-0005-0000-0000-000057080000}"/>
    <cellStyle name="20% - Accent5 3 30" xfId="2545" xr:uid="{00000000-0005-0000-0000-000058080000}"/>
    <cellStyle name="20% - Accent5 3 31" xfId="2546" xr:uid="{00000000-0005-0000-0000-000059080000}"/>
    <cellStyle name="20% - Accent5 3 32" xfId="2547" xr:uid="{00000000-0005-0000-0000-00005A080000}"/>
    <cellStyle name="20% - Accent5 3 33" xfId="2548" xr:uid="{00000000-0005-0000-0000-00005B080000}"/>
    <cellStyle name="20% - Accent5 3 34" xfId="2549" xr:uid="{00000000-0005-0000-0000-00005C080000}"/>
    <cellStyle name="20% - Accent5 3 35" xfId="2550" xr:uid="{00000000-0005-0000-0000-00005D080000}"/>
    <cellStyle name="20% - Accent5 3 36" xfId="2551" xr:uid="{00000000-0005-0000-0000-00005E080000}"/>
    <cellStyle name="20% - Accent5 3 37" xfId="2552" xr:uid="{00000000-0005-0000-0000-00005F080000}"/>
    <cellStyle name="20% - Accent5 3 38" xfId="2553" xr:uid="{00000000-0005-0000-0000-000060080000}"/>
    <cellStyle name="20% - Accent5 3 39" xfId="2554" xr:uid="{00000000-0005-0000-0000-000061080000}"/>
    <cellStyle name="20% - Accent5 3 4" xfId="2555" xr:uid="{00000000-0005-0000-0000-000062080000}"/>
    <cellStyle name="20% - Accent5 3 40" xfId="2556" xr:uid="{00000000-0005-0000-0000-000063080000}"/>
    <cellStyle name="20% - Accent5 3 41" xfId="2557" xr:uid="{00000000-0005-0000-0000-000064080000}"/>
    <cellStyle name="20% - Accent5 3 42" xfId="2558" xr:uid="{00000000-0005-0000-0000-000065080000}"/>
    <cellStyle name="20% - Accent5 3 43" xfId="2559" xr:uid="{00000000-0005-0000-0000-000066080000}"/>
    <cellStyle name="20% - Accent5 3 44" xfId="2560" xr:uid="{00000000-0005-0000-0000-000067080000}"/>
    <cellStyle name="20% - Accent5 3 45" xfId="2561" xr:uid="{00000000-0005-0000-0000-000068080000}"/>
    <cellStyle name="20% - Accent5 3 46" xfId="2522" xr:uid="{00000000-0005-0000-0000-000069080000}"/>
    <cellStyle name="20% - Accent5 3 5" xfId="2562" xr:uid="{00000000-0005-0000-0000-00006A080000}"/>
    <cellStyle name="20% - Accent5 3 6" xfId="2563" xr:uid="{00000000-0005-0000-0000-00006B080000}"/>
    <cellStyle name="20% - Accent5 3 7" xfId="2564" xr:uid="{00000000-0005-0000-0000-00006C080000}"/>
    <cellStyle name="20% - Accent5 3 8" xfId="2565" xr:uid="{00000000-0005-0000-0000-00006D080000}"/>
    <cellStyle name="20% - Accent5 3 9" xfId="2566" xr:uid="{00000000-0005-0000-0000-00006E080000}"/>
    <cellStyle name="20% - Accent5 4" xfId="2567" xr:uid="{00000000-0005-0000-0000-00006F080000}"/>
    <cellStyle name="20% - Accent5 4 10" xfId="2568" xr:uid="{00000000-0005-0000-0000-000070080000}"/>
    <cellStyle name="20% - Accent5 4 11" xfId="2569" xr:uid="{00000000-0005-0000-0000-000071080000}"/>
    <cellStyle name="20% - Accent5 4 12" xfId="2570" xr:uid="{00000000-0005-0000-0000-000072080000}"/>
    <cellStyle name="20% - Accent5 4 13" xfId="2571" xr:uid="{00000000-0005-0000-0000-000073080000}"/>
    <cellStyle name="20% - Accent5 4 14" xfId="2572" xr:uid="{00000000-0005-0000-0000-000074080000}"/>
    <cellStyle name="20% - Accent5 4 15" xfId="2573" xr:uid="{00000000-0005-0000-0000-000075080000}"/>
    <cellStyle name="20% - Accent5 4 16" xfId="2574" xr:uid="{00000000-0005-0000-0000-000076080000}"/>
    <cellStyle name="20% - Accent5 4 17" xfId="2575" xr:uid="{00000000-0005-0000-0000-000077080000}"/>
    <cellStyle name="20% - Accent5 4 18" xfId="2576" xr:uid="{00000000-0005-0000-0000-000078080000}"/>
    <cellStyle name="20% - Accent5 4 19" xfId="2577" xr:uid="{00000000-0005-0000-0000-000079080000}"/>
    <cellStyle name="20% - Accent5 4 2" xfId="2578" xr:uid="{00000000-0005-0000-0000-00007A080000}"/>
    <cellStyle name="20% - Accent5 4 20" xfId="2579" xr:uid="{00000000-0005-0000-0000-00007B080000}"/>
    <cellStyle name="20% - Accent5 4 21" xfId="2580" xr:uid="{00000000-0005-0000-0000-00007C080000}"/>
    <cellStyle name="20% - Accent5 4 22" xfId="2581" xr:uid="{00000000-0005-0000-0000-00007D080000}"/>
    <cellStyle name="20% - Accent5 4 23" xfId="2582" xr:uid="{00000000-0005-0000-0000-00007E080000}"/>
    <cellStyle name="20% - Accent5 4 24" xfId="2583" xr:uid="{00000000-0005-0000-0000-00007F080000}"/>
    <cellStyle name="20% - Accent5 4 25" xfId="2584" xr:uid="{00000000-0005-0000-0000-000080080000}"/>
    <cellStyle name="20% - Accent5 4 26" xfId="2585" xr:uid="{00000000-0005-0000-0000-000081080000}"/>
    <cellStyle name="20% - Accent5 4 27" xfId="2586" xr:uid="{00000000-0005-0000-0000-000082080000}"/>
    <cellStyle name="20% - Accent5 4 28" xfId="2587" xr:uid="{00000000-0005-0000-0000-000083080000}"/>
    <cellStyle name="20% - Accent5 4 29" xfId="2588" xr:uid="{00000000-0005-0000-0000-000084080000}"/>
    <cellStyle name="20% - Accent5 4 3" xfId="2589" xr:uid="{00000000-0005-0000-0000-000085080000}"/>
    <cellStyle name="20% - Accent5 4 30" xfId="2590" xr:uid="{00000000-0005-0000-0000-000086080000}"/>
    <cellStyle name="20% - Accent5 4 31" xfId="2591" xr:uid="{00000000-0005-0000-0000-000087080000}"/>
    <cellStyle name="20% - Accent5 4 32" xfId="2592" xr:uid="{00000000-0005-0000-0000-000088080000}"/>
    <cellStyle name="20% - Accent5 4 33" xfId="2593" xr:uid="{00000000-0005-0000-0000-000089080000}"/>
    <cellStyle name="20% - Accent5 4 34" xfId="2594" xr:uid="{00000000-0005-0000-0000-00008A080000}"/>
    <cellStyle name="20% - Accent5 4 35" xfId="2595" xr:uid="{00000000-0005-0000-0000-00008B080000}"/>
    <cellStyle name="20% - Accent5 4 36" xfId="2596" xr:uid="{00000000-0005-0000-0000-00008C080000}"/>
    <cellStyle name="20% - Accent5 4 37" xfId="2597" xr:uid="{00000000-0005-0000-0000-00008D080000}"/>
    <cellStyle name="20% - Accent5 4 38" xfId="2598" xr:uid="{00000000-0005-0000-0000-00008E080000}"/>
    <cellStyle name="20% - Accent5 4 39" xfId="2599" xr:uid="{00000000-0005-0000-0000-00008F080000}"/>
    <cellStyle name="20% - Accent5 4 4" xfId="2600" xr:uid="{00000000-0005-0000-0000-000090080000}"/>
    <cellStyle name="20% - Accent5 4 40" xfId="2601" xr:uid="{00000000-0005-0000-0000-000091080000}"/>
    <cellStyle name="20% - Accent5 4 41" xfId="2602" xr:uid="{00000000-0005-0000-0000-000092080000}"/>
    <cellStyle name="20% - Accent5 4 5" xfId="2603" xr:uid="{00000000-0005-0000-0000-000093080000}"/>
    <cellStyle name="20% - Accent5 4 6" xfId="2604" xr:uid="{00000000-0005-0000-0000-000094080000}"/>
    <cellStyle name="20% - Accent5 4 7" xfId="2605" xr:uid="{00000000-0005-0000-0000-000095080000}"/>
    <cellStyle name="20% - Accent5 4 8" xfId="2606" xr:uid="{00000000-0005-0000-0000-000096080000}"/>
    <cellStyle name="20% - Accent5 4 9" xfId="2607" xr:uid="{00000000-0005-0000-0000-000097080000}"/>
    <cellStyle name="20% - Accent5 5" xfId="2608" xr:uid="{00000000-0005-0000-0000-000098080000}"/>
    <cellStyle name="20% - Accent5 5 10" xfId="2609" xr:uid="{00000000-0005-0000-0000-000099080000}"/>
    <cellStyle name="20% - Accent5 5 11" xfId="2610" xr:uid="{00000000-0005-0000-0000-00009A080000}"/>
    <cellStyle name="20% - Accent5 5 12" xfId="2611" xr:uid="{00000000-0005-0000-0000-00009B080000}"/>
    <cellStyle name="20% - Accent5 5 13" xfId="2612" xr:uid="{00000000-0005-0000-0000-00009C080000}"/>
    <cellStyle name="20% - Accent5 5 14" xfId="2613" xr:uid="{00000000-0005-0000-0000-00009D080000}"/>
    <cellStyle name="20% - Accent5 5 15" xfId="2614" xr:uid="{00000000-0005-0000-0000-00009E080000}"/>
    <cellStyle name="20% - Accent5 5 16" xfId="2615" xr:uid="{00000000-0005-0000-0000-00009F080000}"/>
    <cellStyle name="20% - Accent5 5 17" xfId="2616" xr:uid="{00000000-0005-0000-0000-0000A0080000}"/>
    <cellStyle name="20% - Accent5 5 18" xfId="2617" xr:uid="{00000000-0005-0000-0000-0000A1080000}"/>
    <cellStyle name="20% - Accent5 5 19" xfId="2618" xr:uid="{00000000-0005-0000-0000-0000A2080000}"/>
    <cellStyle name="20% - Accent5 5 2" xfId="2619" xr:uid="{00000000-0005-0000-0000-0000A3080000}"/>
    <cellStyle name="20% - Accent5 5 20" xfId="2620" xr:uid="{00000000-0005-0000-0000-0000A4080000}"/>
    <cellStyle name="20% - Accent5 5 21" xfId="2621" xr:uid="{00000000-0005-0000-0000-0000A5080000}"/>
    <cellStyle name="20% - Accent5 5 22" xfId="2622" xr:uid="{00000000-0005-0000-0000-0000A6080000}"/>
    <cellStyle name="20% - Accent5 5 23" xfId="2623" xr:uid="{00000000-0005-0000-0000-0000A7080000}"/>
    <cellStyle name="20% - Accent5 5 24" xfId="2624" xr:uid="{00000000-0005-0000-0000-0000A8080000}"/>
    <cellStyle name="20% - Accent5 5 25" xfId="2625" xr:uid="{00000000-0005-0000-0000-0000A9080000}"/>
    <cellStyle name="20% - Accent5 5 26" xfId="2626" xr:uid="{00000000-0005-0000-0000-0000AA080000}"/>
    <cellStyle name="20% - Accent5 5 27" xfId="2627" xr:uid="{00000000-0005-0000-0000-0000AB080000}"/>
    <cellStyle name="20% - Accent5 5 28" xfId="2628" xr:uid="{00000000-0005-0000-0000-0000AC080000}"/>
    <cellStyle name="20% - Accent5 5 29" xfId="2629" xr:uid="{00000000-0005-0000-0000-0000AD080000}"/>
    <cellStyle name="20% - Accent5 5 3" xfId="2630" xr:uid="{00000000-0005-0000-0000-0000AE080000}"/>
    <cellStyle name="20% - Accent5 5 30" xfId="2631" xr:uid="{00000000-0005-0000-0000-0000AF080000}"/>
    <cellStyle name="20% - Accent5 5 31" xfId="2632" xr:uid="{00000000-0005-0000-0000-0000B0080000}"/>
    <cellStyle name="20% - Accent5 5 32" xfId="2633" xr:uid="{00000000-0005-0000-0000-0000B1080000}"/>
    <cellStyle name="20% - Accent5 5 33" xfId="2634" xr:uid="{00000000-0005-0000-0000-0000B2080000}"/>
    <cellStyle name="20% - Accent5 5 34" xfId="2635" xr:uid="{00000000-0005-0000-0000-0000B3080000}"/>
    <cellStyle name="20% - Accent5 5 35" xfId="2636" xr:uid="{00000000-0005-0000-0000-0000B4080000}"/>
    <cellStyle name="20% - Accent5 5 36" xfId="2637" xr:uid="{00000000-0005-0000-0000-0000B5080000}"/>
    <cellStyle name="20% - Accent5 5 37" xfId="2638" xr:uid="{00000000-0005-0000-0000-0000B6080000}"/>
    <cellStyle name="20% - Accent5 5 38" xfId="2639" xr:uid="{00000000-0005-0000-0000-0000B7080000}"/>
    <cellStyle name="20% - Accent5 5 39" xfId="2640" xr:uid="{00000000-0005-0000-0000-0000B8080000}"/>
    <cellStyle name="20% - Accent5 5 4" xfId="2641" xr:uid="{00000000-0005-0000-0000-0000B9080000}"/>
    <cellStyle name="20% - Accent5 5 40" xfId="2642" xr:uid="{00000000-0005-0000-0000-0000BA080000}"/>
    <cellStyle name="20% - Accent5 5 41" xfId="2643" xr:uid="{00000000-0005-0000-0000-0000BB080000}"/>
    <cellStyle name="20% - Accent5 5 5" xfId="2644" xr:uid="{00000000-0005-0000-0000-0000BC080000}"/>
    <cellStyle name="20% - Accent5 5 6" xfId="2645" xr:uid="{00000000-0005-0000-0000-0000BD080000}"/>
    <cellStyle name="20% - Accent5 5 7" xfId="2646" xr:uid="{00000000-0005-0000-0000-0000BE080000}"/>
    <cellStyle name="20% - Accent5 5 8" xfId="2647" xr:uid="{00000000-0005-0000-0000-0000BF080000}"/>
    <cellStyle name="20% - Accent5 5 9" xfId="2648" xr:uid="{00000000-0005-0000-0000-0000C0080000}"/>
    <cellStyle name="20% - Accent5 6" xfId="2649" xr:uid="{00000000-0005-0000-0000-0000C1080000}"/>
    <cellStyle name="20% - Accent5 6 10" xfId="2650" xr:uid="{00000000-0005-0000-0000-0000C2080000}"/>
    <cellStyle name="20% - Accent5 6 11" xfId="2651" xr:uid="{00000000-0005-0000-0000-0000C3080000}"/>
    <cellStyle name="20% - Accent5 6 12" xfId="2652" xr:uid="{00000000-0005-0000-0000-0000C4080000}"/>
    <cellStyle name="20% - Accent5 6 13" xfId="2653" xr:uid="{00000000-0005-0000-0000-0000C5080000}"/>
    <cellStyle name="20% - Accent5 6 14" xfId="2654" xr:uid="{00000000-0005-0000-0000-0000C6080000}"/>
    <cellStyle name="20% - Accent5 6 15" xfId="2655" xr:uid="{00000000-0005-0000-0000-0000C7080000}"/>
    <cellStyle name="20% - Accent5 6 16" xfId="2656" xr:uid="{00000000-0005-0000-0000-0000C8080000}"/>
    <cellStyle name="20% - Accent5 6 17" xfId="2657" xr:uid="{00000000-0005-0000-0000-0000C9080000}"/>
    <cellStyle name="20% - Accent5 6 18" xfId="2658" xr:uid="{00000000-0005-0000-0000-0000CA080000}"/>
    <cellStyle name="20% - Accent5 6 19" xfId="2659" xr:uid="{00000000-0005-0000-0000-0000CB080000}"/>
    <cellStyle name="20% - Accent5 6 2" xfId="2660" xr:uid="{00000000-0005-0000-0000-0000CC080000}"/>
    <cellStyle name="20% - Accent5 6 20" xfId="2661" xr:uid="{00000000-0005-0000-0000-0000CD080000}"/>
    <cellStyle name="20% - Accent5 6 21" xfId="2662" xr:uid="{00000000-0005-0000-0000-0000CE080000}"/>
    <cellStyle name="20% - Accent5 6 22" xfId="2663" xr:uid="{00000000-0005-0000-0000-0000CF080000}"/>
    <cellStyle name="20% - Accent5 6 23" xfId="2664" xr:uid="{00000000-0005-0000-0000-0000D0080000}"/>
    <cellStyle name="20% - Accent5 6 24" xfId="2665" xr:uid="{00000000-0005-0000-0000-0000D1080000}"/>
    <cellStyle name="20% - Accent5 6 25" xfId="2666" xr:uid="{00000000-0005-0000-0000-0000D2080000}"/>
    <cellStyle name="20% - Accent5 6 26" xfId="2667" xr:uid="{00000000-0005-0000-0000-0000D3080000}"/>
    <cellStyle name="20% - Accent5 6 27" xfId="2668" xr:uid="{00000000-0005-0000-0000-0000D4080000}"/>
    <cellStyle name="20% - Accent5 6 28" xfId="2669" xr:uid="{00000000-0005-0000-0000-0000D5080000}"/>
    <cellStyle name="20% - Accent5 6 29" xfId="2670" xr:uid="{00000000-0005-0000-0000-0000D6080000}"/>
    <cellStyle name="20% - Accent5 6 3" xfId="2671" xr:uid="{00000000-0005-0000-0000-0000D7080000}"/>
    <cellStyle name="20% - Accent5 6 30" xfId="2672" xr:uid="{00000000-0005-0000-0000-0000D8080000}"/>
    <cellStyle name="20% - Accent5 6 31" xfId="2673" xr:uid="{00000000-0005-0000-0000-0000D9080000}"/>
    <cellStyle name="20% - Accent5 6 32" xfId="2674" xr:uid="{00000000-0005-0000-0000-0000DA080000}"/>
    <cellStyle name="20% - Accent5 6 33" xfId="2675" xr:uid="{00000000-0005-0000-0000-0000DB080000}"/>
    <cellStyle name="20% - Accent5 6 34" xfId="2676" xr:uid="{00000000-0005-0000-0000-0000DC080000}"/>
    <cellStyle name="20% - Accent5 6 35" xfId="2677" xr:uid="{00000000-0005-0000-0000-0000DD080000}"/>
    <cellStyle name="20% - Accent5 6 36" xfId="2678" xr:uid="{00000000-0005-0000-0000-0000DE080000}"/>
    <cellStyle name="20% - Accent5 6 37" xfId="2679" xr:uid="{00000000-0005-0000-0000-0000DF080000}"/>
    <cellStyle name="20% - Accent5 6 38" xfId="2680" xr:uid="{00000000-0005-0000-0000-0000E0080000}"/>
    <cellStyle name="20% - Accent5 6 39" xfId="2681" xr:uid="{00000000-0005-0000-0000-0000E1080000}"/>
    <cellStyle name="20% - Accent5 6 4" xfId="2682" xr:uid="{00000000-0005-0000-0000-0000E2080000}"/>
    <cellStyle name="20% - Accent5 6 40" xfId="2683" xr:uid="{00000000-0005-0000-0000-0000E3080000}"/>
    <cellStyle name="20% - Accent5 6 41" xfId="2684" xr:uid="{00000000-0005-0000-0000-0000E4080000}"/>
    <cellStyle name="20% - Accent5 6 5" xfId="2685" xr:uid="{00000000-0005-0000-0000-0000E5080000}"/>
    <cellStyle name="20% - Accent5 6 6" xfId="2686" xr:uid="{00000000-0005-0000-0000-0000E6080000}"/>
    <cellStyle name="20% - Accent5 6 7" xfId="2687" xr:uid="{00000000-0005-0000-0000-0000E7080000}"/>
    <cellStyle name="20% - Accent5 6 8" xfId="2688" xr:uid="{00000000-0005-0000-0000-0000E8080000}"/>
    <cellStyle name="20% - Accent5 6 9" xfId="2689" xr:uid="{00000000-0005-0000-0000-0000E9080000}"/>
    <cellStyle name="20% - Accent5 7" xfId="2690" xr:uid="{00000000-0005-0000-0000-0000EA080000}"/>
    <cellStyle name="20% - Accent5 7 10" xfId="2691" xr:uid="{00000000-0005-0000-0000-0000EB080000}"/>
    <cellStyle name="20% - Accent5 7 11" xfId="2692" xr:uid="{00000000-0005-0000-0000-0000EC080000}"/>
    <cellStyle name="20% - Accent5 7 12" xfId="2693" xr:uid="{00000000-0005-0000-0000-0000ED080000}"/>
    <cellStyle name="20% - Accent5 7 13" xfId="2694" xr:uid="{00000000-0005-0000-0000-0000EE080000}"/>
    <cellStyle name="20% - Accent5 7 14" xfId="2695" xr:uid="{00000000-0005-0000-0000-0000EF080000}"/>
    <cellStyle name="20% - Accent5 7 15" xfId="2696" xr:uid="{00000000-0005-0000-0000-0000F0080000}"/>
    <cellStyle name="20% - Accent5 7 16" xfId="2697" xr:uid="{00000000-0005-0000-0000-0000F1080000}"/>
    <cellStyle name="20% - Accent5 7 17" xfId="2698" xr:uid="{00000000-0005-0000-0000-0000F2080000}"/>
    <cellStyle name="20% - Accent5 7 18" xfId="2699" xr:uid="{00000000-0005-0000-0000-0000F3080000}"/>
    <cellStyle name="20% - Accent5 7 19" xfId="2700" xr:uid="{00000000-0005-0000-0000-0000F4080000}"/>
    <cellStyle name="20% - Accent5 7 2" xfId="2701" xr:uid="{00000000-0005-0000-0000-0000F5080000}"/>
    <cellStyle name="20% - Accent5 7 20" xfId="2702" xr:uid="{00000000-0005-0000-0000-0000F6080000}"/>
    <cellStyle name="20% - Accent5 7 21" xfId="2703" xr:uid="{00000000-0005-0000-0000-0000F7080000}"/>
    <cellStyle name="20% - Accent5 7 22" xfId="2704" xr:uid="{00000000-0005-0000-0000-0000F8080000}"/>
    <cellStyle name="20% - Accent5 7 23" xfId="2705" xr:uid="{00000000-0005-0000-0000-0000F9080000}"/>
    <cellStyle name="20% - Accent5 7 24" xfId="2706" xr:uid="{00000000-0005-0000-0000-0000FA080000}"/>
    <cellStyle name="20% - Accent5 7 25" xfId="2707" xr:uid="{00000000-0005-0000-0000-0000FB080000}"/>
    <cellStyle name="20% - Accent5 7 26" xfId="2708" xr:uid="{00000000-0005-0000-0000-0000FC080000}"/>
    <cellStyle name="20% - Accent5 7 27" xfId="2709" xr:uid="{00000000-0005-0000-0000-0000FD080000}"/>
    <cellStyle name="20% - Accent5 7 28" xfId="2710" xr:uid="{00000000-0005-0000-0000-0000FE080000}"/>
    <cellStyle name="20% - Accent5 7 29" xfId="2711" xr:uid="{00000000-0005-0000-0000-0000FF080000}"/>
    <cellStyle name="20% - Accent5 7 3" xfId="2712" xr:uid="{00000000-0005-0000-0000-000000090000}"/>
    <cellStyle name="20% - Accent5 7 30" xfId="2713" xr:uid="{00000000-0005-0000-0000-000001090000}"/>
    <cellStyle name="20% - Accent5 7 31" xfId="2714" xr:uid="{00000000-0005-0000-0000-000002090000}"/>
    <cellStyle name="20% - Accent5 7 32" xfId="2715" xr:uid="{00000000-0005-0000-0000-000003090000}"/>
    <cellStyle name="20% - Accent5 7 33" xfId="2716" xr:uid="{00000000-0005-0000-0000-000004090000}"/>
    <cellStyle name="20% - Accent5 7 34" xfId="2717" xr:uid="{00000000-0005-0000-0000-000005090000}"/>
    <cellStyle name="20% - Accent5 7 35" xfId="2718" xr:uid="{00000000-0005-0000-0000-000006090000}"/>
    <cellStyle name="20% - Accent5 7 36" xfId="2719" xr:uid="{00000000-0005-0000-0000-000007090000}"/>
    <cellStyle name="20% - Accent5 7 37" xfId="2720" xr:uid="{00000000-0005-0000-0000-000008090000}"/>
    <cellStyle name="20% - Accent5 7 38" xfId="2721" xr:uid="{00000000-0005-0000-0000-000009090000}"/>
    <cellStyle name="20% - Accent5 7 39" xfId="2722" xr:uid="{00000000-0005-0000-0000-00000A090000}"/>
    <cellStyle name="20% - Accent5 7 4" xfId="2723" xr:uid="{00000000-0005-0000-0000-00000B090000}"/>
    <cellStyle name="20% - Accent5 7 40" xfId="2724" xr:uid="{00000000-0005-0000-0000-00000C090000}"/>
    <cellStyle name="20% - Accent5 7 41" xfId="2725" xr:uid="{00000000-0005-0000-0000-00000D090000}"/>
    <cellStyle name="20% - Accent5 7 5" xfId="2726" xr:uid="{00000000-0005-0000-0000-00000E090000}"/>
    <cellStyle name="20% - Accent5 7 6" xfId="2727" xr:uid="{00000000-0005-0000-0000-00000F090000}"/>
    <cellStyle name="20% - Accent5 7 7" xfId="2728" xr:uid="{00000000-0005-0000-0000-000010090000}"/>
    <cellStyle name="20% - Accent5 7 8" xfId="2729" xr:uid="{00000000-0005-0000-0000-000011090000}"/>
    <cellStyle name="20% - Accent5 7 9" xfId="2730" xr:uid="{00000000-0005-0000-0000-000012090000}"/>
    <cellStyle name="20% - Accent5 8" xfId="2731" xr:uid="{00000000-0005-0000-0000-000013090000}"/>
    <cellStyle name="20% - Accent5 8 10" xfId="2732" xr:uid="{00000000-0005-0000-0000-000014090000}"/>
    <cellStyle name="20% - Accent5 8 11" xfId="2733" xr:uid="{00000000-0005-0000-0000-000015090000}"/>
    <cellStyle name="20% - Accent5 8 12" xfId="2734" xr:uid="{00000000-0005-0000-0000-000016090000}"/>
    <cellStyle name="20% - Accent5 8 13" xfId="2735" xr:uid="{00000000-0005-0000-0000-000017090000}"/>
    <cellStyle name="20% - Accent5 8 14" xfId="2736" xr:uid="{00000000-0005-0000-0000-000018090000}"/>
    <cellStyle name="20% - Accent5 8 15" xfId="2737" xr:uid="{00000000-0005-0000-0000-000019090000}"/>
    <cellStyle name="20% - Accent5 8 16" xfId="2738" xr:uid="{00000000-0005-0000-0000-00001A090000}"/>
    <cellStyle name="20% - Accent5 8 17" xfId="2739" xr:uid="{00000000-0005-0000-0000-00001B090000}"/>
    <cellStyle name="20% - Accent5 8 18" xfId="2740" xr:uid="{00000000-0005-0000-0000-00001C090000}"/>
    <cellStyle name="20% - Accent5 8 19" xfId="2741" xr:uid="{00000000-0005-0000-0000-00001D090000}"/>
    <cellStyle name="20% - Accent5 8 2" xfId="2742" xr:uid="{00000000-0005-0000-0000-00001E090000}"/>
    <cellStyle name="20% - Accent5 8 20" xfId="2743" xr:uid="{00000000-0005-0000-0000-00001F090000}"/>
    <cellStyle name="20% - Accent5 8 21" xfId="2744" xr:uid="{00000000-0005-0000-0000-000020090000}"/>
    <cellStyle name="20% - Accent5 8 22" xfId="2745" xr:uid="{00000000-0005-0000-0000-000021090000}"/>
    <cellStyle name="20% - Accent5 8 23" xfId="2746" xr:uid="{00000000-0005-0000-0000-000022090000}"/>
    <cellStyle name="20% - Accent5 8 24" xfId="2747" xr:uid="{00000000-0005-0000-0000-000023090000}"/>
    <cellStyle name="20% - Accent5 8 25" xfId="2748" xr:uid="{00000000-0005-0000-0000-000024090000}"/>
    <cellStyle name="20% - Accent5 8 26" xfId="2749" xr:uid="{00000000-0005-0000-0000-000025090000}"/>
    <cellStyle name="20% - Accent5 8 27" xfId="2750" xr:uid="{00000000-0005-0000-0000-000026090000}"/>
    <cellStyle name="20% - Accent5 8 28" xfId="2751" xr:uid="{00000000-0005-0000-0000-000027090000}"/>
    <cellStyle name="20% - Accent5 8 29" xfId="2752" xr:uid="{00000000-0005-0000-0000-000028090000}"/>
    <cellStyle name="20% - Accent5 8 3" xfId="2753" xr:uid="{00000000-0005-0000-0000-000029090000}"/>
    <cellStyle name="20% - Accent5 8 30" xfId="2754" xr:uid="{00000000-0005-0000-0000-00002A090000}"/>
    <cellStyle name="20% - Accent5 8 31" xfId="2755" xr:uid="{00000000-0005-0000-0000-00002B090000}"/>
    <cellStyle name="20% - Accent5 8 32" xfId="2756" xr:uid="{00000000-0005-0000-0000-00002C090000}"/>
    <cellStyle name="20% - Accent5 8 33" xfId="2757" xr:uid="{00000000-0005-0000-0000-00002D090000}"/>
    <cellStyle name="20% - Accent5 8 34" xfId="2758" xr:uid="{00000000-0005-0000-0000-00002E090000}"/>
    <cellStyle name="20% - Accent5 8 35" xfId="2759" xr:uid="{00000000-0005-0000-0000-00002F090000}"/>
    <cellStyle name="20% - Accent5 8 36" xfId="2760" xr:uid="{00000000-0005-0000-0000-000030090000}"/>
    <cellStyle name="20% - Accent5 8 37" xfId="2761" xr:uid="{00000000-0005-0000-0000-000031090000}"/>
    <cellStyle name="20% - Accent5 8 38" xfId="2762" xr:uid="{00000000-0005-0000-0000-000032090000}"/>
    <cellStyle name="20% - Accent5 8 39" xfId="2763" xr:uid="{00000000-0005-0000-0000-000033090000}"/>
    <cellStyle name="20% - Accent5 8 4" xfId="2764" xr:uid="{00000000-0005-0000-0000-000034090000}"/>
    <cellStyle name="20% - Accent5 8 40" xfId="2765" xr:uid="{00000000-0005-0000-0000-000035090000}"/>
    <cellStyle name="20% - Accent5 8 41" xfId="2766" xr:uid="{00000000-0005-0000-0000-000036090000}"/>
    <cellStyle name="20% - Accent5 8 5" xfId="2767" xr:uid="{00000000-0005-0000-0000-000037090000}"/>
    <cellStyle name="20% - Accent5 8 6" xfId="2768" xr:uid="{00000000-0005-0000-0000-000038090000}"/>
    <cellStyle name="20% - Accent5 8 7" xfId="2769" xr:uid="{00000000-0005-0000-0000-000039090000}"/>
    <cellStyle name="20% - Accent5 8 8" xfId="2770" xr:uid="{00000000-0005-0000-0000-00003A090000}"/>
    <cellStyle name="20% - Accent5 8 9" xfId="2771" xr:uid="{00000000-0005-0000-0000-00003B090000}"/>
    <cellStyle name="20% - Accent5 9" xfId="2772" xr:uid="{00000000-0005-0000-0000-00003C090000}"/>
    <cellStyle name="20% - Accent5 9 10" xfId="2773" xr:uid="{00000000-0005-0000-0000-00003D090000}"/>
    <cellStyle name="20% - Accent5 9 11" xfId="2774" xr:uid="{00000000-0005-0000-0000-00003E090000}"/>
    <cellStyle name="20% - Accent5 9 12" xfId="2775" xr:uid="{00000000-0005-0000-0000-00003F090000}"/>
    <cellStyle name="20% - Accent5 9 13" xfId="2776" xr:uid="{00000000-0005-0000-0000-000040090000}"/>
    <cellStyle name="20% - Accent5 9 14" xfId="2777" xr:uid="{00000000-0005-0000-0000-000041090000}"/>
    <cellStyle name="20% - Accent5 9 15" xfId="2778" xr:uid="{00000000-0005-0000-0000-000042090000}"/>
    <cellStyle name="20% - Accent5 9 16" xfId="2779" xr:uid="{00000000-0005-0000-0000-000043090000}"/>
    <cellStyle name="20% - Accent5 9 17" xfId="2780" xr:uid="{00000000-0005-0000-0000-000044090000}"/>
    <cellStyle name="20% - Accent5 9 18" xfId="2781" xr:uid="{00000000-0005-0000-0000-000045090000}"/>
    <cellStyle name="20% - Accent5 9 19" xfId="2782" xr:uid="{00000000-0005-0000-0000-000046090000}"/>
    <cellStyle name="20% - Accent5 9 2" xfId="2783" xr:uid="{00000000-0005-0000-0000-000047090000}"/>
    <cellStyle name="20% - Accent5 9 20" xfId="2784" xr:uid="{00000000-0005-0000-0000-000048090000}"/>
    <cellStyle name="20% - Accent5 9 21" xfId="2785" xr:uid="{00000000-0005-0000-0000-000049090000}"/>
    <cellStyle name="20% - Accent5 9 22" xfId="2786" xr:uid="{00000000-0005-0000-0000-00004A090000}"/>
    <cellStyle name="20% - Accent5 9 23" xfId="2787" xr:uid="{00000000-0005-0000-0000-00004B090000}"/>
    <cellStyle name="20% - Accent5 9 24" xfId="2788" xr:uid="{00000000-0005-0000-0000-00004C090000}"/>
    <cellStyle name="20% - Accent5 9 25" xfId="2789" xr:uid="{00000000-0005-0000-0000-00004D090000}"/>
    <cellStyle name="20% - Accent5 9 26" xfId="2790" xr:uid="{00000000-0005-0000-0000-00004E090000}"/>
    <cellStyle name="20% - Accent5 9 27" xfId="2791" xr:uid="{00000000-0005-0000-0000-00004F090000}"/>
    <cellStyle name="20% - Accent5 9 28" xfId="2792" xr:uid="{00000000-0005-0000-0000-000050090000}"/>
    <cellStyle name="20% - Accent5 9 29" xfId="2793" xr:uid="{00000000-0005-0000-0000-000051090000}"/>
    <cellStyle name="20% - Accent5 9 3" xfId="2794" xr:uid="{00000000-0005-0000-0000-000052090000}"/>
    <cellStyle name="20% - Accent5 9 30" xfId="2795" xr:uid="{00000000-0005-0000-0000-000053090000}"/>
    <cellStyle name="20% - Accent5 9 31" xfId="2796" xr:uid="{00000000-0005-0000-0000-000054090000}"/>
    <cellStyle name="20% - Accent5 9 32" xfId="2797" xr:uid="{00000000-0005-0000-0000-000055090000}"/>
    <cellStyle name="20% - Accent5 9 33" xfId="2798" xr:uid="{00000000-0005-0000-0000-000056090000}"/>
    <cellStyle name="20% - Accent5 9 34" xfId="2799" xr:uid="{00000000-0005-0000-0000-000057090000}"/>
    <cellStyle name="20% - Accent5 9 35" xfId="2800" xr:uid="{00000000-0005-0000-0000-000058090000}"/>
    <cellStyle name="20% - Accent5 9 36" xfId="2801" xr:uid="{00000000-0005-0000-0000-000059090000}"/>
    <cellStyle name="20% - Accent5 9 37" xfId="2802" xr:uid="{00000000-0005-0000-0000-00005A090000}"/>
    <cellStyle name="20% - Accent5 9 38" xfId="2803" xr:uid="{00000000-0005-0000-0000-00005B090000}"/>
    <cellStyle name="20% - Accent5 9 39" xfId="2804" xr:uid="{00000000-0005-0000-0000-00005C090000}"/>
    <cellStyle name="20% - Accent5 9 4" xfId="2805" xr:uid="{00000000-0005-0000-0000-00005D090000}"/>
    <cellStyle name="20% - Accent5 9 40" xfId="2806" xr:uid="{00000000-0005-0000-0000-00005E090000}"/>
    <cellStyle name="20% - Accent5 9 41" xfId="2807" xr:uid="{00000000-0005-0000-0000-00005F090000}"/>
    <cellStyle name="20% - Accent5 9 5" xfId="2808" xr:uid="{00000000-0005-0000-0000-000060090000}"/>
    <cellStyle name="20% - Accent5 9 6" xfId="2809" xr:uid="{00000000-0005-0000-0000-000061090000}"/>
    <cellStyle name="20% - Accent5 9 7" xfId="2810" xr:uid="{00000000-0005-0000-0000-000062090000}"/>
    <cellStyle name="20% - Accent5 9 8" xfId="2811" xr:uid="{00000000-0005-0000-0000-000063090000}"/>
    <cellStyle name="20% - Accent5 9 9" xfId="2812" xr:uid="{00000000-0005-0000-0000-000064090000}"/>
    <cellStyle name="20% - Accent6 10" xfId="2813" xr:uid="{00000000-0005-0000-0000-000065090000}"/>
    <cellStyle name="20% - Accent6 10 10" xfId="2814" xr:uid="{00000000-0005-0000-0000-000066090000}"/>
    <cellStyle name="20% - Accent6 10 11" xfId="2815" xr:uid="{00000000-0005-0000-0000-000067090000}"/>
    <cellStyle name="20% - Accent6 10 12" xfId="2816" xr:uid="{00000000-0005-0000-0000-000068090000}"/>
    <cellStyle name="20% - Accent6 10 13" xfId="2817" xr:uid="{00000000-0005-0000-0000-000069090000}"/>
    <cellStyle name="20% - Accent6 10 14" xfId="2818" xr:uid="{00000000-0005-0000-0000-00006A090000}"/>
    <cellStyle name="20% - Accent6 10 15" xfId="2819" xr:uid="{00000000-0005-0000-0000-00006B090000}"/>
    <cellStyle name="20% - Accent6 10 16" xfId="2820" xr:uid="{00000000-0005-0000-0000-00006C090000}"/>
    <cellStyle name="20% - Accent6 10 17" xfId="2821" xr:uid="{00000000-0005-0000-0000-00006D090000}"/>
    <cellStyle name="20% - Accent6 10 18" xfId="2822" xr:uid="{00000000-0005-0000-0000-00006E090000}"/>
    <cellStyle name="20% - Accent6 10 19" xfId="2823" xr:uid="{00000000-0005-0000-0000-00006F090000}"/>
    <cellStyle name="20% - Accent6 10 2" xfId="2824" xr:uid="{00000000-0005-0000-0000-000070090000}"/>
    <cellStyle name="20% - Accent6 10 20" xfId="2825" xr:uid="{00000000-0005-0000-0000-000071090000}"/>
    <cellStyle name="20% - Accent6 10 21" xfId="2826" xr:uid="{00000000-0005-0000-0000-000072090000}"/>
    <cellStyle name="20% - Accent6 10 22" xfId="2827" xr:uid="{00000000-0005-0000-0000-000073090000}"/>
    <cellStyle name="20% - Accent6 10 23" xfId="2828" xr:uid="{00000000-0005-0000-0000-000074090000}"/>
    <cellStyle name="20% - Accent6 10 24" xfId="2829" xr:uid="{00000000-0005-0000-0000-000075090000}"/>
    <cellStyle name="20% - Accent6 10 25" xfId="2830" xr:uid="{00000000-0005-0000-0000-000076090000}"/>
    <cellStyle name="20% - Accent6 10 26" xfId="2831" xr:uid="{00000000-0005-0000-0000-000077090000}"/>
    <cellStyle name="20% - Accent6 10 27" xfId="2832" xr:uid="{00000000-0005-0000-0000-000078090000}"/>
    <cellStyle name="20% - Accent6 10 28" xfId="2833" xr:uid="{00000000-0005-0000-0000-000079090000}"/>
    <cellStyle name="20% - Accent6 10 29" xfId="2834" xr:uid="{00000000-0005-0000-0000-00007A090000}"/>
    <cellStyle name="20% - Accent6 10 3" xfId="2835" xr:uid="{00000000-0005-0000-0000-00007B090000}"/>
    <cellStyle name="20% - Accent6 10 30" xfId="2836" xr:uid="{00000000-0005-0000-0000-00007C090000}"/>
    <cellStyle name="20% - Accent6 10 31" xfId="2837" xr:uid="{00000000-0005-0000-0000-00007D090000}"/>
    <cellStyle name="20% - Accent6 10 32" xfId="2838" xr:uid="{00000000-0005-0000-0000-00007E090000}"/>
    <cellStyle name="20% - Accent6 10 33" xfId="2839" xr:uid="{00000000-0005-0000-0000-00007F090000}"/>
    <cellStyle name="20% - Accent6 10 34" xfId="2840" xr:uid="{00000000-0005-0000-0000-000080090000}"/>
    <cellStyle name="20% - Accent6 10 35" xfId="2841" xr:uid="{00000000-0005-0000-0000-000081090000}"/>
    <cellStyle name="20% - Accent6 10 36" xfId="2842" xr:uid="{00000000-0005-0000-0000-000082090000}"/>
    <cellStyle name="20% - Accent6 10 37" xfId="2843" xr:uid="{00000000-0005-0000-0000-000083090000}"/>
    <cellStyle name="20% - Accent6 10 38" xfId="2844" xr:uid="{00000000-0005-0000-0000-000084090000}"/>
    <cellStyle name="20% - Accent6 10 39" xfId="2845" xr:uid="{00000000-0005-0000-0000-000085090000}"/>
    <cellStyle name="20% - Accent6 10 4" xfId="2846" xr:uid="{00000000-0005-0000-0000-000086090000}"/>
    <cellStyle name="20% - Accent6 10 40" xfId="2847" xr:uid="{00000000-0005-0000-0000-000087090000}"/>
    <cellStyle name="20% - Accent6 10 41" xfId="2848" xr:uid="{00000000-0005-0000-0000-000088090000}"/>
    <cellStyle name="20% - Accent6 10 5" xfId="2849" xr:uid="{00000000-0005-0000-0000-000089090000}"/>
    <cellStyle name="20% - Accent6 10 6" xfId="2850" xr:uid="{00000000-0005-0000-0000-00008A090000}"/>
    <cellStyle name="20% - Accent6 10 7" xfId="2851" xr:uid="{00000000-0005-0000-0000-00008B090000}"/>
    <cellStyle name="20% - Accent6 10 8" xfId="2852" xr:uid="{00000000-0005-0000-0000-00008C090000}"/>
    <cellStyle name="20% - Accent6 10 9" xfId="2853" xr:uid="{00000000-0005-0000-0000-00008D090000}"/>
    <cellStyle name="20% - Accent6 11" xfId="2854" xr:uid="{00000000-0005-0000-0000-00008E090000}"/>
    <cellStyle name="20% - Accent6 11 10" xfId="2855" xr:uid="{00000000-0005-0000-0000-00008F090000}"/>
    <cellStyle name="20% - Accent6 11 11" xfId="2856" xr:uid="{00000000-0005-0000-0000-000090090000}"/>
    <cellStyle name="20% - Accent6 11 12" xfId="2857" xr:uid="{00000000-0005-0000-0000-000091090000}"/>
    <cellStyle name="20% - Accent6 11 13" xfId="2858" xr:uid="{00000000-0005-0000-0000-000092090000}"/>
    <cellStyle name="20% - Accent6 11 14" xfId="2859" xr:uid="{00000000-0005-0000-0000-000093090000}"/>
    <cellStyle name="20% - Accent6 11 15" xfId="2860" xr:uid="{00000000-0005-0000-0000-000094090000}"/>
    <cellStyle name="20% - Accent6 11 16" xfId="2861" xr:uid="{00000000-0005-0000-0000-000095090000}"/>
    <cellStyle name="20% - Accent6 11 17" xfId="2862" xr:uid="{00000000-0005-0000-0000-000096090000}"/>
    <cellStyle name="20% - Accent6 11 18" xfId="2863" xr:uid="{00000000-0005-0000-0000-000097090000}"/>
    <cellStyle name="20% - Accent6 11 19" xfId="2864" xr:uid="{00000000-0005-0000-0000-000098090000}"/>
    <cellStyle name="20% - Accent6 11 2" xfId="2865" xr:uid="{00000000-0005-0000-0000-000099090000}"/>
    <cellStyle name="20% - Accent6 11 20" xfId="2866" xr:uid="{00000000-0005-0000-0000-00009A090000}"/>
    <cellStyle name="20% - Accent6 11 21" xfId="2867" xr:uid="{00000000-0005-0000-0000-00009B090000}"/>
    <cellStyle name="20% - Accent6 11 22" xfId="2868" xr:uid="{00000000-0005-0000-0000-00009C090000}"/>
    <cellStyle name="20% - Accent6 11 23" xfId="2869" xr:uid="{00000000-0005-0000-0000-00009D090000}"/>
    <cellStyle name="20% - Accent6 11 24" xfId="2870" xr:uid="{00000000-0005-0000-0000-00009E090000}"/>
    <cellStyle name="20% - Accent6 11 25" xfId="2871" xr:uid="{00000000-0005-0000-0000-00009F090000}"/>
    <cellStyle name="20% - Accent6 11 26" xfId="2872" xr:uid="{00000000-0005-0000-0000-0000A0090000}"/>
    <cellStyle name="20% - Accent6 11 27" xfId="2873" xr:uid="{00000000-0005-0000-0000-0000A1090000}"/>
    <cellStyle name="20% - Accent6 11 28" xfId="2874" xr:uid="{00000000-0005-0000-0000-0000A2090000}"/>
    <cellStyle name="20% - Accent6 11 29" xfId="2875" xr:uid="{00000000-0005-0000-0000-0000A3090000}"/>
    <cellStyle name="20% - Accent6 11 3" xfId="2876" xr:uid="{00000000-0005-0000-0000-0000A4090000}"/>
    <cellStyle name="20% - Accent6 11 30" xfId="2877" xr:uid="{00000000-0005-0000-0000-0000A5090000}"/>
    <cellStyle name="20% - Accent6 11 31" xfId="2878" xr:uid="{00000000-0005-0000-0000-0000A6090000}"/>
    <cellStyle name="20% - Accent6 11 32" xfId="2879" xr:uid="{00000000-0005-0000-0000-0000A7090000}"/>
    <cellStyle name="20% - Accent6 11 33" xfId="2880" xr:uid="{00000000-0005-0000-0000-0000A8090000}"/>
    <cellStyle name="20% - Accent6 11 34" xfId="2881" xr:uid="{00000000-0005-0000-0000-0000A9090000}"/>
    <cellStyle name="20% - Accent6 11 35" xfId="2882" xr:uid="{00000000-0005-0000-0000-0000AA090000}"/>
    <cellStyle name="20% - Accent6 11 36" xfId="2883" xr:uid="{00000000-0005-0000-0000-0000AB090000}"/>
    <cellStyle name="20% - Accent6 11 37" xfId="2884" xr:uid="{00000000-0005-0000-0000-0000AC090000}"/>
    <cellStyle name="20% - Accent6 11 38" xfId="2885" xr:uid="{00000000-0005-0000-0000-0000AD090000}"/>
    <cellStyle name="20% - Accent6 11 39" xfId="2886" xr:uid="{00000000-0005-0000-0000-0000AE090000}"/>
    <cellStyle name="20% - Accent6 11 4" xfId="2887" xr:uid="{00000000-0005-0000-0000-0000AF090000}"/>
    <cellStyle name="20% - Accent6 11 40" xfId="2888" xr:uid="{00000000-0005-0000-0000-0000B0090000}"/>
    <cellStyle name="20% - Accent6 11 41" xfId="2889" xr:uid="{00000000-0005-0000-0000-0000B1090000}"/>
    <cellStyle name="20% - Accent6 11 5" xfId="2890" xr:uid="{00000000-0005-0000-0000-0000B2090000}"/>
    <cellStyle name="20% - Accent6 11 6" xfId="2891" xr:uid="{00000000-0005-0000-0000-0000B3090000}"/>
    <cellStyle name="20% - Accent6 11 7" xfId="2892" xr:uid="{00000000-0005-0000-0000-0000B4090000}"/>
    <cellStyle name="20% - Accent6 11 8" xfId="2893" xr:uid="{00000000-0005-0000-0000-0000B5090000}"/>
    <cellStyle name="20% - Accent6 11 9" xfId="2894" xr:uid="{00000000-0005-0000-0000-0000B6090000}"/>
    <cellStyle name="20% - Accent6 12" xfId="2895" xr:uid="{00000000-0005-0000-0000-0000B7090000}"/>
    <cellStyle name="20% - Accent6 12 10" xfId="2896" xr:uid="{00000000-0005-0000-0000-0000B8090000}"/>
    <cellStyle name="20% - Accent6 12 11" xfId="2897" xr:uid="{00000000-0005-0000-0000-0000B9090000}"/>
    <cellStyle name="20% - Accent6 12 12" xfId="2898" xr:uid="{00000000-0005-0000-0000-0000BA090000}"/>
    <cellStyle name="20% - Accent6 12 13" xfId="2899" xr:uid="{00000000-0005-0000-0000-0000BB090000}"/>
    <cellStyle name="20% - Accent6 12 14" xfId="2900" xr:uid="{00000000-0005-0000-0000-0000BC090000}"/>
    <cellStyle name="20% - Accent6 12 15" xfId="2901" xr:uid="{00000000-0005-0000-0000-0000BD090000}"/>
    <cellStyle name="20% - Accent6 12 16" xfId="2902" xr:uid="{00000000-0005-0000-0000-0000BE090000}"/>
    <cellStyle name="20% - Accent6 12 17" xfId="2903" xr:uid="{00000000-0005-0000-0000-0000BF090000}"/>
    <cellStyle name="20% - Accent6 12 18" xfId="2904" xr:uid="{00000000-0005-0000-0000-0000C0090000}"/>
    <cellStyle name="20% - Accent6 12 19" xfId="2905" xr:uid="{00000000-0005-0000-0000-0000C1090000}"/>
    <cellStyle name="20% - Accent6 12 2" xfId="2906" xr:uid="{00000000-0005-0000-0000-0000C2090000}"/>
    <cellStyle name="20% - Accent6 12 20" xfId="2907" xr:uid="{00000000-0005-0000-0000-0000C3090000}"/>
    <cellStyle name="20% - Accent6 12 21" xfId="2908" xr:uid="{00000000-0005-0000-0000-0000C4090000}"/>
    <cellStyle name="20% - Accent6 12 22" xfId="2909" xr:uid="{00000000-0005-0000-0000-0000C5090000}"/>
    <cellStyle name="20% - Accent6 12 23" xfId="2910" xr:uid="{00000000-0005-0000-0000-0000C6090000}"/>
    <cellStyle name="20% - Accent6 12 24" xfId="2911" xr:uid="{00000000-0005-0000-0000-0000C7090000}"/>
    <cellStyle name="20% - Accent6 12 25" xfId="2912" xr:uid="{00000000-0005-0000-0000-0000C8090000}"/>
    <cellStyle name="20% - Accent6 12 26" xfId="2913" xr:uid="{00000000-0005-0000-0000-0000C9090000}"/>
    <cellStyle name="20% - Accent6 12 27" xfId="2914" xr:uid="{00000000-0005-0000-0000-0000CA090000}"/>
    <cellStyle name="20% - Accent6 12 28" xfId="2915" xr:uid="{00000000-0005-0000-0000-0000CB090000}"/>
    <cellStyle name="20% - Accent6 12 29" xfId="2916" xr:uid="{00000000-0005-0000-0000-0000CC090000}"/>
    <cellStyle name="20% - Accent6 12 3" xfId="2917" xr:uid="{00000000-0005-0000-0000-0000CD090000}"/>
    <cellStyle name="20% - Accent6 12 30" xfId="2918" xr:uid="{00000000-0005-0000-0000-0000CE090000}"/>
    <cellStyle name="20% - Accent6 12 31" xfId="2919" xr:uid="{00000000-0005-0000-0000-0000CF090000}"/>
    <cellStyle name="20% - Accent6 12 32" xfId="2920" xr:uid="{00000000-0005-0000-0000-0000D0090000}"/>
    <cellStyle name="20% - Accent6 12 33" xfId="2921" xr:uid="{00000000-0005-0000-0000-0000D1090000}"/>
    <cellStyle name="20% - Accent6 12 34" xfId="2922" xr:uid="{00000000-0005-0000-0000-0000D2090000}"/>
    <cellStyle name="20% - Accent6 12 35" xfId="2923" xr:uid="{00000000-0005-0000-0000-0000D3090000}"/>
    <cellStyle name="20% - Accent6 12 36" xfId="2924" xr:uid="{00000000-0005-0000-0000-0000D4090000}"/>
    <cellStyle name="20% - Accent6 12 37" xfId="2925" xr:uid="{00000000-0005-0000-0000-0000D5090000}"/>
    <cellStyle name="20% - Accent6 12 38" xfId="2926" xr:uid="{00000000-0005-0000-0000-0000D6090000}"/>
    <cellStyle name="20% - Accent6 12 39" xfId="2927" xr:uid="{00000000-0005-0000-0000-0000D7090000}"/>
    <cellStyle name="20% - Accent6 12 4" xfId="2928" xr:uid="{00000000-0005-0000-0000-0000D8090000}"/>
    <cellStyle name="20% - Accent6 12 40" xfId="2929" xr:uid="{00000000-0005-0000-0000-0000D9090000}"/>
    <cellStyle name="20% - Accent6 12 41" xfId="2930" xr:uid="{00000000-0005-0000-0000-0000DA090000}"/>
    <cellStyle name="20% - Accent6 12 5" xfId="2931" xr:uid="{00000000-0005-0000-0000-0000DB090000}"/>
    <cellStyle name="20% - Accent6 12 6" xfId="2932" xr:uid="{00000000-0005-0000-0000-0000DC090000}"/>
    <cellStyle name="20% - Accent6 12 7" xfId="2933" xr:uid="{00000000-0005-0000-0000-0000DD090000}"/>
    <cellStyle name="20% - Accent6 12 8" xfId="2934" xr:uid="{00000000-0005-0000-0000-0000DE090000}"/>
    <cellStyle name="20% - Accent6 12 9" xfId="2935" xr:uid="{00000000-0005-0000-0000-0000DF090000}"/>
    <cellStyle name="20% - Accent6 13" xfId="2936" xr:uid="{00000000-0005-0000-0000-0000E0090000}"/>
    <cellStyle name="20% - Accent6 14" xfId="2937" xr:uid="{00000000-0005-0000-0000-0000E1090000}"/>
    <cellStyle name="20% - Accent6 14 2" xfId="2938" xr:uid="{00000000-0005-0000-0000-0000E2090000}"/>
    <cellStyle name="20% - Accent6 15" xfId="2939" xr:uid="{00000000-0005-0000-0000-0000E3090000}"/>
    <cellStyle name="20% - Accent6 2" xfId="27" xr:uid="{00000000-0005-0000-0000-0000E4090000}"/>
    <cellStyle name="20% - Accent6 2 10" xfId="2940" xr:uid="{00000000-0005-0000-0000-0000E5090000}"/>
    <cellStyle name="20% - Accent6 2 11" xfId="2941" xr:uid="{00000000-0005-0000-0000-0000E6090000}"/>
    <cellStyle name="20% - Accent6 2 12" xfId="2942" xr:uid="{00000000-0005-0000-0000-0000E7090000}"/>
    <cellStyle name="20% - Accent6 2 13" xfId="2943" xr:uid="{00000000-0005-0000-0000-0000E8090000}"/>
    <cellStyle name="20% - Accent6 2 14" xfId="2944" xr:uid="{00000000-0005-0000-0000-0000E9090000}"/>
    <cellStyle name="20% - Accent6 2 15" xfId="2945" xr:uid="{00000000-0005-0000-0000-0000EA090000}"/>
    <cellStyle name="20% - Accent6 2 16" xfId="2946" xr:uid="{00000000-0005-0000-0000-0000EB090000}"/>
    <cellStyle name="20% - Accent6 2 17" xfId="2947" xr:uid="{00000000-0005-0000-0000-0000EC090000}"/>
    <cellStyle name="20% - Accent6 2 18" xfId="2948" xr:uid="{00000000-0005-0000-0000-0000ED090000}"/>
    <cellStyle name="20% - Accent6 2 19" xfId="2949" xr:uid="{00000000-0005-0000-0000-0000EE090000}"/>
    <cellStyle name="20% - Accent6 2 2" xfId="344" xr:uid="{00000000-0005-0000-0000-0000EF090000}"/>
    <cellStyle name="20% - Accent6 2 2 2" xfId="2950" xr:uid="{00000000-0005-0000-0000-0000F0090000}"/>
    <cellStyle name="20% - Accent6 2 2 2 2" xfId="2951" xr:uid="{00000000-0005-0000-0000-0000F1090000}"/>
    <cellStyle name="20% - Accent6 2 2 3" xfId="2952" xr:uid="{00000000-0005-0000-0000-0000F2090000}"/>
    <cellStyle name="20% - Accent6 2 2 4" xfId="2953" xr:uid="{00000000-0005-0000-0000-0000F3090000}"/>
    <cellStyle name="20% - Accent6 2 2 5" xfId="2954" xr:uid="{00000000-0005-0000-0000-0000F4090000}"/>
    <cellStyle name="20% - Accent6 2 20" xfId="2955" xr:uid="{00000000-0005-0000-0000-0000F5090000}"/>
    <cellStyle name="20% - Accent6 2 21" xfId="2956" xr:uid="{00000000-0005-0000-0000-0000F6090000}"/>
    <cellStyle name="20% - Accent6 2 22" xfId="2957" xr:uid="{00000000-0005-0000-0000-0000F7090000}"/>
    <cellStyle name="20% - Accent6 2 23" xfId="2958" xr:uid="{00000000-0005-0000-0000-0000F8090000}"/>
    <cellStyle name="20% - Accent6 2 24" xfId="2959" xr:uid="{00000000-0005-0000-0000-0000F9090000}"/>
    <cellStyle name="20% - Accent6 2 25" xfId="2960" xr:uid="{00000000-0005-0000-0000-0000FA090000}"/>
    <cellStyle name="20% - Accent6 2 26" xfId="2961" xr:uid="{00000000-0005-0000-0000-0000FB090000}"/>
    <cellStyle name="20% - Accent6 2 27" xfId="2962" xr:uid="{00000000-0005-0000-0000-0000FC090000}"/>
    <cellStyle name="20% - Accent6 2 28" xfId="2963" xr:uid="{00000000-0005-0000-0000-0000FD090000}"/>
    <cellStyle name="20% - Accent6 2 29" xfId="2964" xr:uid="{00000000-0005-0000-0000-0000FE090000}"/>
    <cellStyle name="20% - Accent6 2 3" xfId="343" xr:uid="{00000000-0005-0000-0000-0000FF090000}"/>
    <cellStyle name="20% - Accent6 2 3 2" xfId="2966" xr:uid="{00000000-0005-0000-0000-0000000A0000}"/>
    <cellStyle name="20% - Accent6 2 3 3" xfId="2967" xr:uid="{00000000-0005-0000-0000-0000010A0000}"/>
    <cellStyle name="20% - Accent6 2 3 4" xfId="2968" xr:uid="{00000000-0005-0000-0000-0000020A0000}"/>
    <cellStyle name="20% - Accent6 2 3 5" xfId="2969" xr:uid="{00000000-0005-0000-0000-0000030A0000}"/>
    <cellStyle name="20% - Accent6 2 3 6" xfId="2970" xr:uid="{00000000-0005-0000-0000-0000040A0000}"/>
    <cellStyle name="20% - Accent6 2 3 7" xfId="2965" xr:uid="{00000000-0005-0000-0000-0000050A0000}"/>
    <cellStyle name="20% - Accent6 2 30" xfId="2971" xr:uid="{00000000-0005-0000-0000-0000060A0000}"/>
    <cellStyle name="20% - Accent6 2 31" xfId="2972" xr:uid="{00000000-0005-0000-0000-0000070A0000}"/>
    <cellStyle name="20% - Accent6 2 32" xfId="2973" xr:uid="{00000000-0005-0000-0000-0000080A0000}"/>
    <cellStyle name="20% - Accent6 2 33" xfId="2974" xr:uid="{00000000-0005-0000-0000-0000090A0000}"/>
    <cellStyle name="20% - Accent6 2 34" xfId="2975" xr:uid="{00000000-0005-0000-0000-00000A0A0000}"/>
    <cellStyle name="20% - Accent6 2 35" xfId="2976" xr:uid="{00000000-0005-0000-0000-00000B0A0000}"/>
    <cellStyle name="20% - Accent6 2 36" xfId="2977" xr:uid="{00000000-0005-0000-0000-00000C0A0000}"/>
    <cellStyle name="20% - Accent6 2 37" xfId="2978" xr:uid="{00000000-0005-0000-0000-00000D0A0000}"/>
    <cellStyle name="20% - Accent6 2 38" xfId="2979" xr:uid="{00000000-0005-0000-0000-00000E0A0000}"/>
    <cellStyle name="20% - Accent6 2 39" xfId="2980" xr:uid="{00000000-0005-0000-0000-00000F0A0000}"/>
    <cellStyle name="20% - Accent6 2 4" xfId="2981" xr:uid="{00000000-0005-0000-0000-0000100A0000}"/>
    <cellStyle name="20% - Accent6 2 40" xfId="2982" xr:uid="{00000000-0005-0000-0000-0000110A0000}"/>
    <cellStyle name="20% - Accent6 2 41" xfId="2983" xr:uid="{00000000-0005-0000-0000-0000120A0000}"/>
    <cellStyle name="20% - Accent6 2 42" xfId="2984" xr:uid="{00000000-0005-0000-0000-0000130A0000}"/>
    <cellStyle name="20% - Accent6 2 43" xfId="2985" xr:uid="{00000000-0005-0000-0000-0000140A0000}"/>
    <cellStyle name="20% - Accent6 2 44" xfId="2986" xr:uid="{00000000-0005-0000-0000-0000150A0000}"/>
    <cellStyle name="20% - Accent6 2 45" xfId="2987" xr:uid="{00000000-0005-0000-0000-0000160A0000}"/>
    <cellStyle name="20% - Accent6 2 5" xfId="2988" xr:uid="{00000000-0005-0000-0000-0000170A0000}"/>
    <cellStyle name="20% - Accent6 2 6" xfId="2989" xr:uid="{00000000-0005-0000-0000-0000180A0000}"/>
    <cellStyle name="20% - Accent6 2 7" xfId="2990" xr:uid="{00000000-0005-0000-0000-0000190A0000}"/>
    <cellStyle name="20% - Accent6 2 8" xfId="2991" xr:uid="{00000000-0005-0000-0000-00001A0A0000}"/>
    <cellStyle name="20% - Accent6 2 9" xfId="2992" xr:uid="{00000000-0005-0000-0000-00001B0A0000}"/>
    <cellStyle name="20% - Accent6 2_SNL_BankReg_UBPR_v1_CustomPeers" xfId="2993" xr:uid="{00000000-0005-0000-0000-00001C0A0000}"/>
    <cellStyle name="20% - Accent6 3" xfId="342" xr:uid="{00000000-0005-0000-0000-00001D0A0000}"/>
    <cellStyle name="20% - Accent6 3 10" xfId="2995" xr:uid="{00000000-0005-0000-0000-00001E0A0000}"/>
    <cellStyle name="20% - Accent6 3 11" xfId="2996" xr:uid="{00000000-0005-0000-0000-00001F0A0000}"/>
    <cellStyle name="20% - Accent6 3 12" xfId="2997" xr:uid="{00000000-0005-0000-0000-0000200A0000}"/>
    <cellStyle name="20% - Accent6 3 13" xfId="2998" xr:uid="{00000000-0005-0000-0000-0000210A0000}"/>
    <cellStyle name="20% - Accent6 3 14" xfId="2999" xr:uid="{00000000-0005-0000-0000-0000220A0000}"/>
    <cellStyle name="20% - Accent6 3 15" xfId="3000" xr:uid="{00000000-0005-0000-0000-0000230A0000}"/>
    <cellStyle name="20% - Accent6 3 16" xfId="3001" xr:uid="{00000000-0005-0000-0000-0000240A0000}"/>
    <cellStyle name="20% - Accent6 3 17" xfId="3002" xr:uid="{00000000-0005-0000-0000-0000250A0000}"/>
    <cellStyle name="20% - Accent6 3 18" xfId="3003" xr:uid="{00000000-0005-0000-0000-0000260A0000}"/>
    <cellStyle name="20% - Accent6 3 19" xfId="3004" xr:uid="{00000000-0005-0000-0000-0000270A0000}"/>
    <cellStyle name="20% - Accent6 3 2" xfId="3005" xr:uid="{00000000-0005-0000-0000-0000280A0000}"/>
    <cellStyle name="20% - Accent6 3 20" xfId="3006" xr:uid="{00000000-0005-0000-0000-0000290A0000}"/>
    <cellStyle name="20% - Accent6 3 21" xfId="3007" xr:uid="{00000000-0005-0000-0000-00002A0A0000}"/>
    <cellStyle name="20% - Accent6 3 22" xfId="3008" xr:uid="{00000000-0005-0000-0000-00002B0A0000}"/>
    <cellStyle name="20% - Accent6 3 23" xfId="3009" xr:uid="{00000000-0005-0000-0000-00002C0A0000}"/>
    <cellStyle name="20% - Accent6 3 24" xfId="3010" xr:uid="{00000000-0005-0000-0000-00002D0A0000}"/>
    <cellStyle name="20% - Accent6 3 25" xfId="3011" xr:uid="{00000000-0005-0000-0000-00002E0A0000}"/>
    <cellStyle name="20% - Accent6 3 26" xfId="3012" xr:uid="{00000000-0005-0000-0000-00002F0A0000}"/>
    <cellStyle name="20% - Accent6 3 27" xfId="3013" xr:uid="{00000000-0005-0000-0000-0000300A0000}"/>
    <cellStyle name="20% - Accent6 3 28" xfId="3014" xr:uid="{00000000-0005-0000-0000-0000310A0000}"/>
    <cellStyle name="20% - Accent6 3 29" xfId="3015" xr:uid="{00000000-0005-0000-0000-0000320A0000}"/>
    <cellStyle name="20% - Accent6 3 3" xfId="3016" xr:uid="{00000000-0005-0000-0000-0000330A0000}"/>
    <cellStyle name="20% - Accent6 3 30" xfId="3017" xr:uid="{00000000-0005-0000-0000-0000340A0000}"/>
    <cellStyle name="20% - Accent6 3 31" xfId="3018" xr:uid="{00000000-0005-0000-0000-0000350A0000}"/>
    <cellStyle name="20% - Accent6 3 32" xfId="3019" xr:uid="{00000000-0005-0000-0000-0000360A0000}"/>
    <cellStyle name="20% - Accent6 3 33" xfId="3020" xr:uid="{00000000-0005-0000-0000-0000370A0000}"/>
    <cellStyle name="20% - Accent6 3 34" xfId="3021" xr:uid="{00000000-0005-0000-0000-0000380A0000}"/>
    <cellStyle name="20% - Accent6 3 35" xfId="3022" xr:uid="{00000000-0005-0000-0000-0000390A0000}"/>
    <cellStyle name="20% - Accent6 3 36" xfId="3023" xr:uid="{00000000-0005-0000-0000-00003A0A0000}"/>
    <cellStyle name="20% - Accent6 3 37" xfId="3024" xr:uid="{00000000-0005-0000-0000-00003B0A0000}"/>
    <cellStyle name="20% - Accent6 3 38" xfId="3025" xr:uid="{00000000-0005-0000-0000-00003C0A0000}"/>
    <cellStyle name="20% - Accent6 3 39" xfId="3026" xr:uid="{00000000-0005-0000-0000-00003D0A0000}"/>
    <cellStyle name="20% - Accent6 3 4" xfId="3027" xr:uid="{00000000-0005-0000-0000-00003E0A0000}"/>
    <cellStyle name="20% - Accent6 3 40" xfId="3028" xr:uid="{00000000-0005-0000-0000-00003F0A0000}"/>
    <cellStyle name="20% - Accent6 3 41" xfId="3029" xr:uid="{00000000-0005-0000-0000-0000400A0000}"/>
    <cellStyle name="20% - Accent6 3 42" xfId="3030" xr:uid="{00000000-0005-0000-0000-0000410A0000}"/>
    <cellStyle name="20% - Accent6 3 43" xfId="3031" xr:uid="{00000000-0005-0000-0000-0000420A0000}"/>
    <cellStyle name="20% - Accent6 3 44" xfId="3032" xr:uid="{00000000-0005-0000-0000-0000430A0000}"/>
    <cellStyle name="20% - Accent6 3 45" xfId="3033" xr:uid="{00000000-0005-0000-0000-0000440A0000}"/>
    <cellStyle name="20% - Accent6 3 46" xfId="2994" xr:uid="{00000000-0005-0000-0000-0000450A0000}"/>
    <cellStyle name="20% - Accent6 3 5" xfId="3034" xr:uid="{00000000-0005-0000-0000-0000460A0000}"/>
    <cellStyle name="20% - Accent6 3 6" xfId="3035" xr:uid="{00000000-0005-0000-0000-0000470A0000}"/>
    <cellStyle name="20% - Accent6 3 7" xfId="3036" xr:uid="{00000000-0005-0000-0000-0000480A0000}"/>
    <cellStyle name="20% - Accent6 3 8" xfId="3037" xr:uid="{00000000-0005-0000-0000-0000490A0000}"/>
    <cellStyle name="20% - Accent6 3 9" xfId="3038" xr:uid="{00000000-0005-0000-0000-00004A0A0000}"/>
    <cellStyle name="20% - Accent6 4" xfId="3039" xr:uid="{00000000-0005-0000-0000-00004B0A0000}"/>
    <cellStyle name="20% - Accent6 4 10" xfId="3040" xr:uid="{00000000-0005-0000-0000-00004C0A0000}"/>
    <cellStyle name="20% - Accent6 4 11" xfId="3041" xr:uid="{00000000-0005-0000-0000-00004D0A0000}"/>
    <cellStyle name="20% - Accent6 4 12" xfId="3042" xr:uid="{00000000-0005-0000-0000-00004E0A0000}"/>
    <cellStyle name="20% - Accent6 4 13" xfId="3043" xr:uid="{00000000-0005-0000-0000-00004F0A0000}"/>
    <cellStyle name="20% - Accent6 4 14" xfId="3044" xr:uid="{00000000-0005-0000-0000-0000500A0000}"/>
    <cellStyle name="20% - Accent6 4 15" xfId="3045" xr:uid="{00000000-0005-0000-0000-0000510A0000}"/>
    <cellStyle name="20% - Accent6 4 16" xfId="3046" xr:uid="{00000000-0005-0000-0000-0000520A0000}"/>
    <cellStyle name="20% - Accent6 4 17" xfId="3047" xr:uid="{00000000-0005-0000-0000-0000530A0000}"/>
    <cellStyle name="20% - Accent6 4 18" xfId="3048" xr:uid="{00000000-0005-0000-0000-0000540A0000}"/>
    <cellStyle name="20% - Accent6 4 19" xfId="3049" xr:uid="{00000000-0005-0000-0000-0000550A0000}"/>
    <cellStyle name="20% - Accent6 4 2" xfId="3050" xr:uid="{00000000-0005-0000-0000-0000560A0000}"/>
    <cellStyle name="20% - Accent6 4 20" xfId="3051" xr:uid="{00000000-0005-0000-0000-0000570A0000}"/>
    <cellStyle name="20% - Accent6 4 21" xfId="3052" xr:uid="{00000000-0005-0000-0000-0000580A0000}"/>
    <cellStyle name="20% - Accent6 4 22" xfId="3053" xr:uid="{00000000-0005-0000-0000-0000590A0000}"/>
    <cellStyle name="20% - Accent6 4 23" xfId="3054" xr:uid="{00000000-0005-0000-0000-00005A0A0000}"/>
    <cellStyle name="20% - Accent6 4 24" xfId="3055" xr:uid="{00000000-0005-0000-0000-00005B0A0000}"/>
    <cellStyle name="20% - Accent6 4 25" xfId="3056" xr:uid="{00000000-0005-0000-0000-00005C0A0000}"/>
    <cellStyle name="20% - Accent6 4 26" xfId="3057" xr:uid="{00000000-0005-0000-0000-00005D0A0000}"/>
    <cellStyle name="20% - Accent6 4 27" xfId="3058" xr:uid="{00000000-0005-0000-0000-00005E0A0000}"/>
    <cellStyle name="20% - Accent6 4 28" xfId="3059" xr:uid="{00000000-0005-0000-0000-00005F0A0000}"/>
    <cellStyle name="20% - Accent6 4 29" xfId="3060" xr:uid="{00000000-0005-0000-0000-0000600A0000}"/>
    <cellStyle name="20% - Accent6 4 3" xfId="3061" xr:uid="{00000000-0005-0000-0000-0000610A0000}"/>
    <cellStyle name="20% - Accent6 4 30" xfId="3062" xr:uid="{00000000-0005-0000-0000-0000620A0000}"/>
    <cellStyle name="20% - Accent6 4 31" xfId="3063" xr:uid="{00000000-0005-0000-0000-0000630A0000}"/>
    <cellStyle name="20% - Accent6 4 32" xfId="3064" xr:uid="{00000000-0005-0000-0000-0000640A0000}"/>
    <cellStyle name="20% - Accent6 4 33" xfId="3065" xr:uid="{00000000-0005-0000-0000-0000650A0000}"/>
    <cellStyle name="20% - Accent6 4 34" xfId="3066" xr:uid="{00000000-0005-0000-0000-0000660A0000}"/>
    <cellStyle name="20% - Accent6 4 35" xfId="3067" xr:uid="{00000000-0005-0000-0000-0000670A0000}"/>
    <cellStyle name="20% - Accent6 4 36" xfId="3068" xr:uid="{00000000-0005-0000-0000-0000680A0000}"/>
    <cellStyle name="20% - Accent6 4 37" xfId="3069" xr:uid="{00000000-0005-0000-0000-0000690A0000}"/>
    <cellStyle name="20% - Accent6 4 38" xfId="3070" xr:uid="{00000000-0005-0000-0000-00006A0A0000}"/>
    <cellStyle name="20% - Accent6 4 39" xfId="3071" xr:uid="{00000000-0005-0000-0000-00006B0A0000}"/>
    <cellStyle name="20% - Accent6 4 4" xfId="3072" xr:uid="{00000000-0005-0000-0000-00006C0A0000}"/>
    <cellStyle name="20% - Accent6 4 40" xfId="3073" xr:uid="{00000000-0005-0000-0000-00006D0A0000}"/>
    <cellStyle name="20% - Accent6 4 41" xfId="3074" xr:uid="{00000000-0005-0000-0000-00006E0A0000}"/>
    <cellStyle name="20% - Accent6 4 5" xfId="3075" xr:uid="{00000000-0005-0000-0000-00006F0A0000}"/>
    <cellStyle name="20% - Accent6 4 6" xfId="3076" xr:uid="{00000000-0005-0000-0000-0000700A0000}"/>
    <cellStyle name="20% - Accent6 4 7" xfId="3077" xr:uid="{00000000-0005-0000-0000-0000710A0000}"/>
    <cellStyle name="20% - Accent6 4 8" xfId="3078" xr:uid="{00000000-0005-0000-0000-0000720A0000}"/>
    <cellStyle name="20% - Accent6 4 9" xfId="3079" xr:uid="{00000000-0005-0000-0000-0000730A0000}"/>
    <cellStyle name="20% - Accent6 5" xfId="3080" xr:uid="{00000000-0005-0000-0000-0000740A0000}"/>
    <cellStyle name="20% - Accent6 5 10" xfId="3081" xr:uid="{00000000-0005-0000-0000-0000750A0000}"/>
    <cellStyle name="20% - Accent6 5 11" xfId="3082" xr:uid="{00000000-0005-0000-0000-0000760A0000}"/>
    <cellStyle name="20% - Accent6 5 12" xfId="3083" xr:uid="{00000000-0005-0000-0000-0000770A0000}"/>
    <cellStyle name="20% - Accent6 5 13" xfId="3084" xr:uid="{00000000-0005-0000-0000-0000780A0000}"/>
    <cellStyle name="20% - Accent6 5 14" xfId="3085" xr:uid="{00000000-0005-0000-0000-0000790A0000}"/>
    <cellStyle name="20% - Accent6 5 15" xfId="3086" xr:uid="{00000000-0005-0000-0000-00007A0A0000}"/>
    <cellStyle name="20% - Accent6 5 16" xfId="3087" xr:uid="{00000000-0005-0000-0000-00007B0A0000}"/>
    <cellStyle name="20% - Accent6 5 17" xfId="3088" xr:uid="{00000000-0005-0000-0000-00007C0A0000}"/>
    <cellStyle name="20% - Accent6 5 18" xfId="3089" xr:uid="{00000000-0005-0000-0000-00007D0A0000}"/>
    <cellStyle name="20% - Accent6 5 19" xfId="3090" xr:uid="{00000000-0005-0000-0000-00007E0A0000}"/>
    <cellStyle name="20% - Accent6 5 2" xfId="3091" xr:uid="{00000000-0005-0000-0000-00007F0A0000}"/>
    <cellStyle name="20% - Accent6 5 20" xfId="3092" xr:uid="{00000000-0005-0000-0000-0000800A0000}"/>
    <cellStyle name="20% - Accent6 5 21" xfId="3093" xr:uid="{00000000-0005-0000-0000-0000810A0000}"/>
    <cellStyle name="20% - Accent6 5 22" xfId="3094" xr:uid="{00000000-0005-0000-0000-0000820A0000}"/>
    <cellStyle name="20% - Accent6 5 23" xfId="3095" xr:uid="{00000000-0005-0000-0000-0000830A0000}"/>
    <cellStyle name="20% - Accent6 5 24" xfId="3096" xr:uid="{00000000-0005-0000-0000-0000840A0000}"/>
    <cellStyle name="20% - Accent6 5 25" xfId="3097" xr:uid="{00000000-0005-0000-0000-0000850A0000}"/>
    <cellStyle name="20% - Accent6 5 26" xfId="3098" xr:uid="{00000000-0005-0000-0000-0000860A0000}"/>
    <cellStyle name="20% - Accent6 5 27" xfId="3099" xr:uid="{00000000-0005-0000-0000-0000870A0000}"/>
    <cellStyle name="20% - Accent6 5 28" xfId="3100" xr:uid="{00000000-0005-0000-0000-0000880A0000}"/>
    <cellStyle name="20% - Accent6 5 29" xfId="3101" xr:uid="{00000000-0005-0000-0000-0000890A0000}"/>
    <cellStyle name="20% - Accent6 5 3" xfId="3102" xr:uid="{00000000-0005-0000-0000-00008A0A0000}"/>
    <cellStyle name="20% - Accent6 5 30" xfId="3103" xr:uid="{00000000-0005-0000-0000-00008B0A0000}"/>
    <cellStyle name="20% - Accent6 5 31" xfId="3104" xr:uid="{00000000-0005-0000-0000-00008C0A0000}"/>
    <cellStyle name="20% - Accent6 5 32" xfId="3105" xr:uid="{00000000-0005-0000-0000-00008D0A0000}"/>
    <cellStyle name="20% - Accent6 5 33" xfId="3106" xr:uid="{00000000-0005-0000-0000-00008E0A0000}"/>
    <cellStyle name="20% - Accent6 5 34" xfId="3107" xr:uid="{00000000-0005-0000-0000-00008F0A0000}"/>
    <cellStyle name="20% - Accent6 5 35" xfId="3108" xr:uid="{00000000-0005-0000-0000-0000900A0000}"/>
    <cellStyle name="20% - Accent6 5 36" xfId="3109" xr:uid="{00000000-0005-0000-0000-0000910A0000}"/>
    <cellStyle name="20% - Accent6 5 37" xfId="3110" xr:uid="{00000000-0005-0000-0000-0000920A0000}"/>
    <cellStyle name="20% - Accent6 5 38" xfId="3111" xr:uid="{00000000-0005-0000-0000-0000930A0000}"/>
    <cellStyle name="20% - Accent6 5 39" xfId="3112" xr:uid="{00000000-0005-0000-0000-0000940A0000}"/>
    <cellStyle name="20% - Accent6 5 4" xfId="3113" xr:uid="{00000000-0005-0000-0000-0000950A0000}"/>
    <cellStyle name="20% - Accent6 5 40" xfId="3114" xr:uid="{00000000-0005-0000-0000-0000960A0000}"/>
    <cellStyle name="20% - Accent6 5 41" xfId="3115" xr:uid="{00000000-0005-0000-0000-0000970A0000}"/>
    <cellStyle name="20% - Accent6 5 5" xfId="3116" xr:uid="{00000000-0005-0000-0000-0000980A0000}"/>
    <cellStyle name="20% - Accent6 5 6" xfId="3117" xr:uid="{00000000-0005-0000-0000-0000990A0000}"/>
    <cellStyle name="20% - Accent6 5 7" xfId="3118" xr:uid="{00000000-0005-0000-0000-00009A0A0000}"/>
    <cellStyle name="20% - Accent6 5 8" xfId="3119" xr:uid="{00000000-0005-0000-0000-00009B0A0000}"/>
    <cellStyle name="20% - Accent6 5 9" xfId="3120" xr:uid="{00000000-0005-0000-0000-00009C0A0000}"/>
    <cellStyle name="20% - Accent6 6" xfId="3121" xr:uid="{00000000-0005-0000-0000-00009D0A0000}"/>
    <cellStyle name="20% - Accent6 6 10" xfId="3122" xr:uid="{00000000-0005-0000-0000-00009E0A0000}"/>
    <cellStyle name="20% - Accent6 6 11" xfId="3123" xr:uid="{00000000-0005-0000-0000-00009F0A0000}"/>
    <cellStyle name="20% - Accent6 6 12" xfId="3124" xr:uid="{00000000-0005-0000-0000-0000A00A0000}"/>
    <cellStyle name="20% - Accent6 6 13" xfId="3125" xr:uid="{00000000-0005-0000-0000-0000A10A0000}"/>
    <cellStyle name="20% - Accent6 6 14" xfId="3126" xr:uid="{00000000-0005-0000-0000-0000A20A0000}"/>
    <cellStyle name="20% - Accent6 6 15" xfId="3127" xr:uid="{00000000-0005-0000-0000-0000A30A0000}"/>
    <cellStyle name="20% - Accent6 6 16" xfId="3128" xr:uid="{00000000-0005-0000-0000-0000A40A0000}"/>
    <cellStyle name="20% - Accent6 6 17" xfId="3129" xr:uid="{00000000-0005-0000-0000-0000A50A0000}"/>
    <cellStyle name="20% - Accent6 6 18" xfId="3130" xr:uid="{00000000-0005-0000-0000-0000A60A0000}"/>
    <cellStyle name="20% - Accent6 6 19" xfId="3131" xr:uid="{00000000-0005-0000-0000-0000A70A0000}"/>
    <cellStyle name="20% - Accent6 6 2" xfId="3132" xr:uid="{00000000-0005-0000-0000-0000A80A0000}"/>
    <cellStyle name="20% - Accent6 6 20" xfId="3133" xr:uid="{00000000-0005-0000-0000-0000A90A0000}"/>
    <cellStyle name="20% - Accent6 6 21" xfId="3134" xr:uid="{00000000-0005-0000-0000-0000AA0A0000}"/>
    <cellStyle name="20% - Accent6 6 22" xfId="3135" xr:uid="{00000000-0005-0000-0000-0000AB0A0000}"/>
    <cellStyle name="20% - Accent6 6 23" xfId="3136" xr:uid="{00000000-0005-0000-0000-0000AC0A0000}"/>
    <cellStyle name="20% - Accent6 6 24" xfId="3137" xr:uid="{00000000-0005-0000-0000-0000AD0A0000}"/>
    <cellStyle name="20% - Accent6 6 25" xfId="3138" xr:uid="{00000000-0005-0000-0000-0000AE0A0000}"/>
    <cellStyle name="20% - Accent6 6 26" xfId="3139" xr:uid="{00000000-0005-0000-0000-0000AF0A0000}"/>
    <cellStyle name="20% - Accent6 6 27" xfId="3140" xr:uid="{00000000-0005-0000-0000-0000B00A0000}"/>
    <cellStyle name="20% - Accent6 6 28" xfId="3141" xr:uid="{00000000-0005-0000-0000-0000B10A0000}"/>
    <cellStyle name="20% - Accent6 6 29" xfId="3142" xr:uid="{00000000-0005-0000-0000-0000B20A0000}"/>
    <cellStyle name="20% - Accent6 6 3" xfId="3143" xr:uid="{00000000-0005-0000-0000-0000B30A0000}"/>
    <cellStyle name="20% - Accent6 6 30" xfId="3144" xr:uid="{00000000-0005-0000-0000-0000B40A0000}"/>
    <cellStyle name="20% - Accent6 6 31" xfId="3145" xr:uid="{00000000-0005-0000-0000-0000B50A0000}"/>
    <cellStyle name="20% - Accent6 6 32" xfId="3146" xr:uid="{00000000-0005-0000-0000-0000B60A0000}"/>
    <cellStyle name="20% - Accent6 6 33" xfId="3147" xr:uid="{00000000-0005-0000-0000-0000B70A0000}"/>
    <cellStyle name="20% - Accent6 6 34" xfId="3148" xr:uid="{00000000-0005-0000-0000-0000B80A0000}"/>
    <cellStyle name="20% - Accent6 6 35" xfId="3149" xr:uid="{00000000-0005-0000-0000-0000B90A0000}"/>
    <cellStyle name="20% - Accent6 6 36" xfId="3150" xr:uid="{00000000-0005-0000-0000-0000BA0A0000}"/>
    <cellStyle name="20% - Accent6 6 37" xfId="3151" xr:uid="{00000000-0005-0000-0000-0000BB0A0000}"/>
    <cellStyle name="20% - Accent6 6 38" xfId="3152" xr:uid="{00000000-0005-0000-0000-0000BC0A0000}"/>
    <cellStyle name="20% - Accent6 6 39" xfId="3153" xr:uid="{00000000-0005-0000-0000-0000BD0A0000}"/>
    <cellStyle name="20% - Accent6 6 4" xfId="3154" xr:uid="{00000000-0005-0000-0000-0000BE0A0000}"/>
    <cellStyle name="20% - Accent6 6 40" xfId="3155" xr:uid="{00000000-0005-0000-0000-0000BF0A0000}"/>
    <cellStyle name="20% - Accent6 6 41" xfId="3156" xr:uid="{00000000-0005-0000-0000-0000C00A0000}"/>
    <cellStyle name="20% - Accent6 6 5" xfId="3157" xr:uid="{00000000-0005-0000-0000-0000C10A0000}"/>
    <cellStyle name="20% - Accent6 6 6" xfId="3158" xr:uid="{00000000-0005-0000-0000-0000C20A0000}"/>
    <cellStyle name="20% - Accent6 6 7" xfId="3159" xr:uid="{00000000-0005-0000-0000-0000C30A0000}"/>
    <cellStyle name="20% - Accent6 6 8" xfId="3160" xr:uid="{00000000-0005-0000-0000-0000C40A0000}"/>
    <cellStyle name="20% - Accent6 6 9" xfId="3161" xr:uid="{00000000-0005-0000-0000-0000C50A0000}"/>
    <cellStyle name="20% - Accent6 7" xfId="3162" xr:uid="{00000000-0005-0000-0000-0000C60A0000}"/>
    <cellStyle name="20% - Accent6 7 10" xfId="3163" xr:uid="{00000000-0005-0000-0000-0000C70A0000}"/>
    <cellStyle name="20% - Accent6 7 11" xfId="3164" xr:uid="{00000000-0005-0000-0000-0000C80A0000}"/>
    <cellStyle name="20% - Accent6 7 12" xfId="3165" xr:uid="{00000000-0005-0000-0000-0000C90A0000}"/>
    <cellStyle name="20% - Accent6 7 13" xfId="3166" xr:uid="{00000000-0005-0000-0000-0000CA0A0000}"/>
    <cellStyle name="20% - Accent6 7 14" xfId="3167" xr:uid="{00000000-0005-0000-0000-0000CB0A0000}"/>
    <cellStyle name="20% - Accent6 7 15" xfId="3168" xr:uid="{00000000-0005-0000-0000-0000CC0A0000}"/>
    <cellStyle name="20% - Accent6 7 16" xfId="3169" xr:uid="{00000000-0005-0000-0000-0000CD0A0000}"/>
    <cellStyle name="20% - Accent6 7 17" xfId="3170" xr:uid="{00000000-0005-0000-0000-0000CE0A0000}"/>
    <cellStyle name="20% - Accent6 7 18" xfId="3171" xr:uid="{00000000-0005-0000-0000-0000CF0A0000}"/>
    <cellStyle name="20% - Accent6 7 19" xfId="3172" xr:uid="{00000000-0005-0000-0000-0000D00A0000}"/>
    <cellStyle name="20% - Accent6 7 2" xfId="3173" xr:uid="{00000000-0005-0000-0000-0000D10A0000}"/>
    <cellStyle name="20% - Accent6 7 20" xfId="3174" xr:uid="{00000000-0005-0000-0000-0000D20A0000}"/>
    <cellStyle name="20% - Accent6 7 21" xfId="3175" xr:uid="{00000000-0005-0000-0000-0000D30A0000}"/>
    <cellStyle name="20% - Accent6 7 22" xfId="3176" xr:uid="{00000000-0005-0000-0000-0000D40A0000}"/>
    <cellStyle name="20% - Accent6 7 23" xfId="3177" xr:uid="{00000000-0005-0000-0000-0000D50A0000}"/>
    <cellStyle name="20% - Accent6 7 24" xfId="3178" xr:uid="{00000000-0005-0000-0000-0000D60A0000}"/>
    <cellStyle name="20% - Accent6 7 25" xfId="3179" xr:uid="{00000000-0005-0000-0000-0000D70A0000}"/>
    <cellStyle name="20% - Accent6 7 26" xfId="3180" xr:uid="{00000000-0005-0000-0000-0000D80A0000}"/>
    <cellStyle name="20% - Accent6 7 27" xfId="3181" xr:uid="{00000000-0005-0000-0000-0000D90A0000}"/>
    <cellStyle name="20% - Accent6 7 28" xfId="3182" xr:uid="{00000000-0005-0000-0000-0000DA0A0000}"/>
    <cellStyle name="20% - Accent6 7 29" xfId="3183" xr:uid="{00000000-0005-0000-0000-0000DB0A0000}"/>
    <cellStyle name="20% - Accent6 7 3" xfId="3184" xr:uid="{00000000-0005-0000-0000-0000DC0A0000}"/>
    <cellStyle name="20% - Accent6 7 30" xfId="3185" xr:uid="{00000000-0005-0000-0000-0000DD0A0000}"/>
    <cellStyle name="20% - Accent6 7 31" xfId="3186" xr:uid="{00000000-0005-0000-0000-0000DE0A0000}"/>
    <cellStyle name="20% - Accent6 7 32" xfId="3187" xr:uid="{00000000-0005-0000-0000-0000DF0A0000}"/>
    <cellStyle name="20% - Accent6 7 33" xfId="3188" xr:uid="{00000000-0005-0000-0000-0000E00A0000}"/>
    <cellStyle name="20% - Accent6 7 34" xfId="3189" xr:uid="{00000000-0005-0000-0000-0000E10A0000}"/>
    <cellStyle name="20% - Accent6 7 35" xfId="3190" xr:uid="{00000000-0005-0000-0000-0000E20A0000}"/>
    <cellStyle name="20% - Accent6 7 36" xfId="3191" xr:uid="{00000000-0005-0000-0000-0000E30A0000}"/>
    <cellStyle name="20% - Accent6 7 37" xfId="3192" xr:uid="{00000000-0005-0000-0000-0000E40A0000}"/>
    <cellStyle name="20% - Accent6 7 38" xfId="3193" xr:uid="{00000000-0005-0000-0000-0000E50A0000}"/>
    <cellStyle name="20% - Accent6 7 39" xfId="3194" xr:uid="{00000000-0005-0000-0000-0000E60A0000}"/>
    <cellStyle name="20% - Accent6 7 4" xfId="3195" xr:uid="{00000000-0005-0000-0000-0000E70A0000}"/>
    <cellStyle name="20% - Accent6 7 40" xfId="3196" xr:uid="{00000000-0005-0000-0000-0000E80A0000}"/>
    <cellStyle name="20% - Accent6 7 41" xfId="3197" xr:uid="{00000000-0005-0000-0000-0000E90A0000}"/>
    <cellStyle name="20% - Accent6 7 5" xfId="3198" xr:uid="{00000000-0005-0000-0000-0000EA0A0000}"/>
    <cellStyle name="20% - Accent6 7 6" xfId="3199" xr:uid="{00000000-0005-0000-0000-0000EB0A0000}"/>
    <cellStyle name="20% - Accent6 7 7" xfId="3200" xr:uid="{00000000-0005-0000-0000-0000EC0A0000}"/>
    <cellStyle name="20% - Accent6 7 8" xfId="3201" xr:uid="{00000000-0005-0000-0000-0000ED0A0000}"/>
    <cellStyle name="20% - Accent6 7 9" xfId="3202" xr:uid="{00000000-0005-0000-0000-0000EE0A0000}"/>
    <cellStyle name="20% - Accent6 8" xfId="3203" xr:uid="{00000000-0005-0000-0000-0000EF0A0000}"/>
    <cellStyle name="20% - Accent6 8 10" xfId="3204" xr:uid="{00000000-0005-0000-0000-0000F00A0000}"/>
    <cellStyle name="20% - Accent6 8 11" xfId="3205" xr:uid="{00000000-0005-0000-0000-0000F10A0000}"/>
    <cellStyle name="20% - Accent6 8 12" xfId="3206" xr:uid="{00000000-0005-0000-0000-0000F20A0000}"/>
    <cellStyle name="20% - Accent6 8 13" xfId="3207" xr:uid="{00000000-0005-0000-0000-0000F30A0000}"/>
    <cellStyle name="20% - Accent6 8 14" xfId="3208" xr:uid="{00000000-0005-0000-0000-0000F40A0000}"/>
    <cellStyle name="20% - Accent6 8 15" xfId="3209" xr:uid="{00000000-0005-0000-0000-0000F50A0000}"/>
    <cellStyle name="20% - Accent6 8 16" xfId="3210" xr:uid="{00000000-0005-0000-0000-0000F60A0000}"/>
    <cellStyle name="20% - Accent6 8 17" xfId="3211" xr:uid="{00000000-0005-0000-0000-0000F70A0000}"/>
    <cellStyle name="20% - Accent6 8 18" xfId="3212" xr:uid="{00000000-0005-0000-0000-0000F80A0000}"/>
    <cellStyle name="20% - Accent6 8 19" xfId="3213" xr:uid="{00000000-0005-0000-0000-0000F90A0000}"/>
    <cellStyle name="20% - Accent6 8 2" xfId="3214" xr:uid="{00000000-0005-0000-0000-0000FA0A0000}"/>
    <cellStyle name="20% - Accent6 8 20" xfId="3215" xr:uid="{00000000-0005-0000-0000-0000FB0A0000}"/>
    <cellStyle name="20% - Accent6 8 21" xfId="3216" xr:uid="{00000000-0005-0000-0000-0000FC0A0000}"/>
    <cellStyle name="20% - Accent6 8 22" xfId="3217" xr:uid="{00000000-0005-0000-0000-0000FD0A0000}"/>
    <cellStyle name="20% - Accent6 8 23" xfId="3218" xr:uid="{00000000-0005-0000-0000-0000FE0A0000}"/>
    <cellStyle name="20% - Accent6 8 24" xfId="3219" xr:uid="{00000000-0005-0000-0000-0000FF0A0000}"/>
    <cellStyle name="20% - Accent6 8 25" xfId="3220" xr:uid="{00000000-0005-0000-0000-0000000B0000}"/>
    <cellStyle name="20% - Accent6 8 26" xfId="3221" xr:uid="{00000000-0005-0000-0000-0000010B0000}"/>
    <cellStyle name="20% - Accent6 8 27" xfId="3222" xr:uid="{00000000-0005-0000-0000-0000020B0000}"/>
    <cellStyle name="20% - Accent6 8 28" xfId="3223" xr:uid="{00000000-0005-0000-0000-0000030B0000}"/>
    <cellStyle name="20% - Accent6 8 29" xfId="3224" xr:uid="{00000000-0005-0000-0000-0000040B0000}"/>
    <cellStyle name="20% - Accent6 8 3" xfId="3225" xr:uid="{00000000-0005-0000-0000-0000050B0000}"/>
    <cellStyle name="20% - Accent6 8 30" xfId="3226" xr:uid="{00000000-0005-0000-0000-0000060B0000}"/>
    <cellStyle name="20% - Accent6 8 31" xfId="3227" xr:uid="{00000000-0005-0000-0000-0000070B0000}"/>
    <cellStyle name="20% - Accent6 8 32" xfId="3228" xr:uid="{00000000-0005-0000-0000-0000080B0000}"/>
    <cellStyle name="20% - Accent6 8 33" xfId="3229" xr:uid="{00000000-0005-0000-0000-0000090B0000}"/>
    <cellStyle name="20% - Accent6 8 34" xfId="3230" xr:uid="{00000000-0005-0000-0000-00000A0B0000}"/>
    <cellStyle name="20% - Accent6 8 35" xfId="3231" xr:uid="{00000000-0005-0000-0000-00000B0B0000}"/>
    <cellStyle name="20% - Accent6 8 36" xfId="3232" xr:uid="{00000000-0005-0000-0000-00000C0B0000}"/>
    <cellStyle name="20% - Accent6 8 37" xfId="3233" xr:uid="{00000000-0005-0000-0000-00000D0B0000}"/>
    <cellStyle name="20% - Accent6 8 38" xfId="3234" xr:uid="{00000000-0005-0000-0000-00000E0B0000}"/>
    <cellStyle name="20% - Accent6 8 39" xfId="3235" xr:uid="{00000000-0005-0000-0000-00000F0B0000}"/>
    <cellStyle name="20% - Accent6 8 4" xfId="3236" xr:uid="{00000000-0005-0000-0000-0000100B0000}"/>
    <cellStyle name="20% - Accent6 8 40" xfId="3237" xr:uid="{00000000-0005-0000-0000-0000110B0000}"/>
    <cellStyle name="20% - Accent6 8 41" xfId="3238" xr:uid="{00000000-0005-0000-0000-0000120B0000}"/>
    <cellStyle name="20% - Accent6 8 5" xfId="3239" xr:uid="{00000000-0005-0000-0000-0000130B0000}"/>
    <cellStyle name="20% - Accent6 8 6" xfId="3240" xr:uid="{00000000-0005-0000-0000-0000140B0000}"/>
    <cellStyle name="20% - Accent6 8 7" xfId="3241" xr:uid="{00000000-0005-0000-0000-0000150B0000}"/>
    <cellStyle name="20% - Accent6 8 8" xfId="3242" xr:uid="{00000000-0005-0000-0000-0000160B0000}"/>
    <cellStyle name="20% - Accent6 8 9" xfId="3243" xr:uid="{00000000-0005-0000-0000-0000170B0000}"/>
    <cellStyle name="20% - Accent6 9" xfId="3244" xr:uid="{00000000-0005-0000-0000-0000180B0000}"/>
    <cellStyle name="20% - Accent6 9 10" xfId="3245" xr:uid="{00000000-0005-0000-0000-0000190B0000}"/>
    <cellStyle name="20% - Accent6 9 11" xfId="3246" xr:uid="{00000000-0005-0000-0000-00001A0B0000}"/>
    <cellStyle name="20% - Accent6 9 12" xfId="3247" xr:uid="{00000000-0005-0000-0000-00001B0B0000}"/>
    <cellStyle name="20% - Accent6 9 13" xfId="3248" xr:uid="{00000000-0005-0000-0000-00001C0B0000}"/>
    <cellStyle name="20% - Accent6 9 14" xfId="3249" xr:uid="{00000000-0005-0000-0000-00001D0B0000}"/>
    <cellStyle name="20% - Accent6 9 15" xfId="3250" xr:uid="{00000000-0005-0000-0000-00001E0B0000}"/>
    <cellStyle name="20% - Accent6 9 16" xfId="3251" xr:uid="{00000000-0005-0000-0000-00001F0B0000}"/>
    <cellStyle name="20% - Accent6 9 17" xfId="3252" xr:uid="{00000000-0005-0000-0000-0000200B0000}"/>
    <cellStyle name="20% - Accent6 9 18" xfId="3253" xr:uid="{00000000-0005-0000-0000-0000210B0000}"/>
    <cellStyle name="20% - Accent6 9 19" xfId="3254" xr:uid="{00000000-0005-0000-0000-0000220B0000}"/>
    <cellStyle name="20% - Accent6 9 2" xfId="3255" xr:uid="{00000000-0005-0000-0000-0000230B0000}"/>
    <cellStyle name="20% - Accent6 9 20" xfId="3256" xr:uid="{00000000-0005-0000-0000-0000240B0000}"/>
    <cellStyle name="20% - Accent6 9 21" xfId="3257" xr:uid="{00000000-0005-0000-0000-0000250B0000}"/>
    <cellStyle name="20% - Accent6 9 22" xfId="3258" xr:uid="{00000000-0005-0000-0000-0000260B0000}"/>
    <cellStyle name="20% - Accent6 9 23" xfId="3259" xr:uid="{00000000-0005-0000-0000-0000270B0000}"/>
    <cellStyle name="20% - Accent6 9 24" xfId="3260" xr:uid="{00000000-0005-0000-0000-0000280B0000}"/>
    <cellStyle name="20% - Accent6 9 25" xfId="3261" xr:uid="{00000000-0005-0000-0000-0000290B0000}"/>
    <cellStyle name="20% - Accent6 9 26" xfId="3262" xr:uid="{00000000-0005-0000-0000-00002A0B0000}"/>
    <cellStyle name="20% - Accent6 9 27" xfId="3263" xr:uid="{00000000-0005-0000-0000-00002B0B0000}"/>
    <cellStyle name="20% - Accent6 9 28" xfId="3264" xr:uid="{00000000-0005-0000-0000-00002C0B0000}"/>
    <cellStyle name="20% - Accent6 9 29" xfId="3265" xr:uid="{00000000-0005-0000-0000-00002D0B0000}"/>
    <cellStyle name="20% - Accent6 9 3" xfId="3266" xr:uid="{00000000-0005-0000-0000-00002E0B0000}"/>
    <cellStyle name="20% - Accent6 9 30" xfId="3267" xr:uid="{00000000-0005-0000-0000-00002F0B0000}"/>
    <cellStyle name="20% - Accent6 9 31" xfId="3268" xr:uid="{00000000-0005-0000-0000-0000300B0000}"/>
    <cellStyle name="20% - Accent6 9 32" xfId="3269" xr:uid="{00000000-0005-0000-0000-0000310B0000}"/>
    <cellStyle name="20% - Accent6 9 33" xfId="3270" xr:uid="{00000000-0005-0000-0000-0000320B0000}"/>
    <cellStyle name="20% - Accent6 9 34" xfId="3271" xr:uid="{00000000-0005-0000-0000-0000330B0000}"/>
    <cellStyle name="20% - Accent6 9 35" xfId="3272" xr:uid="{00000000-0005-0000-0000-0000340B0000}"/>
    <cellStyle name="20% - Accent6 9 36" xfId="3273" xr:uid="{00000000-0005-0000-0000-0000350B0000}"/>
    <cellStyle name="20% - Accent6 9 37" xfId="3274" xr:uid="{00000000-0005-0000-0000-0000360B0000}"/>
    <cellStyle name="20% - Accent6 9 38" xfId="3275" xr:uid="{00000000-0005-0000-0000-0000370B0000}"/>
    <cellStyle name="20% - Accent6 9 39" xfId="3276" xr:uid="{00000000-0005-0000-0000-0000380B0000}"/>
    <cellStyle name="20% - Accent6 9 4" xfId="3277" xr:uid="{00000000-0005-0000-0000-0000390B0000}"/>
    <cellStyle name="20% - Accent6 9 40" xfId="3278" xr:uid="{00000000-0005-0000-0000-00003A0B0000}"/>
    <cellStyle name="20% - Accent6 9 41" xfId="3279" xr:uid="{00000000-0005-0000-0000-00003B0B0000}"/>
    <cellStyle name="20% - Accent6 9 5" xfId="3280" xr:uid="{00000000-0005-0000-0000-00003C0B0000}"/>
    <cellStyle name="20% - Accent6 9 6" xfId="3281" xr:uid="{00000000-0005-0000-0000-00003D0B0000}"/>
    <cellStyle name="20% - Accent6 9 7" xfId="3282" xr:uid="{00000000-0005-0000-0000-00003E0B0000}"/>
    <cellStyle name="20% - Accent6 9 8" xfId="3283" xr:uid="{00000000-0005-0000-0000-00003F0B0000}"/>
    <cellStyle name="20% - Accent6 9 9" xfId="3284" xr:uid="{00000000-0005-0000-0000-0000400B0000}"/>
    <cellStyle name="40% - Accent1 10" xfId="3285" xr:uid="{00000000-0005-0000-0000-0000410B0000}"/>
    <cellStyle name="40% - Accent1 10 10" xfId="3286" xr:uid="{00000000-0005-0000-0000-0000420B0000}"/>
    <cellStyle name="40% - Accent1 10 11" xfId="3287" xr:uid="{00000000-0005-0000-0000-0000430B0000}"/>
    <cellStyle name="40% - Accent1 10 12" xfId="3288" xr:uid="{00000000-0005-0000-0000-0000440B0000}"/>
    <cellStyle name="40% - Accent1 10 13" xfId="3289" xr:uid="{00000000-0005-0000-0000-0000450B0000}"/>
    <cellStyle name="40% - Accent1 10 14" xfId="3290" xr:uid="{00000000-0005-0000-0000-0000460B0000}"/>
    <cellStyle name="40% - Accent1 10 15" xfId="3291" xr:uid="{00000000-0005-0000-0000-0000470B0000}"/>
    <cellStyle name="40% - Accent1 10 16" xfId="3292" xr:uid="{00000000-0005-0000-0000-0000480B0000}"/>
    <cellStyle name="40% - Accent1 10 17" xfId="3293" xr:uid="{00000000-0005-0000-0000-0000490B0000}"/>
    <cellStyle name="40% - Accent1 10 18" xfId="3294" xr:uid="{00000000-0005-0000-0000-00004A0B0000}"/>
    <cellStyle name="40% - Accent1 10 19" xfId="3295" xr:uid="{00000000-0005-0000-0000-00004B0B0000}"/>
    <cellStyle name="40% - Accent1 10 2" xfId="3296" xr:uid="{00000000-0005-0000-0000-00004C0B0000}"/>
    <cellStyle name="40% - Accent1 10 20" xfId="3297" xr:uid="{00000000-0005-0000-0000-00004D0B0000}"/>
    <cellStyle name="40% - Accent1 10 21" xfId="3298" xr:uid="{00000000-0005-0000-0000-00004E0B0000}"/>
    <cellStyle name="40% - Accent1 10 22" xfId="3299" xr:uid="{00000000-0005-0000-0000-00004F0B0000}"/>
    <cellStyle name="40% - Accent1 10 23" xfId="3300" xr:uid="{00000000-0005-0000-0000-0000500B0000}"/>
    <cellStyle name="40% - Accent1 10 24" xfId="3301" xr:uid="{00000000-0005-0000-0000-0000510B0000}"/>
    <cellStyle name="40% - Accent1 10 25" xfId="3302" xr:uid="{00000000-0005-0000-0000-0000520B0000}"/>
    <cellStyle name="40% - Accent1 10 26" xfId="3303" xr:uid="{00000000-0005-0000-0000-0000530B0000}"/>
    <cellStyle name="40% - Accent1 10 27" xfId="3304" xr:uid="{00000000-0005-0000-0000-0000540B0000}"/>
    <cellStyle name="40% - Accent1 10 28" xfId="3305" xr:uid="{00000000-0005-0000-0000-0000550B0000}"/>
    <cellStyle name="40% - Accent1 10 29" xfId="3306" xr:uid="{00000000-0005-0000-0000-0000560B0000}"/>
    <cellStyle name="40% - Accent1 10 3" xfId="3307" xr:uid="{00000000-0005-0000-0000-0000570B0000}"/>
    <cellStyle name="40% - Accent1 10 30" xfId="3308" xr:uid="{00000000-0005-0000-0000-0000580B0000}"/>
    <cellStyle name="40% - Accent1 10 31" xfId="3309" xr:uid="{00000000-0005-0000-0000-0000590B0000}"/>
    <cellStyle name="40% - Accent1 10 32" xfId="3310" xr:uid="{00000000-0005-0000-0000-00005A0B0000}"/>
    <cellStyle name="40% - Accent1 10 33" xfId="3311" xr:uid="{00000000-0005-0000-0000-00005B0B0000}"/>
    <cellStyle name="40% - Accent1 10 34" xfId="3312" xr:uid="{00000000-0005-0000-0000-00005C0B0000}"/>
    <cellStyle name="40% - Accent1 10 35" xfId="3313" xr:uid="{00000000-0005-0000-0000-00005D0B0000}"/>
    <cellStyle name="40% - Accent1 10 36" xfId="3314" xr:uid="{00000000-0005-0000-0000-00005E0B0000}"/>
    <cellStyle name="40% - Accent1 10 37" xfId="3315" xr:uid="{00000000-0005-0000-0000-00005F0B0000}"/>
    <cellStyle name="40% - Accent1 10 38" xfId="3316" xr:uid="{00000000-0005-0000-0000-0000600B0000}"/>
    <cellStyle name="40% - Accent1 10 39" xfId="3317" xr:uid="{00000000-0005-0000-0000-0000610B0000}"/>
    <cellStyle name="40% - Accent1 10 4" xfId="3318" xr:uid="{00000000-0005-0000-0000-0000620B0000}"/>
    <cellStyle name="40% - Accent1 10 40" xfId="3319" xr:uid="{00000000-0005-0000-0000-0000630B0000}"/>
    <cellStyle name="40% - Accent1 10 41" xfId="3320" xr:uid="{00000000-0005-0000-0000-0000640B0000}"/>
    <cellStyle name="40% - Accent1 10 5" xfId="3321" xr:uid="{00000000-0005-0000-0000-0000650B0000}"/>
    <cellStyle name="40% - Accent1 10 6" xfId="3322" xr:uid="{00000000-0005-0000-0000-0000660B0000}"/>
    <cellStyle name="40% - Accent1 10 7" xfId="3323" xr:uid="{00000000-0005-0000-0000-0000670B0000}"/>
    <cellStyle name="40% - Accent1 10 8" xfId="3324" xr:uid="{00000000-0005-0000-0000-0000680B0000}"/>
    <cellStyle name="40% - Accent1 10 9" xfId="3325" xr:uid="{00000000-0005-0000-0000-0000690B0000}"/>
    <cellStyle name="40% - Accent1 11" xfId="3326" xr:uid="{00000000-0005-0000-0000-00006A0B0000}"/>
    <cellStyle name="40% - Accent1 11 10" xfId="3327" xr:uid="{00000000-0005-0000-0000-00006B0B0000}"/>
    <cellStyle name="40% - Accent1 11 11" xfId="3328" xr:uid="{00000000-0005-0000-0000-00006C0B0000}"/>
    <cellStyle name="40% - Accent1 11 12" xfId="3329" xr:uid="{00000000-0005-0000-0000-00006D0B0000}"/>
    <cellStyle name="40% - Accent1 11 13" xfId="3330" xr:uid="{00000000-0005-0000-0000-00006E0B0000}"/>
    <cellStyle name="40% - Accent1 11 14" xfId="3331" xr:uid="{00000000-0005-0000-0000-00006F0B0000}"/>
    <cellStyle name="40% - Accent1 11 15" xfId="3332" xr:uid="{00000000-0005-0000-0000-0000700B0000}"/>
    <cellStyle name="40% - Accent1 11 16" xfId="3333" xr:uid="{00000000-0005-0000-0000-0000710B0000}"/>
    <cellStyle name="40% - Accent1 11 17" xfId="3334" xr:uid="{00000000-0005-0000-0000-0000720B0000}"/>
    <cellStyle name="40% - Accent1 11 18" xfId="3335" xr:uid="{00000000-0005-0000-0000-0000730B0000}"/>
    <cellStyle name="40% - Accent1 11 19" xfId="3336" xr:uid="{00000000-0005-0000-0000-0000740B0000}"/>
    <cellStyle name="40% - Accent1 11 2" xfId="3337" xr:uid="{00000000-0005-0000-0000-0000750B0000}"/>
    <cellStyle name="40% - Accent1 11 20" xfId="3338" xr:uid="{00000000-0005-0000-0000-0000760B0000}"/>
    <cellStyle name="40% - Accent1 11 21" xfId="3339" xr:uid="{00000000-0005-0000-0000-0000770B0000}"/>
    <cellStyle name="40% - Accent1 11 22" xfId="3340" xr:uid="{00000000-0005-0000-0000-0000780B0000}"/>
    <cellStyle name="40% - Accent1 11 23" xfId="3341" xr:uid="{00000000-0005-0000-0000-0000790B0000}"/>
    <cellStyle name="40% - Accent1 11 24" xfId="3342" xr:uid="{00000000-0005-0000-0000-00007A0B0000}"/>
    <cellStyle name="40% - Accent1 11 25" xfId="3343" xr:uid="{00000000-0005-0000-0000-00007B0B0000}"/>
    <cellStyle name="40% - Accent1 11 26" xfId="3344" xr:uid="{00000000-0005-0000-0000-00007C0B0000}"/>
    <cellStyle name="40% - Accent1 11 27" xfId="3345" xr:uid="{00000000-0005-0000-0000-00007D0B0000}"/>
    <cellStyle name="40% - Accent1 11 28" xfId="3346" xr:uid="{00000000-0005-0000-0000-00007E0B0000}"/>
    <cellStyle name="40% - Accent1 11 29" xfId="3347" xr:uid="{00000000-0005-0000-0000-00007F0B0000}"/>
    <cellStyle name="40% - Accent1 11 3" xfId="3348" xr:uid="{00000000-0005-0000-0000-0000800B0000}"/>
    <cellStyle name="40% - Accent1 11 30" xfId="3349" xr:uid="{00000000-0005-0000-0000-0000810B0000}"/>
    <cellStyle name="40% - Accent1 11 31" xfId="3350" xr:uid="{00000000-0005-0000-0000-0000820B0000}"/>
    <cellStyle name="40% - Accent1 11 32" xfId="3351" xr:uid="{00000000-0005-0000-0000-0000830B0000}"/>
    <cellStyle name="40% - Accent1 11 33" xfId="3352" xr:uid="{00000000-0005-0000-0000-0000840B0000}"/>
    <cellStyle name="40% - Accent1 11 34" xfId="3353" xr:uid="{00000000-0005-0000-0000-0000850B0000}"/>
    <cellStyle name="40% - Accent1 11 35" xfId="3354" xr:uid="{00000000-0005-0000-0000-0000860B0000}"/>
    <cellStyle name="40% - Accent1 11 36" xfId="3355" xr:uid="{00000000-0005-0000-0000-0000870B0000}"/>
    <cellStyle name="40% - Accent1 11 37" xfId="3356" xr:uid="{00000000-0005-0000-0000-0000880B0000}"/>
    <cellStyle name="40% - Accent1 11 38" xfId="3357" xr:uid="{00000000-0005-0000-0000-0000890B0000}"/>
    <cellStyle name="40% - Accent1 11 39" xfId="3358" xr:uid="{00000000-0005-0000-0000-00008A0B0000}"/>
    <cellStyle name="40% - Accent1 11 4" xfId="3359" xr:uid="{00000000-0005-0000-0000-00008B0B0000}"/>
    <cellStyle name="40% - Accent1 11 40" xfId="3360" xr:uid="{00000000-0005-0000-0000-00008C0B0000}"/>
    <cellStyle name="40% - Accent1 11 41" xfId="3361" xr:uid="{00000000-0005-0000-0000-00008D0B0000}"/>
    <cellStyle name="40% - Accent1 11 5" xfId="3362" xr:uid="{00000000-0005-0000-0000-00008E0B0000}"/>
    <cellStyle name="40% - Accent1 11 6" xfId="3363" xr:uid="{00000000-0005-0000-0000-00008F0B0000}"/>
    <cellStyle name="40% - Accent1 11 7" xfId="3364" xr:uid="{00000000-0005-0000-0000-0000900B0000}"/>
    <cellStyle name="40% - Accent1 11 8" xfId="3365" xr:uid="{00000000-0005-0000-0000-0000910B0000}"/>
    <cellStyle name="40% - Accent1 11 9" xfId="3366" xr:uid="{00000000-0005-0000-0000-0000920B0000}"/>
    <cellStyle name="40% - Accent1 12" xfId="3367" xr:uid="{00000000-0005-0000-0000-0000930B0000}"/>
    <cellStyle name="40% - Accent1 12 10" xfId="3368" xr:uid="{00000000-0005-0000-0000-0000940B0000}"/>
    <cellStyle name="40% - Accent1 12 11" xfId="3369" xr:uid="{00000000-0005-0000-0000-0000950B0000}"/>
    <cellStyle name="40% - Accent1 12 12" xfId="3370" xr:uid="{00000000-0005-0000-0000-0000960B0000}"/>
    <cellStyle name="40% - Accent1 12 13" xfId="3371" xr:uid="{00000000-0005-0000-0000-0000970B0000}"/>
    <cellStyle name="40% - Accent1 12 14" xfId="3372" xr:uid="{00000000-0005-0000-0000-0000980B0000}"/>
    <cellStyle name="40% - Accent1 12 15" xfId="3373" xr:uid="{00000000-0005-0000-0000-0000990B0000}"/>
    <cellStyle name="40% - Accent1 12 16" xfId="3374" xr:uid="{00000000-0005-0000-0000-00009A0B0000}"/>
    <cellStyle name="40% - Accent1 12 17" xfId="3375" xr:uid="{00000000-0005-0000-0000-00009B0B0000}"/>
    <cellStyle name="40% - Accent1 12 18" xfId="3376" xr:uid="{00000000-0005-0000-0000-00009C0B0000}"/>
    <cellStyle name="40% - Accent1 12 19" xfId="3377" xr:uid="{00000000-0005-0000-0000-00009D0B0000}"/>
    <cellStyle name="40% - Accent1 12 2" xfId="3378" xr:uid="{00000000-0005-0000-0000-00009E0B0000}"/>
    <cellStyle name="40% - Accent1 12 20" xfId="3379" xr:uid="{00000000-0005-0000-0000-00009F0B0000}"/>
    <cellStyle name="40% - Accent1 12 21" xfId="3380" xr:uid="{00000000-0005-0000-0000-0000A00B0000}"/>
    <cellStyle name="40% - Accent1 12 22" xfId="3381" xr:uid="{00000000-0005-0000-0000-0000A10B0000}"/>
    <cellStyle name="40% - Accent1 12 23" xfId="3382" xr:uid="{00000000-0005-0000-0000-0000A20B0000}"/>
    <cellStyle name="40% - Accent1 12 24" xfId="3383" xr:uid="{00000000-0005-0000-0000-0000A30B0000}"/>
    <cellStyle name="40% - Accent1 12 25" xfId="3384" xr:uid="{00000000-0005-0000-0000-0000A40B0000}"/>
    <cellStyle name="40% - Accent1 12 26" xfId="3385" xr:uid="{00000000-0005-0000-0000-0000A50B0000}"/>
    <cellStyle name="40% - Accent1 12 27" xfId="3386" xr:uid="{00000000-0005-0000-0000-0000A60B0000}"/>
    <cellStyle name="40% - Accent1 12 28" xfId="3387" xr:uid="{00000000-0005-0000-0000-0000A70B0000}"/>
    <cellStyle name="40% - Accent1 12 29" xfId="3388" xr:uid="{00000000-0005-0000-0000-0000A80B0000}"/>
    <cellStyle name="40% - Accent1 12 3" xfId="3389" xr:uid="{00000000-0005-0000-0000-0000A90B0000}"/>
    <cellStyle name="40% - Accent1 12 30" xfId="3390" xr:uid="{00000000-0005-0000-0000-0000AA0B0000}"/>
    <cellStyle name="40% - Accent1 12 31" xfId="3391" xr:uid="{00000000-0005-0000-0000-0000AB0B0000}"/>
    <cellStyle name="40% - Accent1 12 32" xfId="3392" xr:uid="{00000000-0005-0000-0000-0000AC0B0000}"/>
    <cellStyle name="40% - Accent1 12 33" xfId="3393" xr:uid="{00000000-0005-0000-0000-0000AD0B0000}"/>
    <cellStyle name="40% - Accent1 12 34" xfId="3394" xr:uid="{00000000-0005-0000-0000-0000AE0B0000}"/>
    <cellStyle name="40% - Accent1 12 35" xfId="3395" xr:uid="{00000000-0005-0000-0000-0000AF0B0000}"/>
    <cellStyle name="40% - Accent1 12 36" xfId="3396" xr:uid="{00000000-0005-0000-0000-0000B00B0000}"/>
    <cellStyle name="40% - Accent1 12 37" xfId="3397" xr:uid="{00000000-0005-0000-0000-0000B10B0000}"/>
    <cellStyle name="40% - Accent1 12 38" xfId="3398" xr:uid="{00000000-0005-0000-0000-0000B20B0000}"/>
    <cellStyle name="40% - Accent1 12 39" xfId="3399" xr:uid="{00000000-0005-0000-0000-0000B30B0000}"/>
    <cellStyle name="40% - Accent1 12 4" xfId="3400" xr:uid="{00000000-0005-0000-0000-0000B40B0000}"/>
    <cellStyle name="40% - Accent1 12 40" xfId="3401" xr:uid="{00000000-0005-0000-0000-0000B50B0000}"/>
    <cellStyle name="40% - Accent1 12 41" xfId="3402" xr:uid="{00000000-0005-0000-0000-0000B60B0000}"/>
    <cellStyle name="40% - Accent1 12 5" xfId="3403" xr:uid="{00000000-0005-0000-0000-0000B70B0000}"/>
    <cellStyle name="40% - Accent1 12 6" xfId="3404" xr:uid="{00000000-0005-0000-0000-0000B80B0000}"/>
    <cellStyle name="40% - Accent1 12 7" xfId="3405" xr:uid="{00000000-0005-0000-0000-0000B90B0000}"/>
    <cellStyle name="40% - Accent1 12 8" xfId="3406" xr:uid="{00000000-0005-0000-0000-0000BA0B0000}"/>
    <cellStyle name="40% - Accent1 12 9" xfId="3407" xr:uid="{00000000-0005-0000-0000-0000BB0B0000}"/>
    <cellStyle name="40% - Accent1 13" xfId="3408" xr:uid="{00000000-0005-0000-0000-0000BC0B0000}"/>
    <cellStyle name="40% - Accent1 14" xfId="3409" xr:uid="{00000000-0005-0000-0000-0000BD0B0000}"/>
    <cellStyle name="40% - Accent1 14 2" xfId="3410" xr:uid="{00000000-0005-0000-0000-0000BE0B0000}"/>
    <cellStyle name="40% - Accent1 15" xfId="3411" xr:uid="{00000000-0005-0000-0000-0000BF0B0000}"/>
    <cellStyle name="40% - Accent1 2" xfId="28" xr:uid="{00000000-0005-0000-0000-0000C00B0000}"/>
    <cellStyle name="40% - Accent1 2 10" xfId="3412" xr:uid="{00000000-0005-0000-0000-0000C10B0000}"/>
    <cellStyle name="40% - Accent1 2 11" xfId="3413" xr:uid="{00000000-0005-0000-0000-0000C20B0000}"/>
    <cellStyle name="40% - Accent1 2 12" xfId="3414" xr:uid="{00000000-0005-0000-0000-0000C30B0000}"/>
    <cellStyle name="40% - Accent1 2 13" xfId="3415" xr:uid="{00000000-0005-0000-0000-0000C40B0000}"/>
    <cellStyle name="40% - Accent1 2 14" xfId="3416" xr:uid="{00000000-0005-0000-0000-0000C50B0000}"/>
    <cellStyle name="40% - Accent1 2 15" xfId="3417" xr:uid="{00000000-0005-0000-0000-0000C60B0000}"/>
    <cellStyle name="40% - Accent1 2 16" xfId="3418" xr:uid="{00000000-0005-0000-0000-0000C70B0000}"/>
    <cellStyle name="40% - Accent1 2 17" xfId="3419" xr:uid="{00000000-0005-0000-0000-0000C80B0000}"/>
    <cellStyle name="40% - Accent1 2 18" xfId="3420" xr:uid="{00000000-0005-0000-0000-0000C90B0000}"/>
    <cellStyle name="40% - Accent1 2 19" xfId="3421" xr:uid="{00000000-0005-0000-0000-0000CA0B0000}"/>
    <cellStyle name="40% - Accent1 2 2" xfId="347" xr:uid="{00000000-0005-0000-0000-0000CB0B0000}"/>
    <cellStyle name="40% - Accent1 2 2 2" xfId="3422" xr:uid="{00000000-0005-0000-0000-0000CC0B0000}"/>
    <cellStyle name="40% - Accent1 2 2 2 2" xfId="3423" xr:uid="{00000000-0005-0000-0000-0000CD0B0000}"/>
    <cellStyle name="40% - Accent1 2 2 3" xfId="3424" xr:uid="{00000000-0005-0000-0000-0000CE0B0000}"/>
    <cellStyle name="40% - Accent1 2 2 4" xfId="3425" xr:uid="{00000000-0005-0000-0000-0000CF0B0000}"/>
    <cellStyle name="40% - Accent1 2 2 5" xfId="3426" xr:uid="{00000000-0005-0000-0000-0000D00B0000}"/>
    <cellStyle name="40% - Accent1 2 20" xfId="3427" xr:uid="{00000000-0005-0000-0000-0000D10B0000}"/>
    <cellStyle name="40% - Accent1 2 21" xfId="3428" xr:uid="{00000000-0005-0000-0000-0000D20B0000}"/>
    <cellStyle name="40% - Accent1 2 22" xfId="3429" xr:uid="{00000000-0005-0000-0000-0000D30B0000}"/>
    <cellStyle name="40% - Accent1 2 23" xfId="3430" xr:uid="{00000000-0005-0000-0000-0000D40B0000}"/>
    <cellStyle name="40% - Accent1 2 24" xfId="3431" xr:uid="{00000000-0005-0000-0000-0000D50B0000}"/>
    <cellStyle name="40% - Accent1 2 25" xfId="3432" xr:uid="{00000000-0005-0000-0000-0000D60B0000}"/>
    <cellStyle name="40% - Accent1 2 26" xfId="3433" xr:uid="{00000000-0005-0000-0000-0000D70B0000}"/>
    <cellStyle name="40% - Accent1 2 27" xfId="3434" xr:uid="{00000000-0005-0000-0000-0000D80B0000}"/>
    <cellStyle name="40% - Accent1 2 28" xfId="3435" xr:uid="{00000000-0005-0000-0000-0000D90B0000}"/>
    <cellStyle name="40% - Accent1 2 29" xfId="3436" xr:uid="{00000000-0005-0000-0000-0000DA0B0000}"/>
    <cellStyle name="40% - Accent1 2 3" xfId="346" xr:uid="{00000000-0005-0000-0000-0000DB0B0000}"/>
    <cellStyle name="40% - Accent1 2 3 2" xfId="3438" xr:uid="{00000000-0005-0000-0000-0000DC0B0000}"/>
    <cellStyle name="40% - Accent1 2 3 3" xfId="3439" xr:uid="{00000000-0005-0000-0000-0000DD0B0000}"/>
    <cellStyle name="40% - Accent1 2 3 4" xfId="3440" xr:uid="{00000000-0005-0000-0000-0000DE0B0000}"/>
    <cellStyle name="40% - Accent1 2 3 5" xfId="3441" xr:uid="{00000000-0005-0000-0000-0000DF0B0000}"/>
    <cellStyle name="40% - Accent1 2 3 6" xfId="3442" xr:uid="{00000000-0005-0000-0000-0000E00B0000}"/>
    <cellStyle name="40% - Accent1 2 3 7" xfId="3437" xr:uid="{00000000-0005-0000-0000-0000E10B0000}"/>
    <cellStyle name="40% - Accent1 2 30" xfId="3443" xr:uid="{00000000-0005-0000-0000-0000E20B0000}"/>
    <cellStyle name="40% - Accent1 2 31" xfId="3444" xr:uid="{00000000-0005-0000-0000-0000E30B0000}"/>
    <cellStyle name="40% - Accent1 2 32" xfId="3445" xr:uid="{00000000-0005-0000-0000-0000E40B0000}"/>
    <cellStyle name="40% - Accent1 2 33" xfId="3446" xr:uid="{00000000-0005-0000-0000-0000E50B0000}"/>
    <cellStyle name="40% - Accent1 2 34" xfId="3447" xr:uid="{00000000-0005-0000-0000-0000E60B0000}"/>
    <cellStyle name="40% - Accent1 2 35" xfId="3448" xr:uid="{00000000-0005-0000-0000-0000E70B0000}"/>
    <cellStyle name="40% - Accent1 2 36" xfId="3449" xr:uid="{00000000-0005-0000-0000-0000E80B0000}"/>
    <cellStyle name="40% - Accent1 2 37" xfId="3450" xr:uid="{00000000-0005-0000-0000-0000E90B0000}"/>
    <cellStyle name="40% - Accent1 2 38" xfId="3451" xr:uid="{00000000-0005-0000-0000-0000EA0B0000}"/>
    <cellStyle name="40% - Accent1 2 39" xfId="3452" xr:uid="{00000000-0005-0000-0000-0000EB0B0000}"/>
    <cellStyle name="40% - Accent1 2 4" xfId="3453" xr:uid="{00000000-0005-0000-0000-0000EC0B0000}"/>
    <cellStyle name="40% - Accent1 2 40" xfId="3454" xr:uid="{00000000-0005-0000-0000-0000ED0B0000}"/>
    <cellStyle name="40% - Accent1 2 41" xfId="3455" xr:uid="{00000000-0005-0000-0000-0000EE0B0000}"/>
    <cellStyle name="40% - Accent1 2 42" xfId="3456" xr:uid="{00000000-0005-0000-0000-0000EF0B0000}"/>
    <cellStyle name="40% - Accent1 2 43" xfId="3457" xr:uid="{00000000-0005-0000-0000-0000F00B0000}"/>
    <cellStyle name="40% - Accent1 2 44" xfId="3458" xr:uid="{00000000-0005-0000-0000-0000F10B0000}"/>
    <cellStyle name="40% - Accent1 2 45" xfId="3459" xr:uid="{00000000-0005-0000-0000-0000F20B0000}"/>
    <cellStyle name="40% - Accent1 2 5" xfId="3460" xr:uid="{00000000-0005-0000-0000-0000F30B0000}"/>
    <cellStyle name="40% - Accent1 2 6" xfId="3461" xr:uid="{00000000-0005-0000-0000-0000F40B0000}"/>
    <cellStyle name="40% - Accent1 2 7" xfId="3462" xr:uid="{00000000-0005-0000-0000-0000F50B0000}"/>
    <cellStyle name="40% - Accent1 2 8" xfId="3463" xr:uid="{00000000-0005-0000-0000-0000F60B0000}"/>
    <cellStyle name="40% - Accent1 2 9" xfId="3464" xr:uid="{00000000-0005-0000-0000-0000F70B0000}"/>
    <cellStyle name="40% - Accent1 2_SNL_BankReg_UBPR_v1_CustomPeers" xfId="3465" xr:uid="{00000000-0005-0000-0000-0000F80B0000}"/>
    <cellStyle name="40% - Accent1 3" xfId="345" xr:uid="{00000000-0005-0000-0000-0000F90B0000}"/>
    <cellStyle name="40% - Accent1 3 10" xfId="3467" xr:uid="{00000000-0005-0000-0000-0000FA0B0000}"/>
    <cellStyle name="40% - Accent1 3 11" xfId="3468" xr:uid="{00000000-0005-0000-0000-0000FB0B0000}"/>
    <cellStyle name="40% - Accent1 3 12" xfId="3469" xr:uid="{00000000-0005-0000-0000-0000FC0B0000}"/>
    <cellStyle name="40% - Accent1 3 13" xfId="3470" xr:uid="{00000000-0005-0000-0000-0000FD0B0000}"/>
    <cellStyle name="40% - Accent1 3 14" xfId="3471" xr:uid="{00000000-0005-0000-0000-0000FE0B0000}"/>
    <cellStyle name="40% - Accent1 3 15" xfId="3472" xr:uid="{00000000-0005-0000-0000-0000FF0B0000}"/>
    <cellStyle name="40% - Accent1 3 16" xfId="3473" xr:uid="{00000000-0005-0000-0000-0000000C0000}"/>
    <cellStyle name="40% - Accent1 3 17" xfId="3474" xr:uid="{00000000-0005-0000-0000-0000010C0000}"/>
    <cellStyle name="40% - Accent1 3 18" xfId="3475" xr:uid="{00000000-0005-0000-0000-0000020C0000}"/>
    <cellStyle name="40% - Accent1 3 19" xfId="3476" xr:uid="{00000000-0005-0000-0000-0000030C0000}"/>
    <cellStyle name="40% - Accent1 3 2" xfId="3477" xr:uid="{00000000-0005-0000-0000-0000040C0000}"/>
    <cellStyle name="40% - Accent1 3 20" xfId="3478" xr:uid="{00000000-0005-0000-0000-0000050C0000}"/>
    <cellStyle name="40% - Accent1 3 21" xfId="3479" xr:uid="{00000000-0005-0000-0000-0000060C0000}"/>
    <cellStyle name="40% - Accent1 3 22" xfId="3480" xr:uid="{00000000-0005-0000-0000-0000070C0000}"/>
    <cellStyle name="40% - Accent1 3 23" xfId="3481" xr:uid="{00000000-0005-0000-0000-0000080C0000}"/>
    <cellStyle name="40% - Accent1 3 24" xfId="3482" xr:uid="{00000000-0005-0000-0000-0000090C0000}"/>
    <cellStyle name="40% - Accent1 3 25" xfId="3483" xr:uid="{00000000-0005-0000-0000-00000A0C0000}"/>
    <cellStyle name="40% - Accent1 3 26" xfId="3484" xr:uid="{00000000-0005-0000-0000-00000B0C0000}"/>
    <cellStyle name="40% - Accent1 3 27" xfId="3485" xr:uid="{00000000-0005-0000-0000-00000C0C0000}"/>
    <cellStyle name="40% - Accent1 3 28" xfId="3486" xr:uid="{00000000-0005-0000-0000-00000D0C0000}"/>
    <cellStyle name="40% - Accent1 3 29" xfId="3487" xr:uid="{00000000-0005-0000-0000-00000E0C0000}"/>
    <cellStyle name="40% - Accent1 3 3" xfId="3488" xr:uid="{00000000-0005-0000-0000-00000F0C0000}"/>
    <cellStyle name="40% - Accent1 3 30" xfId="3489" xr:uid="{00000000-0005-0000-0000-0000100C0000}"/>
    <cellStyle name="40% - Accent1 3 31" xfId="3490" xr:uid="{00000000-0005-0000-0000-0000110C0000}"/>
    <cellStyle name="40% - Accent1 3 32" xfId="3491" xr:uid="{00000000-0005-0000-0000-0000120C0000}"/>
    <cellStyle name="40% - Accent1 3 33" xfId="3492" xr:uid="{00000000-0005-0000-0000-0000130C0000}"/>
    <cellStyle name="40% - Accent1 3 34" xfId="3493" xr:uid="{00000000-0005-0000-0000-0000140C0000}"/>
    <cellStyle name="40% - Accent1 3 35" xfId="3494" xr:uid="{00000000-0005-0000-0000-0000150C0000}"/>
    <cellStyle name="40% - Accent1 3 36" xfId="3495" xr:uid="{00000000-0005-0000-0000-0000160C0000}"/>
    <cellStyle name="40% - Accent1 3 37" xfId="3496" xr:uid="{00000000-0005-0000-0000-0000170C0000}"/>
    <cellStyle name="40% - Accent1 3 38" xfId="3497" xr:uid="{00000000-0005-0000-0000-0000180C0000}"/>
    <cellStyle name="40% - Accent1 3 39" xfId="3498" xr:uid="{00000000-0005-0000-0000-0000190C0000}"/>
    <cellStyle name="40% - Accent1 3 4" xfId="3499" xr:uid="{00000000-0005-0000-0000-00001A0C0000}"/>
    <cellStyle name="40% - Accent1 3 40" xfId="3500" xr:uid="{00000000-0005-0000-0000-00001B0C0000}"/>
    <cellStyle name="40% - Accent1 3 41" xfId="3501" xr:uid="{00000000-0005-0000-0000-00001C0C0000}"/>
    <cellStyle name="40% - Accent1 3 42" xfId="3502" xr:uid="{00000000-0005-0000-0000-00001D0C0000}"/>
    <cellStyle name="40% - Accent1 3 43" xfId="3503" xr:uid="{00000000-0005-0000-0000-00001E0C0000}"/>
    <cellStyle name="40% - Accent1 3 44" xfId="3504" xr:uid="{00000000-0005-0000-0000-00001F0C0000}"/>
    <cellStyle name="40% - Accent1 3 45" xfId="3505" xr:uid="{00000000-0005-0000-0000-0000200C0000}"/>
    <cellStyle name="40% - Accent1 3 46" xfId="3466" xr:uid="{00000000-0005-0000-0000-0000210C0000}"/>
    <cellStyle name="40% - Accent1 3 5" xfId="3506" xr:uid="{00000000-0005-0000-0000-0000220C0000}"/>
    <cellStyle name="40% - Accent1 3 6" xfId="3507" xr:uid="{00000000-0005-0000-0000-0000230C0000}"/>
    <cellStyle name="40% - Accent1 3 7" xfId="3508" xr:uid="{00000000-0005-0000-0000-0000240C0000}"/>
    <cellStyle name="40% - Accent1 3 8" xfId="3509" xr:uid="{00000000-0005-0000-0000-0000250C0000}"/>
    <cellStyle name="40% - Accent1 3 9" xfId="3510" xr:uid="{00000000-0005-0000-0000-0000260C0000}"/>
    <cellStyle name="40% - Accent1 4" xfId="3511" xr:uid="{00000000-0005-0000-0000-0000270C0000}"/>
    <cellStyle name="40% - Accent1 4 10" xfId="3512" xr:uid="{00000000-0005-0000-0000-0000280C0000}"/>
    <cellStyle name="40% - Accent1 4 11" xfId="3513" xr:uid="{00000000-0005-0000-0000-0000290C0000}"/>
    <cellStyle name="40% - Accent1 4 12" xfId="3514" xr:uid="{00000000-0005-0000-0000-00002A0C0000}"/>
    <cellStyle name="40% - Accent1 4 13" xfId="3515" xr:uid="{00000000-0005-0000-0000-00002B0C0000}"/>
    <cellStyle name="40% - Accent1 4 14" xfId="3516" xr:uid="{00000000-0005-0000-0000-00002C0C0000}"/>
    <cellStyle name="40% - Accent1 4 15" xfId="3517" xr:uid="{00000000-0005-0000-0000-00002D0C0000}"/>
    <cellStyle name="40% - Accent1 4 16" xfId="3518" xr:uid="{00000000-0005-0000-0000-00002E0C0000}"/>
    <cellStyle name="40% - Accent1 4 17" xfId="3519" xr:uid="{00000000-0005-0000-0000-00002F0C0000}"/>
    <cellStyle name="40% - Accent1 4 18" xfId="3520" xr:uid="{00000000-0005-0000-0000-0000300C0000}"/>
    <cellStyle name="40% - Accent1 4 19" xfId="3521" xr:uid="{00000000-0005-0000-0000-0000310C0000}"/>
    <cellStyle name="40% - Accent1 4 2" xfId="3522" xr:uid="{00000000-0005-0000-0000-0000320C0000}"/>
    <cellStyle name="40% - Accent1 4 20" xfId="3523" xr:uid="{00000000-0005-0000-0000-0000330C0000}"/>
    <cellStyle name="40% - Accent1 4 21" xfId="3524" xr:uid="{00000000-0005-0000-0000-0000340C0000}"/>
    <cellStyle name="40% - Accent1 4 22" xfId="3525" xr:uid="{00000000-0005-0000-0000-0000350C0000}"/>
    <cellStyle name="40% - Accent1 4 23" xfId="3526" xr:uid="{00000000-0005-0000-0000-0000360C0000}"/>
    <cellStyle name="40% - Accent1 4 24" xfId="3527" xr:uid="{00000000-0005-0000-0000-0000370C0000}"/>
    <cellStyle name="40% - Accent1 4 25" xfId="3528" xr:uid="{00000000-0005-0000-0000-0000380C0000}"/>
    <cellStyle name="40% - Accent1 4 26" xfId="3529" xr:uid="{00000000-0005-0000-0000-0000390C0000}"/>
    <cellStyle name="40% - Accent1 4 27" xfId="3530" xr:uid="{00000000-0005-0000-0000-00003A0C0000}"/>
    <cellStyle name="40% - Accent1 4 28" xfId="3531" xr:uid="{00000000-0005-0000-0000-00003B0C0000}"/>
    <cellStyle name="40% - Accent1 4 29" xfId="3532" xr:uid="{00000000-0005-0000-0000-00003C0C0000}"/>
    <cellStyle name="40% - Accent1 4 3" xfId="3533" xr:uid="{00000000-0005-0000-0000-00003D0C0000}"/>
    <cellStyle name="40% - Accent1 4 30" xfId="3534" xr:uid="{00000000-0005-0000-0000-00003E0C0000}"/>
    <cellStyle name="40% - Accent1 4 31" xfId="3535" xr:uid="{00000000-0005-0000-0000-00003F0C0000}"/>
    <cellStyle name="40% - Accent1 4 32" xfId="3536" xr:uid="{00000000-0005-0000-0000-0000400C0000}"/>
    <cellStyle name="40% - Accent1 4 33" xfId="3537" xr:uid="{00000000-0005-0000-0000-0000410C0000}"/>
    <cellStyle name="40% - Accent1 4 34" xfId="3538" xr:uid="{00000000-0005-0000-0000-0000420C0000}"/>
    <cellStyle name="40% - Accent1 4 35" xfId="3539" xr:uid="{00000000-0005-0000-0000-0000430C0000}"/>
    <cellStyle name="40% - Accent1 4 36" xfId="3540" xr:uid="{00000000-0005-0000-0000-0000440C0000}"/>
    <cellStyle name="40% - Accent1 4 37" xfId="3541" xr:uid="{00000000-0005-0000-0000-0000450C0000}"/>
    <cellStyle name="40% - Accent1 4 38" xfId="3542" xr:uid="{00000000-0005-0000-0000-0000460C0000}"/>
    <cellStyle name="40% - Accent1 4 39" xfId="3543" xr:uid="{00000000-0005-0000-0000-0000470C0000}"/>
    <cellStyle name="40% - Accent1 4 4" xfId="3544" xr:uid="{00000000-0005-0000-0000-0000480C0000}"/>
    <cellStyle name="40% - Accent1 4 40" xfId="3545" xr:uid="{00000000-0005-0000-0000-0000490C0000}"/>
    <cellStyle name="40% - Accent1 4 41" xfId="3546" xr:uid="{00000000-0005-0000-0000-00004A0C0000}"/>
    <cellStyle name="40% - Accent1 4 5" xfId="3547" xr:uid="{00000000-0005-0000-0000-00004B0C0000}"/>
    <cellStyle name="40% - Accent1 4 6" xfId="3548" xr:uid="{00000000-0005-0000-0000-00004C0C0000}"/>
    <cellStyle name="40% - Accent1 4 7" xfId="3549" xr:uid="{00000000-0005-0000-0000-00004D0C0000}"/>
    <cellStyle name="40% - Accent1 4 8" xfId="3550" xr:uid="{00000000-0005-0000-0000-00004E0C0000}"/>
    <cellStyle name="40% - Accent1 4 9" xfId="3551" xr:uid="{00000000-0005-0000-0000-00004F0C0000}"/>
    <cellStyle name="40% - Accent1 5" xfId="3552" xr:uid="{00000000-0005-0000-0000-0000500C0000}"/>
    <cellStyle name="40% - Accent1 5 10" xfId="3553" xr:uid="{00000000-0005-0000-0000-0000510C0000}"/>
    <cellStyle name="40% - Accent1 5 11" xfId="3554" xr:uid="{00000000-0005-0000-0000-0000520C0000}"/>
    <cellStyle name="40% - Accent1 5 12" xfId="3555" xr:uid="{00000000-0005-0000-0000-0000530C0000}"/>
    <cellStyle name="40% - Accent1 5 13" xfId="3556" xr:uid="{00000000-0005-0000-0000-0000540C0000}"/>
    <cellStyle name="40% - Accent1 5 14" xfId="3557" xr:uid="{00000000-0005-0000-0000-0000550C0000}"/>
    <cellStyle name="40% - Accent1 5 15" xfId="3558" xr:uid="{00000000-0005-0000-0000-0000560C0000}"/>
    <cellStyle name="40% - Accent1 5 16" xfId="3559" xr:uid="{00000000-0005-0000-0000-0000570C0000}"/>
    <cellStyle name="40% - Accent1 5 17" xfId="3560" xr:uid="{00000000-0005-0000-0000-0000580C0000}"/>
    <cellStyle name="40% - Accent1 5 18" xfId="3561" xr:uid="{00000000-0005-0000-0000-0000590C0000}"/>
    <cellStyle name="40% - Accent1 5 19" xfId="3562" xr:uid="{00000000-0005-0000-0000-00005A0C0000}"/>
    <cellStyle name="40% - Accent1 5 2" xfId="3563" xr:uid="{00000000-0005-0000-0000-00005B0C0000}"/>
    <cellStyle name="40% - Accent1 5 20" xfId="3564" xr:uid="{00000000-0005-0000-0000-00005C0C0000}"/>
    <cellStyle name="40% - Accent1 5 21" xfId="3565" xr:uid="{00000000-0005-0000-0000-00005D0C0000}"/>
    <cellStyle name="40% - Accent1 5 22" xfId="3566" xr:uid="{00000000-0005-0000-0000-00005E0C0000}"/>
    <cellStyle name="40% - Accent1 5 23" xfId="3567" xr:uid="{00000000-0005-0000-0000-00005F0C0000}"/>
    <cellStyle name="40% - Accent1 5 24" xfId="3568" xr:uid="{00000000-0005-0000-0000-0000600C0000}"/>
    <cellStyle name="40% - Accent1 5 25" xfId="3569" xr:uid="{00000000-0005-0000-0000-0000610C0000}"/>
    <cellStyle name="40% - Accent1 5 26" xfId="3570" xr:uid="{00000000-0005-0000-0000-0000620C0000}"/>
    <cellStyle name="40% - Accent1 5 27" xfId="3571" xr:uid="{00000000-0005-0000-0000-0000630C0000}"/>
    <cellStyle name="40% - Accent1 5 28" xfId="3572" xr:uid="{00000000-0005-0000-0000-0000640C0000}"/>
    <cellStyle name="40% - Accent1 5 29" xfId="3573" xr:uid="{00000000-0005-0000-0000-0000650C0000}"/>
    <cellStyle name="40% - Accent1 5 3" xfId="3574" xr:uid="{00000000-0005-0000-0000-0000660C0000}"/>
    <cellStyle name="40% - Accent1 5 30" xfId="3575" xr:uid="{00000000-0005-0000-0000-0000670C0000}"/>
    <cellStyle name="40% - Accent1 5 31" xfId="3576" xr:uid="{00000000-0005-0000-0000-0000680C0000}"/>
    <cellStyle name="40% - Accent1 5 32" xfId="3577" xr:uid="{00000000-0005-0000-0000-0000690C0000}"/>
    <cellStyle name="40% - Accent1 5 33" xfId="3578" xr:uid="{00000000-0005-0000-0000-00006A0C0000}"/>
    <cellStyle name="40% - Accent1 5 34" xfId="3579" xr:uid="{00000000-0005-0000-0000-00006B0C0000}"/>
    <cellStyle name="40% - Accent1 5 35" xfId="3580" xr:uid="{00000000-0005-0000-0000-00006C0C0000}"/>
    <cellStyle name="40% - Accent1 5 36" xfId="3581" xr:uid="{00000000-0005-0000-0000-00006D0C0000}"/>
    <cellStyle name="40% - Accent1 5 37" xfId="3582" xr:uid="{00000000-0005-0000-0000-00006E0C0000}"/>
    <cellStyle name="40% - Accent1 5 38" xfId="3583" xr:uid="{00000000-0005-0000-0000-00006F0C0000}"/>
    <cellStyle name="40% - Accent1 5 39" xfId="3584" xr:uid="{00000000-0005-0000-0000-0000700C0000}"/>
    <cellStyle name="40% - Accent1 5 4" xfId="3585" xr:uid="{00000000-0005-0000-0000-0000710C0000}"/>
    <cellStyle name="40% - Accent1 5 40" xfId="3586" xr:uid="{00000000-0005-0000-0000-0000720C0000}"/>
    <cellStyle name="40% - Accent1 5 41" xfId="3587" xr:uid="{00000000-0005-0000-0000-0000730C0000}"/>
    <cellStyle name="40% - Accent1 5 5" xfId="3588" xr:uid="{00000000-0005-0000-0000-0000740C0000}"/>
    <cellStyle name="40% - Accent1 5 6" xfId="3589" xr:uid="{00000000-0005-0000-0000-0000750C0000}"/>
    <cellStyle name="40% - Accent1 5 7" xfId="3590" xr:uid="{00000000-0005-0000-0000-0000760C0000}"/>
    <cellStyle name="40% - Accent1 5 8" xfId="3591" xr:uid="{00000000-0005-0000-0000-0000770C0000}"/>
    <cellStyle name="40% - Accent1 5 9" xfId="3592" xr:uid="{00000000-0005-0000-0000-0000780C0000}"/>
    <cellStyle name="40% - Accent1 6" xfId="3593" xr:uid="{00000000-0005-0000-0000-0000790C0000}"/>
    <cellStyle name="40% - Accent1 6 10" xfId="3594" xr:uid="{00000000-0005-0000-0000-00007A0C0000}"/>
    <cellStyle name="40% - Accent1 6 11" xfId="3595" xr:uid="{00000000-0005-0000-0000-00007B0C0000}"/>
    <cellStyle name="40% - Accent1 6 12" xfId="3596" xr:uid="{00000000-0005-0000-0000-00007C0C0000}"/>
    <cellStyle name="40% - Accent1 6 13" xfId="3597" xr:uid="{00000000-0005-0000-0000-00007D0C0000}"/>
    <cellStyle name="40% - Accent1 6 14" xfId="3598" xr:uid="{00000000-0005-0000-0000-00007E0C0000}"/>
    <cellStyle name="40% - Accent1 6 15" xfId="3599" xr:uid="{00000000-0005-0000-0000-00007F0C0000}"/>
    <cellStyle name="40% - Accent1 6 16" xfId="3600" xr:uid="{00000000-0005-0000-0000-0000800C0000}"/>
    <cellStyle name="40% - Accent1 6 17" xfId="3601" xr:uid="{00000000-0005-0000-0000-0000810C0000}"/>
    <cellStyle name="40% - Accent1 6 18" xfId="3602" xr:uid="{00000000-0005-0000-0000-0000820C0000}"/>
    <cellStyle name="40% - Accent1 7" xfId="3731" xr:uid="{00000000-0005-0000-0000-0000830C0000}"/>
    <cellStyle name="40% - Accent2 2" xfId="29" xr:uid="{00000000-0005-0000-0000-0000840C0000}"/>
    <cellStyle name="40% - Accent2 2 2" xfId="350" xr:uid="{00000000-0005-0000-0000-0000850C0000}"/>
    <cellStyle name="40% - Accent2 2 3" xfId="349" xr:uid="{00000000-0005-0000-0000-0000860C0000}"/>
    <cellStyle name="40% - Accent2 3" xfId="348" xr:uid="{00000000-0005-0000-0000-0000870C0000}"/>
    <cellStyle name="40% - Accent2 4" xfId="3732" xr:uid="{00000000-0005-0000-0000-0000880C0000}"/>
    <cellStyle name="40% - Accent3 2" xfId="30" xr:uid="{00000000-0005-0000-0000-0000890C0000}"/>
    <cellStyle name="40% - Accent3 2 2" xfId="353" xr:uid="{00000000-0005-0000-0000-00008A0C0000}"/>
    <cellStyle name="40% - Accent3 2 3" xfId="352" xr:uid="{00000000-0005-0000-0000-00008B0C0000}"/>
    <cellStyle name="40% - Accent3 3" xfId="351" xr:uid="{00000000-0005-0000-0000-00008C0C0000}"/>
    <cellStyle name="40% - Accent3 4" xfId="3733" xr:uid="{00000000-0005-0000-0000-00008D0C0000}"/>
    <cellStyle name="40% - Accent4 2" xfId="31" xr:uid="{00000000-0005-0000-0000-00008E0C0000}"/>
    <cellStyle name="40% - Accent4 2 2" xfId="356" xr:uid="{00000000-0005-0000-0000-00008F0C0000}"/>
    <cellStyle name="40% - Accent4 2 3" xfId="355" xr:uid="{00000000-0005-0000-0000-0000900C0000}"/>
    <cellStyle name="40% - Accent4 3" xfId="354" xr:uid="{00000000-0005-0000-0000-0000910C0000}"/>
    <cellStyle name="40% - Accent4 4" xfId="3734" xr:uid="{00000000-0005-0000-0000-0000920C0000}"/>
    <cellStyle name="40% - Accent5 2" xfId="32" xr:uid="{00000000-0005-0000-0000-0000930C0000}"/>
    <cellStyle name="40% - Accent5 2 2" xfId="359" xr:uid="{00000000-0005-0000-0000-0000940C0000}"/>
    <cellStyle name="40% - Accent5 2 3" xfId="358" xr:uid="{00000000-0005-0000-0000-0000950C0000}"/>
    <cellStyle name="40% - Accent5 3" xfId="357" xr:uid="{00000000-0005-0000-0000-0000960C0000}"/>
    <cellStyle name="40% - Accent6 2" xfId="33" xr:uid="{00000000-0005-0000-0000-0000970C0000}"/>
    <cellStyle name="40% - Accent6 2 2" xfId="362" xr:uid="{00000000-0005-0000-0000-0000980C0000}"/>
    <cellStyle name="40% - Accent6 2 3" xfId="361" xr:uid="{00000000-0005-0000-0000-0000990C0000}"/>
    <cellStyle name="40% - Accent6 3" xfId="360" xr:uid="{00000000-0005-0000-0000-00009A0C0000}"/>
    <cellStyle name="40% - Accent6 4" xfId="3735" xr:uid="{00000000-0005-0000-0000-00009B0C0000}"/>
    <cellStyle name="60% - Accent1 2" xfId="34" xr:uid="{00000000-0005-0000-0000-00009C0C0000}"/>
    <cellStyle name="60% - Accent1 2 2" xfId="365" xr:uid="{00000000-0005-0000-0000-00009D0C0000}"/>
    <cellStyle name="60% - Accent1 2 3" xfId="364" xr:uid="{00000000-0005-0000-0000-00009E0C0000}"/>
    <cellStyle name="60% - Accent1 3" xfId="363" xr:uid="{00000000-0005-0000-0000-00009F0C0000}"/>
    <cellStyle name="60% - Accent1 4" xfId="3736" xr:uid="{00000000-0005-0000-0000-0000A00C0000}"/>
    <cellStyle name="60% - Accent2 2" xfId="35" xr:uid="{00000000-0005-0000-0000-0000A10C0000}"/>
    <cellStyle name="60% - Accent2 2 2" xfId="368" xr:uid="{00000000-0005-0000-0000-0000A20C0000}"/>
    <cellStyle name="60% - Accent2 2 3" xfId="367" xr:uid="{00000000-0005-0000-0000-0000A30C0000}"/>
    <cellStyle name="60% - Accent2 3" xfId="366" xr:uid="{00000000-0005-0000-0000-0000A40C0000}"/>
    <cellStyle name="60% - Accent2 4" xfId="3737" xr:uid="{00000000-0005-0000-0000-0000A50C0000}"/>
    <cellStyle name="60% - Accent3 2" xfId="36" xr:uid="{00000000-0005-0000-0000-0000A60C0000}"/>
    <cellStyle name="60% - Accent3 2 2" xfId="371" xr:uid="{00000000-0005-0000-0000-0000A70C0000}"/>
    <cellStyle name="60% - Accent3 2 3" xfId="370" xr:uid="{00000000-0005-0000-0000-0000A80C0000}"/>
    <cellStyle name="60% - Accent3 3" xfId="369" xr:uid="{00000000-0005-0000-0000-0000A90C0000}"/>
    <cellStyle name="60% - Accent3 4" xfId="3738" xr:uid="{00000000-0005-0000-0000-0000AA0C0000}"/>
    <cellStyle name="60% - Accent4 2" xfId="37" xr:uid="{00000000-0005-0000-0000-0000AB0C0000}"/>
    <cellStyle name="60% - Accent4 2 2" xfId="374" xr:uid="{00000000-0005-0000-0000-0000AC0C0000}"/>
    <cellStyle name="60% - Accent4 2 3" xfId="373" xr:uid="{00000000-0005-0000-0000-0000AD0C0000}"/>
    <cellStyle name="60% - Accent4 3" xfId="372" xr:uid="{00000000-0005-0000-0000-0000AE0C0000}"/>
    <cellStyle name="60% - Accent4 4" xfId="3739" xr:uid="{00000000-0005-0000-0000-0000AF0C0000}"/>
    <cellStyle name="60% - Accent5 2" xfId="38" xr:uid="{00000000-0005-0000-0000-0000B00C0000}"/>
    <cellStyle name="60% - Accent5 2 2" xfId="377" xr:uid="{00000000-0005-0000-0000-0000B10C0000}"/>
    <cellStyle name="60% - Accent5 2 3" xfId="376" xr:uid="{00000000-0005-0000-0000-0000B20C0000}"/>
    <cellStyle name="60% - Accent5 3" xfId="375" xr:uid="{00000000-0005-0000-0000-0000B30C0000}"/>
    <cellStyle name="60% - Accent6 2" xfId="39" xr:uid="{00000000-0005-0000-0000-0000B40C0000}"/>
    <cellStyle name="60% - Accent6 2 2" xfId="380" xr:uid="{00000000-0005-0000-0000-0000B50C0000}"/>
    <cellStyle name="60% - Accent6 2 3" xfId="379" xr:uid="{00000000-0005-0000-0000-0000B60C0000}"/>
    <cellStyle name="60% - Accent6 3" xfId="378" xr:uid="{00000000-0005-0000-0000-0000B70C0000}"/>
    <cellStyle name="60% - Accent6 4" xfId="3740" xr:uid="{00000000-0005-0000-0000-0000B80C0000}"/>
    <cellStyle name="Accent1 - 20%" xfId="3742" xr:uid="{00000000-0005-0000-0000-0000B90C0000}"/>
    <cellStyle name="Accent1 - 40%" xfId="3743" xr:uid="{00000000-0005-0000-0000-0000BA0C0000}"/>
    <cellStyle name="Accent1 - 60%" xfId="3744" xr:uid="{00000000-0005-0000-0000-0000BB0C0000}"/>
    <cellStyle name="Accent1 2" xfId="40" xr:uid="{00000000-0005-0000-0000-0000BC0C0000}"/>
    <cellStyle name="Accent1 2 2" xfId="383" xr:uid="{00000000-0005-0000-0000-0000BD0C0000}"/>
    <cellStyle name="Accent1 2 3" xfId="382" xr:uid="{00000000-0005-0000-0000-0000BE0C0000}"/>
    <cellStyle name="Accent1 3" xfId="381" xr:uid="{00000000-0005-0000-0000-0000BF0C0000}"/>
    <cellStyle name="Accent1 4" xfId="3741" xr:uid="{00000000-0005-0000-0000-0000C00C0000}"/>
    <cellStyle name="Accent2 - 20%" xfId="3746" xr:uid="{00000000-0005-0000-0000-0000C10C0000}"/>
    <cellStyle name="Accent2 - 40%" xfId="3747" xr:uid="{00000000-0005-0000-0000-0000C20C0000}"/>
    <cellStyle name="Accent2 - 60%" xfId="3748" xr:uid="{00000000-0005-0000-0000-0000C30C0000}"/>
    <cellStyle name="Accent2 2" xfId="41" xr:uid="{00000000-0005-0000-0000-0000C40C0000}"/>
    <cellStyle name="Accent2 2 2" xfId="386" xr:uid="{00000000-0005-0000-0000-0000C50C0000}"/>
    <cellStyle name="Accent2 2 3" xfId="385" xr:uid="{00000000-0005-0000-0000-0000C60C0000}"/>
    <cellStyle name="Accent2 3" xfId="384" xr:uid="{00000000-0005-0000-0000-0000C70C0000}"/>
    <cellStyle name="Accent2 4" xfId="3745" xr:uid="{00000000-0005-0000-0000-0000C80C0000}"/>
    <cellStyle name="Accent3 - 20%" xfId="3749" xr:uid="{00000000-0005-0000-0000-0000C90C0000}"/>
    <cellStyle name="Accent3 - 40%" xfId="3750" xr:uid="{00000000-0005-0000-0000-0000CA0C0000}"/>
    <cellStyle name="Accent3 - 60%" xfId="3751" xr:uid="{00000000-0005-0000-0000-0000CB0C0000}"/>
    <cellStyle name="Accent3 2" xfId="42" xr:uid="{00000000-0005-0000-0000-0000CC0C0000}"/>
    <cellStyle name="Accent3 2 2" xfId="389" xr:uid="{00000000-0005-0000-0000-0000CD0C0000}"/>
    <cellStyle name="Accent3 2 3" xfId="388" xr:uid="{00000000-0005-0000-0000-0000CE0C0000}"/>
    <cellStyle name="Accent3 3" xfId="387" xr:uid="{00000000-0005-0000-0000-0000CF0C0000}"/>
    <cellStyle name="Accent4 - 20%" xfId="3752" xr:uid="{00000000-0005-0000-0000-0000D00C0000}"/>
    <cellStyle name="Accent4 - 40%" xfId="3753" xr:uid="{00000000-0005-0000-0000-0000D10C0000}"/>
    <cellStyle name="Accent4 - 60%" xfId="3754" xr:uid="{00000000-0005-0000-0000-0000D20C0000}"/>
    <cellStyle name="Accent4 2" xfId="43" xr:uid="{00000000-0005-0000-0000-0000D30C0000}"/>
    <cellStyle name="Accent4 2 2" xfId="392" xr:uid="{00000000-0005-0000-0000-0000D40C0000}"/>
    <cellStyle name="Accent4 2 3" xfId="391" xr:uid="{00000000-0005-0000-0000-0000D50C0000}"/>
    <cellStyle name="Accent4 3" xfId="390" xr:uid="{00000000-0005-0000-0000-0000D60C0000}"/>
    <cellStyle name="Accent5 - 20%" xfId="3755" xr:uid="{00000000-0005-0000-0000-0000D70C0000}"/>
    <cellStyle name="Accent5 - 40%" xfId="3756" xr:uid="{00000000-0005-0000-0000-0000D80C0000}"/>
    <cellStyle name="Accent5 - 60%" xfId="3757" xr:uid="{00000000-0005-0000-0000-0000D90C0000}"/>
    <cellStyle name="Accent5 2" xfId="44" xr:uid="{00000000-0005-0000-0000-0000DA0C0000}"/>
    <cellStyle name="Accent5 3" xfId="393" xr:uid="{00000000-0005-0000-0000-0000DB0C0000}"/>
    <cellStyle name="Accent6 - 20%" xfId="3759" xr:uid="{00000000-0005-0000-0000-0000DC0C0000}"/>
    <cellStyle name="Accent6 - 40%" xfId="3760" xr:uid="{00000000-0005-0000-0000-0000DD0C0000}"/>
    <cellStyle name="Accent6 - 60%" xfId="3761" xr:uid="{00000000-0005-0000-0000-0000DE0C0000}"/>
    <cellStyle name="Accent6 2" xfId="45" xr:uid="{00000000-0005-0000-0000-0000DF0C0000}"/>
    <cellStyle name="Accent6 2 2" xfId="396" xr:uid="{00000000-0005-0000-0000-0000E00C0000}"/>
    <cellStyle name="Accent6 2 3" xfId="395" xr:uid="{00000000-0005-0000-0000-0000E10C0000}"/>
    <cellStyle name="Accent6 3" xfId="394" xr:uid="{00000000-0005-0000-0000-0000E20C0000}"/>
    <cellStyle name="Accent6 4" xfId="3758" xr:uid="{00000000-0005-0000-0000-0000E30C0000}"/>
    <cellStyle name="Bad 2" xfId="46" xr:uid="{00000000-0005-0000-0000-0000E40C0000}"/>
    <cellStyle name="Bad 2 2" xfId="399" xr:uid="{00000000-0005-0000-0000-0000E50C0000}"/>
    <cellStyle name="Bad 2 3" xfId="398" xr:uid="{00000000-0005-0000-0000-0000E60C0000}"/>
    <cellStyle name="Bad 3" xfId="397" xr:uid="{00000000-0005-0000-0000-0000E70C0000}"/>
    <cellStyle name="Calculation 2" xfId="47" xr:uid="{00000000-0005-0000-0000-0000E80C0000}"/>
    <cellStyle name="Calculation 2 2" xfId="112" xr:uid="{00000000-0005-0000-0000-0000E90C0000}"/>
    <cellStyle name="Calculation 2 2 2" xfId="402" xr:uid="{00000000-0005-0000-0000-0000EA0C0000}"/>
    <cellStyle name="Calculation 2 3" xfId="401" xr:uid="{00000000-0005-0000-0000-0000EB0C0000}"/>
    <cellStyle name="Calculation 2 4" xfId="3677" xr:uid="{00000000-0005-0000-0000-0000EC0C0000}"/>
    <cellStyle name="Calculation 2 5" xfId="3721" xr:uid="{00000000-0005-0000-0000-0000ED0C0000}"/>
    <cellStyle name="Calculation 3" xfId="101" xr:uid="{00000000-0005-0000-0000-0000EE0C0000}"/>
    <cellStyle name="Calculation 4" xfId="107" xr:uid="{00000000-0005-0000-0000-0000EF0C0000}"/>
    <cellStyle name="Calculation 5" xfId="400" xr:uid="{00000000-0005-0000-0000-0000F00C0000}"/>
    <cellStyle name="Calculation 6" xfId="3762" xr:uid="{00000000-0005-0000-0000-0000F10C0000}"/>
    <cellStyle name="caps 0.00" xfId="48" xr:uid="{00000000-0005-0000-0000-0000F20C0000}"/>
    <cellStyle name="caps 0.00 2" xfId="106" xr:uid="{00000000-0005-0000-0000-0000F30C0000}"/>
    <cellStyle name="caps 0.00 3" xfId="113" xr:uid="{00000000-0005-0000-0000-0000F40C0000}"/>
    <cellStyle name="ChartingText" xfId="3763" xr:uid="{00000000-0005-0000-0000-0000F50C0000}"/>
    <cellStyle name="Check Cell 2" xfId="49" xr:uid="{00000000-0005-0000-0000-0000F60C0000}"/>
    <cellStyle name="Check Cell 3" xfId="403" xr:uid="{00000000-0005-0000-0000-0000F70C0000}"/>
    <cellStyle name="Check Cell 4" xfId="3764" xr:uid="{00000000-0005-0000-0000-0000F80C0000}"/>
    <cellStyle name="checkExposure" xfId="3603" xr:uid="{00000000-0005-0000-0000-0000F90C0000}"/>
    <cellStyle name="ColumnHeaderNormal" xfId="3765" xr:uid="{00000000-0005-0000-0000-0000FA0C0000}"/>
    <cellStyle name="Comma" xfId="3801" builtinId="3"/>
    <cellStyle name="Comma 2" xfId="50" xr:uid="{00000000-0005-0000-0000-0000FC0C0000}"/>
    <cellStyle name="Comma 2 2" xfId="115" xr:uid="{00000000-0005-0000-0000-0000FD0C0000}"/>
    <cellStyle name="Comma 2 3" xfId="114" xr:uid="{00000000-0005-0000-0000-0000FE0C0000}"/>
    <cellStyle name="Comma 2 4" xfId="404" xr:uid="{00000000-0005-0000-0000-0000FF0C0000}"/>
    <cellStyle name="Comma 3" xfId="116" xr:uid="{00000000-0005-0000-0000-0000000D0000}"/>
    <cellStyle name="Comma 3 2" xfId="3606" xr:uid="{00000000-0005-0000-0000-0000010D0000}"/>
    <cellStyle name="Comma 3 3" xfId="3605" xr:uid="{00000000-0005-0000-0000-0000020D0000}"/>
    <cellStyle name="Comma 4" xfId="3607" xr:uid="{00000000-0005-0000-0000-0000030D0000}"/>
    <cellStyle name="Comma 4 2" xfId="3608" xr:uid="{00000000-0005-0000-0000-0000040D0000}"/>
    <cellStyle name="Comma 5" xfId="3609" xr:uid="{00000000-0005-0000-0000-0000050D0000}"/>
    <cellStyle name="Comma 6" xfId="3610" xr:uid="{00000000-0005-0000-0000-0000060D0000}"/>
    <cellStyle name="Comma 7" xfId="3611" xr:uid="{00000000-0005-0000-0000-0000070D0000}"/>
    <cellStyle name="Comma 8" xfId="3604" xr:uid="{00000000-0005-0000-0000-0000080D0000}"/>
    <cellStyle name="Euro" xfId="51" xr:uid="{00000000-0005-0000-0000-0000090D0000}"/>
    <cellStyle name="Euro 10" xfId="52" xr:uid="{00000000-0005-0000-0000-00000A0D0000}"/>
    <cellStyle name="Euro 11" xfId="53" xr:uid="{00000000-0005-0000-0000-00000B0D0000}"/>
    <cellStyle name="Euro 12" xfId="54" xr:uid="{00000000-0005-0000-0000-00000C0D0000}"/>
    <cellStyle name="Euro 13" xfId="55" xr:uid="{00000000-0005-0000-0000-00000D0D0000}"/>
    <cellStyle name="Euro 14" xfId="56" xr:uid="{00000000-0005-0000-0000-00000E0D0000}"/>
    <cellStyle name="Euro 2" xfId="57" xr:uid="{00000000-0005-0000-0000-00000F0D0000}"/>
    <cellStyle name="Euro 3" xfId="58" xr:uid="{00000000-0005-0000-0000-0000100D0000}"/>
    <cellStyle name="Euro 4" xfId="59" xr:uid="{00000000-0005-0000-0000-0000110D0000}"/>
    <cellStyle name="Euro 5" xfId="60" xr:uid="{00000000-0005-0000-0000-0000120D0000}"/>
    <cellStyle name="Euro 6" xfId="61" xr:uid="{00000000-0005-0000-0000-0000130D0000}"/>
    <cellStyle name="Euro 7" xfId="62" xr:uid="{00000000-0005-0000-0000-0000140D0000}"/>
    <cellStyle name="Euro 8" xfId="63" xr:uid="{00000000-0005-0000-0000-0000150D0000}"/>
    <cellStyle name="Euro 9" xfId="64" xr:uid="{00000000-0005-0000-0000-0000160D0000}"/>
    <cellStyle name="Explanatory Text 2" xfId="65" xr:uid="{00000000-0005-0000-0000-0000170D0000}"/>
    <cellStyle name="Explanatory Text 3" xfId="405" xr:uid="{00000000-0005-0000-0000-0000180D0000}"/>
    <cellStyle name="Good 2" xfId="66" xr:uid="{00000000-0005-0000-0000-0000190D0000}"/>
    <cellStyle name="Good 2 2" xfId="408" xr:uid="{00000000-0005-0000-0000-00001A0D0000}"/>
    <cellStyle name="Good 2 3" xfId="407" xr:uid="{00000000-0005-0000-0000-00001B0D0000}"/>
    <cellStyle name="Good 3" xfId="406" xr:uid="{00000000-0005-0000-0000-00001C0D0000}"/>
    <cellStyle name="greyed" xfId="3612" xr:uid="{00000000-0005-0000-0000-00001D0D0000}"/>
    <cellStyle name="Heading 1 2" xfId="67" xr:uid="{00000000-0005-0000-0000-00001E0D0000}"/>
    <cellStyle name="Heading 1 2 2" xfId="411" xr:uid="{00000000-0005-0000-0000-00001F0D0000}"/>
    <cellStyle name="Heading 1 2 3" xfId="410" xr:uid="{00000000-0005-0000-0000-0000200D0000}"/>
    <cellStyle name="Heading 1 3" xfId="409" xr:uid="{00000000-0005-0000-0000-0000210D0000}"/>
    <cellStyle name="Heading 1 4" xfId="3766" xr:uid="{00000000-0005-0000-0000-0000220D0000}"/>
    <cellStyle name="Heading 2 2" xfId="68" xr:uid="{00000000-0005-0000-0000-0000230D0000}"/>
    <cellStyle name="Heading 2 2 2" xfId="414" xr:uid="{00000000-0005-0000-0000-0000240D0000}"/>
    <cellStyle name="Heading 2 2 3" xfId="413" xr:uid="{00000000-0005-0000-0000-0000250D0000}"/>
    <cellStyle name="Heading 2 3" xfId="412" xr:uid="{00000000-0005-0000-0000-0000260D0000}"/>
    <cellStyle name="Heading 2 4" xfId="3767" xr:uid="{00000000-0005-0000-0000-0000270D0000}"/>
    <cellStyle name="Heading 3 2" xfId="69" xr:uid="{00000000-0005-0000-0000-0000280D0000}"/>
    <cellStyle name="Heading 3 2 2" xfId="417" xr:uid="{00000000-0005-0000-0000-0000290D0000}"/>
    <cellStyle name="Heading 3 2 3" xfId="416" xr:uid="{00000000-0005-0000-0000-00002A0D0000}"/>
    <cellStyle name="Heading 3 3" xfId="415" xr:uid="{00000000-0005-0000-0000-00002B0D0000}"/>
    <cellStyle name="Heading 3 4" xfId="3768" xr:uid="{00000000-0005-0000-0000-00002C0D0000}"/>
    <cellStyle name="Heading 4 2" xfId="70" xr:uid="{00000000-0005-0000-0000-00002D0D0000}"/>
    <cellStyle name="Heading 4 2 2" xfId="420" xr:uid="{00000000-0005-0000-0000-00002E0D0000}"/>
    <cellStyle name="Heading 4 2 3" xfId="419" xr:uid="{00000000-0005-0000-0000-00002F0D0000}"/>
    <cellStyle name="Heading 4 3" xfId="418" xr:uid="{00000000-0005-0000-0000-0000300D0000}"/>
    <cellStyle name="Heading 4 3 2" xfId="3678" xr:uid="{00000000-0005-0000-0000-0000310D0000}"/>
    <cellStyle name="Heading 4 4" xfId="3769" xr:uid="{00000000-0005-0000-0000-0000320D0000}"/>
    <cellStyle name="HeadingTable" xfId="3613" xr:uid="{00000000-0005-0000-0000-0000330D0000}"/>
    <cellStyle name="HeadlineStyle" xfId="117" xr:uid="{00000000-0005-0000-0000-0000340D0000}"/>
    <cellStyle name="HeadlineStyle 2" xfId="3679" xr:uid="{00000000-0005-0000-0000-0000350D0000}"/>
    <cellStyle name="HeadlineStyleJustified" xfId="3680" xr:uid="{00000000-0005-0000-0000-0000360D0000}"/>
    <cellStyle name="highlightExposure" xfId="3614" xr:uid="{00000000-0005-0000-0000-0000370D0000}"/>
    <cellStyle name="highlightPD" xfId="3615" xr:uid="{00000000-0005-0000-0000-0000380D0000}"/>
    <cellStyle name="highlightPercentage" xfId="3616" xr:uid="{00000000-0005-0000-0000-0000390D0000}"/>
    <cellStyle name="highlightText" xfId="3617" xr:uid="{00000000-0005-0000-0000-00003A0D0000}"/>
    <cellStyle name="Hyperlink" xfId="3803" builtinId="8"/>
    <cellStyle name="Hyperlink 2" xfId="71" xr:uid="{00000000-0005-0000-0000-00003B0D0000}"/>
    <cellStyle name="Hyperlink 2 2" xfId="421" xr:uid="{00000000-0005-0000-0000-00003C0D0000}"/>
    <cellStyle name="Hyperlink 2 2 2" xfId="3682" xr:uid="{00000000-0005-0000-0000-00003D0D0000}"/>
    <cellStyle name="Hyperlink 2 3" xfId="3618" xr:uid="{00000000-0005-0000-0000-00003E0D0000}"/>
    <cellStyle name="Hyperlink 2 4" xfId="3681" xr:uid="{00000000-0005-0000-0000-00003F0D0000}"/>
    <cellStyle name="Hyperlink 2_Bank_Financials" xfId="3683" xr:uid="{00000000-0005-0000-0000-0000400D0000}"/>
    <cellStyle name="Hyperlink 3" xfId="422" xr:uid="{00000000-0005-0000-0000-0000410D0000}"/>
    <cellStyle name="Hyperlink 3 2" xfId="3619" xr:uid="{00000000-0005-0000-0000-0000420D0000}"/>
    <cellStyle name="Hyperlink 4" xfId="3620" xr:uid="{00000000-0005-0000-0000-0000430D0000}"/>
    <cellStyle name="Input 2" xfId="72" xr:uid="{00000000-0005-0000-0000-0000440D0000}"/>
    <cellStyle name="Input 2 2" xfId="118" xr:uid="{00000000-0005-0000-0000-0000450D0000}"/>
    <cellStyle name="Input 2 2 2" xfId="425" xr:uid="{00000000-0005-0000-0000-0000460D0000}"/>
    <cellStyle name="Input 2 3" xfId="424" xr:uid="{00000000-0005-0000-0000-0000470D0000}"/>
    <cellStyle name="Input 2 4" xfId="3684" xr:uid="{00000000-0005-0000-0000-0000480D0000}"/>
    <cellStyle name="Input 2 5" xfId="3722" xr:uid="{00000000-0005-0000-0000-0000490D0000}"/>
    <cellStyle name="Input 3" xfId="102" xr:uid="{00000000-0005-0000-0000-00004A0D0000}"/>
    <cellStyle name="Input 4" xfId="108" xr:uid="{00000000-0005-0000-0000-00004B0D0000}"/>
    <cellStyle name="Input 5" xfId="423" xr:uid="{00000000-0005-0000-0000-00004C0D0000}"/>
    <cellStyle name="Input 6" xfId="3770" xr:uid="{00000000-0005-0000-0000-00004D0D0000}"/>
    <cellStyle name="inputDate" xfId="3621" xr:uid="{00000000-0005-0000-0000-00004E0D0000}"/>
    <cellStyle name="inputExposure" xfId="3622" xr:uid="{00000000-0005-0000-0000-00004F0D0000}"/>
    <cellStyle name="inputMaturity" xfId="3623" xr:uid="{00000000-0005-0000-0000-0000500D0000}"/>
    <cellStyle name="inputParameterE" xfId="3624" xr:uid="{00000000-0005-0000-0000-0000510D0000}"/>
    <cellStyle name="inputPD" xfId="3625" xr:uid="{00000000-0005-0000-0000-0000520D0000}"/>
    <cellStyle name="inputPercentage" xfId="3626" xr:uid="{00000000-0005-0000-0000-0000530D0000}"/>
    <cellStyle name="inputPercentageL" xfId="3627" xr:uid="{00000000-0005-0000-0000-0000540D0000}"/>
    <cellStyle name="inputPercentageS" xfId="3628" xr:uid="{00000000-0005-0000-0000-0000550D0000}"/>
    <cellStyle name="inputSelection" xfId="3629" xr:uid="{00000000-0005-0000-0000-0000560D0000}"/>
    <cellStyle name="inputText" xfId="3630" xr:uid="{00000000-0005-0000-0000-0000570D0000}"/>
    <cellStyle name="Invisible" xfId="3771" xr:uid="{00000000-0005-0000-0000-0000580D0000}"/>
    <cellStyle name="Linked Cell 2" xfId="73" xr:uid="{00000000-0005-0000-0000-0000590D0000}"/>
    <cellStyle name="Linked Cell 2 2" xfId="428" xr:uid="{00000000-0005-0000-0000-00005A0D0000}"/>
    <cellStyle name="Linked Cell 2 3" xfId="427" xr:uid="{00000000-0005-0000-0000-00005B0D0000}"/>
    <cellStyle name="Linked Cell 3" xfId="426" xr:uid="{00000000-0005-0000-0000-00005C0D0000}"/>
    <cellStyle name="Neutral 2" xfId="74" xr:uid="{00000000-0005-0000-0000-00005D0D0000}"/>
    <cellStyle name="Neutral 2 2" xfId="431" xr:uid="{00000000-0005-0000-0000-00005E0D0000}"/>
    <cellStyle name="Neutral 2 3" xfId="430" xr:uid="{00000000-0005-0000-0000-00005F0D0000}"/>
    <cellStyle name="Neutral 3" xfId="429" xr:uid="{00000000-0005-0000-0000-0000600D0000}"/>
    <cellStyle name="NewColumnHeaderNormal" xfId="3772" xr:uid="{00000000-0005-0000-0000-0000610D0000}"/>
    <cellStyle name="NewSectionHeaderNormal" xfId="3773" xr:uid="{00000000-0005-0000-0000-0000620D0000}"/>
    <cellStyle name="NewStyle" xfId="75" xr:uid="{00000000-0005-0000-0000-0000630D0000}"/>
    <cellStyle name="NewStyle 2" xfId="76" xr:uid="{00000000-0005-0000-0000-0000640D0000}"/>
    <cellStyle name="NewStyle 2 2" xfId="77" xr:uid="{00000000-0005-0000-0000-0000650D0000}"/>
    <cellStyle name="NewStyle 2 2 2" xfId="78" xr:uid="{00000000-0005-0000-0000-0000660D0000}"/>
    <cellStyle name="NewStyle 2 2 3" xfId="119" xr:uid="{00000000-0005-0000-0000-0000670D0000}"/>
    <cellStyle name="NewStyle 2 3" xfId="120" xr:uid="{00000000-0005-0000-0000-0000680D0000}"/>
    <cellStyle name="NewStyle 2 4" xfId="3685" xr:uid="{00000000-0005-0000-0000-0000690D0000}"/>
    <cellStyle name="NewStyle 3" xfId="79" xr:uid="{00000000-0005-0000-0000-00006A0D0000}"/>
    <cellStyle name="NewStyle 3 2" xfId="121" xr:uid="{00000000-0005-0000-0000-00006B0D0000}"/>
    <cellStyle name="NewStyle 4" xfId="80" xr:uid="{00000000-0005-0000-0000-00006C0D0000}"/>
    <cellStyle name="NewStyle 5" xfId="81" xr:uid="{00000000-0005-0000-0000-00006D0D0000}"/>
    <cellStyle name="NewStyle 6" xfId="433" xr:uid="{00000000-0005-0000-0000-00006E0D0000}"/>
    <cellStyle name="NewStyle 7" xfId="432" xr:uid="{00000000-0005-0000-0000-00006F0D0000}"/>
    <cellStyle name="NewStyle_Intermediate" xfId="3686" xr:uid="{00000000-0005-0000-0000-0000700D0000}"/>
    <cellStyle name="NewTitleNormal" xfId="3774" xr:uid="{00000000-0005-0000-0000-0000710D0000}"/>
    <cellStyle name="Normal" xfId="0" builtinId="0"/>
    <cellStyle name="Normal 10" xfId="122" xr:uid="{00000000-0005-0000-0000-0000730D0000}"/>
    <cellStyle name="Normal 10 2" xfId="434" xr:uid="{00000000-0005-0000-0000-0000740D0000}"/>
    <cellStyle name="Normal 10 3" xfId="3687" xr:uid="{00000000-0005-0000-0000-0000750D0000}"/>
    <cellStyle name="Normal 11" xfId="123" xr:uid="{00000000-0005-0000-0000-0000760D0000}"/>
    <cellStyle name="Normal 11 10" xfId="124" xr:uid="{00000000-0005-0000-0000-0000770D0000}"/>
    <cellStyle name="Normal 11 11" xfId="125" xr:uid="{00000000-0005-0000-0000-0000780D0000}"/>
    <cellStyle name="Normal 11 12" xfId="126" xr:uid="{00000000-0005-0000-0000-0000790D0000}"/>
    <cellStyle name="Normal 11 13" xfId="3688" xr:uid="{00000000-0005-0000-0000-00007A0D0000}"/>
    <cellStyle name="Normal 11 14" xfId="3723" xr:uid="{00000000-0005-0000-0000-00007B0D0000}"/>
    <cellStyle name="Normal 11 2" xfId="127" xr:uid="{00000000-0005-0000-0000-00007C0D0000}"/>
    <cellStyle name="Normal 11 3" xfId="128" xr:uid="{00000000-0005-0000-0000-00007D0D0000}"/>
    <cellStyle name="Normal 11 4" xfId="129" xr:uid="{00000000-0005-0000-0000-00007E0D0000}"/>
    <cellStyle name="Normal 11 5" xfId="130" xr:uid="{00000000-0005-0000-0000-00007F0D0000}"/>
    <cellStyle name="Normal 11 6" xfId="131" xr:uid="{00000000-0005-0000-0000-0000800D0000}"/>
    <cellStyle name="Normal 11 7" xfId="132" xr:uid="{00000000-0005-0000-0000-0000810D0000}"/>
    <cellStyle name="Normal 11 8" xfId="133" xr:uid="{00000000-0005-0000-0000-0000820D0000}"/>
    <cellStyle name="Normal 11 9" xfId="134" xr:uid="{00000000-0005-0000-0000-0000830D0000}"/>
    <cellStyle name="Normal 12" xfId="135" xr:uid="{00000000-0005-0000-0000-0000840D0000}"/>
    <cellStyle name="Normal 12 10" xfId="136" xr:uid="{00000000-0005-0000-0000-0000850D0000}"/>
    <cellStyle name="Normal 12 11" xfId="137" xr:uid="{00000000-0005-0000-0000-0000860D0000}"/>
    <cellStyle name="Normal 12 12" xfId="138" xr:uid="{00000000-0005-0000-0000-0000870D0000}"/>
    <cellStyle name="Normal 12 13" xfId="3689" xr:uid="{00000000-0005-0000-0000-0000880D0000}"/>
    <cellStyle name="Normal 12 2" xfId="139" xr:uid="{00000000-0005-0000-0000-0000890D0000}"/>
    <cellStyle name="Normal 12 3" xfId="140" xr:uid="{00000000-0005-0000-0000-00008A0D0000}"/>
    <cellStyle name="Normal 12 4" xfId="141" xr:uid="{00000000-0005-0000-0000-00008B0D0000}"/>
    <cellStyle name="Normal 12 5" xfId="142" xr:uid="{00000000-0005-0000-0000-00008C0D0000}"/>
    <cellStyle name="Normal 12 6" xfId="143" xr:uid="{00000000-0005-0000-0000-00008D0D0000}"/>
    <cellStyle name="Normal 12 7" xfId="144" xr:uid="{00000000-0005-0000-0000-00008E0D0000}"/>
    <cellStyle name="Normal 12 8" xfId="145" xr:uid="{00000000-0005-0000-0000-00008F0D0000}"/>
    <cellStyle name="Normal 12 9" xfId="146" xr:uid="{00000000-0005-0000-0000-0000900D0000}"/>
    <cellStyle name="Normal 13" xfId="147" xr:uid="{00000000-0005-0000-0000-0000910D0000}"/>
    <cellStyle name="Normal 13 10" xfId="148" xr:uid="{00000000-0005-0000-0000-0000920D0000}"/>
    <cellStyle name="Normal 13 11" xfId="149" xr:uid="{00000000-0005-0000-0000-0000930D0000}"/>
    <cellStyle name="Normal 13 12" xfId="150" xr:uid="{00000000-0005-0000-0000-0000940D0000}"/>
    <cellStyle name="Normal 13 13" xfId="3690" xr:uid="{00000000-0005-0000-0000-0000950D0000}"/>
    <cellStyle name="Normal 13 2" xfId="151" xr:uid="{00000000-0005-0000-0000-0000960D0000}"/>
    <cellStyle name="Normal 13 3" xfId="152" xr:uid="{00000000-0005-0000-0000-0000970D0000}"/>
    <cellStyle name="Normal 13 4" xfId="153" xr:uid="{00000000-0005-0000-0000-0000980D0000}"/>
    <cellStyle name="Normal 13 5" xfId="154" xr:uid="{00000000-0005-0000-0000-0000990D0000}"/>
    <cellStyle name="Normal 13 6" xfId="155" xr:uid="{00000000-0005-0000-0000-00009A0D0000}"/>
    <cellStyle name="Normal 13 7" xfId="156" xr:uid="{00000000-0005-0000-0000-00009B0D0000}"/>
    <cellStyle name="Normal 13 8" xfId="157" xr:uid="{00000000-0005-0000-0000-00009C0D0000}"/>
    <cellStyle name="Normal 13 9" xfId="158" xr:uid="{00000000-0005-0000-0000-00009D0D0000}"/>
    <cellStyle name="Normal 14" xfId="159" xr:uid="{00000000-0005-0000-0000-00009E0D0000}"/>
    <cellStyle name="Normal 14 10" xfId="160" xr:uid="{00000000-0005-0000-0000-00009F0D0000}"/>
    <cellStyle name="Normal 14 11" xfId="161" xr:uid="{00000000-0005-0000-0000-0000A00D0000}"/>
    <cellStyle name="Normal 14 12" xfId="162" xr:uid="{00000000-0005-0000-0000-0000A10D0000}"/>
    <cellStyle name="Normal 14 2" xfId="163" xr:uid="{00000000-0005-0000-0000-0000A20D0000}"/>
    <cellStyle name="Normal 14 3" xfId="164" xr:uid="{00000000-0005-0000-0000-0000A30D0000}"/>
    <cellStyle name="Normal 14 4" xfId="165" xr:uid="{00000000-0005-0000-0000-0000A40D0000}"/>
    <cellStyle name="Normal 14 5" xfId="166" xr:uid="{00000000-0005-0000-0000-0000A50D0000}"/>
    <cellStyle name="Normal 14 6" xfId="167" xr:uid="{00000000-0005-0000-0000-0000A60D0000}"/>
    <cellStyle name="Normal 14 7" xfId="168" xr:uid="{00000000-0005-0000-0000-0000A70D0000}"/>
    <cellStyle name="Normal 14 8" xfId="169" xr:uid="{00000000-0005-0000-0000-0000A80D0000}"/>
    <cellStyle name="Normal 14 9" xfId="170" xr:uid="{00000000-0005-0000-0000-0000A90D0000}"/>
    <cellStyle name="Normal 15" xfId="171" xr:uid="{00000000-0005-0000-0000-0000AA0D0000}"/>
    <cellStyle name="Normal 15 10" xfId="172" xr:uid="{00000000-0005-0000-0000-0000AB0D0000}"/>
    <cellStyle name="Normal 15 11" xfId="173" xr:uid="{00000000-0005-0000-0000-0000AC0D0000}"/>
    <cellStyle name="Normal 15 12" xfId="174" xr:uid="{00000000-0005-0000-0000-0000AD0D0000}"/>
    <cellStyle name="Normal 15 2" xfId="175" xr:uid="{00000000-0005-0000-0000-0000AE0D0000}"/>
    <cellStyle name="Normal 15 3" xfId="176" xr:uid="{00000000-0005-0000-0000-0000AF0D0000}"/>
    <cellStyle name="Normal 15 4" xfId="177" xr:uid="{00000000-0005-0000-0000-0000B00D0000}"/>
    <cellStyle name="Normal 15 5" xfId="178" xr:uid="{00000000-0005-0000-0000-0000B10D0000}"/>
    <cellStyle name="Normal 15 6" xfId="179" xr:uid="{00000000-0005-0000-0000-0000B20D0000}"/>
    <cellStyle name="Normal 15 7" xfId="180" xr:uid="{00000000-0005-0000-0000-0000B30D0000}"/>
    <cellStyle name="Normal 15 8" xfId="181" xr:uid="{00000000-0005-0000-0000-0000B40D0000}"/>
    <cellStyle name="Normal 15 9" xfId="182" xr:uid="{00000000-0005-0000-0000-0000B50D0000}"/>
    <cellStyle name="Normal 16" xfId="183" xr:uid="{00000000-0005-0000-0000-0000B60D0000}"/>
    <cellStyle name="Normal 16 10" xfId="184" xr:uid="{00000000-0005-0000-0000-0000B70D0000}"/>
    <cellStyle name="Normal 16 11" xfId="185" xr:uid="{00000000-0005-0000-0000-0000B80D0000}"/>
    <cellStyle name="Normal 16 12" xfId="186" xr:uid="{00000000-0005-0000-0000-0000B90D0000}"/>
    <cellStyle name="Normal 16 2" xfId="187" xr:uid="{00000000-0005-0000-0000-0000BA0D0000}"/>
    <cellStyle name="Normal 16 3" xfId="188" xr:uid="{00000000-0005-0000-0000-0000BB0D0000}"/>
    <cellStyle name="Normal 16 4" xfId="189" xr:uid="{00000000-0005-0000-0000-0000BC0D0000}"/>
    <cellStyle name="Normal 16 5" xfId="190" xr:uid="{00000000-0005-0000-0000-0000BD0D0000}"/>
    <cellStyle name="Normal 16 6" xfId="191" xr:uid="{00000000-0005-0000-0000-0000BE0D0000}"/>
    <cellStyle name="Normal 16 7" xfId="192" xr:uid="{00000000-0005-0000-0000-0000BF0D0000}"/>
    <cellStyle name="Normal 16 8" xfId="193" xr:uid="{00000000-0005-0000-0000-0000C00D0000}"/>
    <cellStyle name="Normal 16 9" xfId="194" xr:uid="{00000000-0005-0000-0000-0000C10D0000}"/>
    <cellStyle name="Normal 17" xfId="195" xr:uid="{00000000-0005-0000-0000-0000C20D0000}"/>
    <cellStyle name="Normal 17 10" xfId="196" xr:uid="{00000000-0005-0000-0000-0000C30D0000}"/>
    <cellStyle name="Normal 17 11" xfId="197" xr:uid="{00000000-0005-0000-0000-0000C40D0000}"/>
    <cellStyle name="Normal 17 12" xfId="198" xr:uid="{00000000-0005-0000-0000-0000C50D0000}"/>
    <cellStyle name="Normal 17 2" xfId="199" xr:uid="{00000000-0005-0000-0000-0000C60D0000}"/>
    <cellStyle name="Normal 17 3" xfId="200" xr:uid="{00000000-0005-0000-0000-0000C70D0000}"/>
    <cellStyle name="Normal 17 4" xfId="201" xr:uid="{00000000-0005-0000-0000-0000C80D0000}"/>
    <cellStyle name="Normal 17 5" xfId="202" xr:uid="{00000000-0005-0000-0000-0000C90D0000}"/>
    <cellStyle name="Normal 17 6" xfId="203" xr:uid="{00000000-0005-0000-0000-0000CA0D0000}"/>
    <cellStyle name="Normal 17 7" xfId="204" xr:uid="{00000000-0005-0000-0000-0000CB0D0000}"/>
    <cellStyle name="Normal 17 8" xfId="205" xr:uid="{00000000-0005-0000-0000-0000CC0D0000}"/>
    <cellStyle name="Normal 17 9" xfId="206" xr:uid="{00000000-0005-0000-0000-0000CD0D0000}"/>
    <cellStyle name="Normal 18" xfId="207" xr:uid="{00000000-0005-0000-0000-0000CE0D0000}"/>
    <cellStyle name="Normal 18 10" xfId="208" xr:uid="{00000000-0005-0000-0000-0000CF0D0000}"/>
    <cellStyle name="Normal 18 11" xfId="209" xr:uid="{00000000-0005-0000-0000-0000D00D0000}"/>
    <cellStyle name="Normal 18 12" xfId="210" xr:uid="{00000000-0005-0000-0000-0000D10D0000}"/>
    <cellStyle name="Normal 18 2" xfId="211" xr:uid="{00000000-0005-0000-0000-0000D20D0000}"/>
    <cellStyle name="Normal 18 3" xfId="212" xr:uid="{00000000-0005-0000-0000-0000D30D0000}"/>
    <cellStyle name="Normal 18 4" xfId="213" xr:uid="{00000000-0005-0000-0000-0000D40D0000}"/>
    <cellStyle name="Normal 18 5" xfId="214" xr:uid="{00000000-0005-0000-0000-0000D50D0000}"/>
    <cellStyle name="Normal 18 6" xfId="215" xr:uid="{00000000-0005-0000-0000-0000D60D0000}"/>
    <cellStyle name="Normal 18 7" xfId="216" xr:uid="{00000000-0005-0000-0000-0000D70D0000}"/>
    <cellStyle name="Normal 18 8" xfId="217" xr:uid="{00000000-0005-0000-0000-0000D80D0000}"/>
    <cellStyle name="Normal 18 9" xfId="218" xr:uid="{00000000-0005-0000-0000-0000D90D0000}"/>
    <cellStyle name="Normal 19" xfId="219" xr:uid="{00000000-0005-0000-0000-0000DA0D0000}"/>
    <cellStyle name="Normal 19 10" xfId="220" xr:uid="{00000000-0005-0000-0000-0000DB0D0000}"/>
    <cellStyle name="Normal 19 11" xfId="221" xr:uid="{00000000-0005-0000-0000-0000DC0D0000}"/>
    <cellStyle name="Normal 19 12" xfId="222" xr:uid="{00000000-0005-0000-0000-0000DD0D0000}"/>
    <cellStyle name="Normal 19 2" xfId="223" xr:uid="{00000000-0005-0000-0000-0000DE0D0000}"/>
    <cellStyle name="Normal 19 3" xfId="224" xr:uid="{00000000-0005-0000-0000-0000DF0D0000}"/>
    <cellStyle name="Normal 19 4" xfId="225" xr:uid="{00000000-0005-0000-0000-0000E00D0000}"/>
    <cellStyle name="Normal 19 5" xfId="226" xr:uid="{00000000-0005-0000-0000-0000E10D0000}"/>
    <cellStyle name="Normal 19 6" xfId="227" xr:uid="{00000000-0005-0000-0000-0000E20D0000}"/>
    <cellStyle name="Normal 19 7" xfId="228" xr:uid="{00000000-0005-0000-0000-0000E30D0000}"/>
    <cellStyle name="Normal 19 8" xfId="229" xr:uid="{00000000-0005-0000-0000-0000E40D0000}"/>
    <cellStyle name="Normal 19 9" xfId="230" xr:uid="{00000000-0005-0000-0000-0000E50D0000}"/>
    <cellStyle name="Normal 2" xfId="82" xr:uid="{00000000-0005-0000-0000-0000E60D0000}"/>
    <cellStyle name="Normal 2 2" xfId="83" xr:uid="{00000000-0005-0000-0000-0000E70D0000}"/>
    <cellStyle name="Normal 2 2 2" xfId="84" xr:uid="{00000000-0005-0000-0000-0000E80D0000}"/>
    <cellStyle name="Normal 2 2 2 2" xfId="233" xr:uid="{00000000-0005-0000-0000-0000E90D0000}"/>
    <cellStyle name="Normal 2 2 2 3" xfId="232" xr:uid="{00000000-0005-0000-0000-0000EA0D0000}"/>
    <cellStyle name="Normal 2 2 3" xfId="234" xr:uid="{00000000-0005-0000-0000-0000EB0D0000}"/>
    <cellStyle name="Normal 2 2 4" xfId="231" xr:uid="{00000000-0005-0000-0000-0000EC0D0000}"/>
    <cellStyle name="Normal 2 2_Bank_Financials" xfId="3691" xr:uid="{00000000-0005-0000-0000-0000ED0D0000}"/>
    <cellStyle name="Normal 2 3" xfId="85" xr:uid="{00000000-0005-0000-0000-0000EE0D0000}"/>
    <cellStyle name="Normal 2 3 2" xfId="436" xr:uid="{00000000-0005-0000-0000-0000EF0D0000}"/>
    <cellStyle name="Normal 2 3 3" xfId="435" xr:uid="{00000000-0005-0000-0000-0000F00D0000}"/>
    <cellStyle name="Normal 2 3 4" xfId="3692" xr:uid="{00000000-0005-0000-0000-0000F10D0000}"/>
    <cellStyle name="Normal 2 4" xfId="235" xr:uid="{00000000-0005-0000-0000-0000F20D0000}"/>
    <cellStyle name="Normal 2 5" xfId="236" xr:uid="{00000000-0005-0000-0000-0000F30D0000}"/>
    <cellStyle name="Normal 2 6" xfId="237" xr:uid="{00000000-0005-0000-0000-0000F40D0000}"/>
    <cellStyle name="Normal 2 7" xfId="238" xr:uid="{00000000-0005-0000-0000-0000F50D0000}"/>
    <cellStyle name="Normal 2 7 2" xfId="239" xr:uid="{00000000-0005-0000-0000-0000F60D0000}"/>
    <cellStyle name="Normal 2 8" xfId="240" xr:uid="{00000000-0005-0000-0000-0000F70D0000}"/>
    <cellStyle name="Normal 2_BalanceSheet" xfId="437" xr:uid="{00000000-0005-0000-0000-0000F80D0000}"/>
    <cellStyle name="Normal 20" xfId="241" xr:uid="{00000000-0005-0000-0000-0000F90D0000}"/>
    <cellStyle name="Normal 20 10" xfId="242" xr:uid="{00000000-0005-0000-0000-0000FA0D0000}"/>
    <cellStyle name="Normal 20 11" xfId="243" xr:uid="{00000000-0005-0000-0000-0000FB0D0000}"/>
    <cellStyle name="Normal 20 12" xfId="244" xr:uid="{00000000-0005-0000-0000-0000FC0D0000}"/>
    <cellStyle name="Normal 20 2" xfId="245" xr:uid="{00000000-0005-0000-0000-0000FD0D0000}"/>
    <cellStyle name="Normal 20 3" xfId="246" xr:uid="{00000000-0005-0000-0000-0000FE0D0000}"/>
    <cellStyle name="Normal 20 4" xfId="247" xr:uid="{00000000-0005-0000-0000-0000FF0D0000}"/>
    <cellStyle name="Normal 20 5" xfId="248" xr:uid="{00000000-0005-0000-0000-0000000E0000}"/>
    <cellStyle name="Normal 20 6" xfId="249" xr:uid="{00000000-0005-0000-0000-0000010E0000}"/>
    <cellStyle name="Normal 20 7" xfId="250" xr:uid="{00000000-0005-0000-0000-0000020E0000}"/>
    <cellStyle name="Normal 20 8" xfId="251" xr:uid="{00000000-0005-0000-0000-0000030E0000}"/>
    <cellStyle name="Normal 20 9" xfId="252" xr:uid="{00000000-0005-0000-0000-0000040E0000}"/>
    <cellStyle name="Normal 21" xfId="253" xr:uid="{00000000-0005-0000-0000-0000050E0000}"/>
    <cellStyle name="Normal 21 10" xfId="254" xr:uid="{00000000-0005-0000-0000-0000060E0000}"/>
    <cellStyle name="Normal 21 11" xfId="255" xr:uid="{00000000-0005-0000-0000-0000070E0000}"/>
    <cellStyle name="Normal 21 12" xfId="256" xr:uid="{00000000-0005-0000-0000-0000080E0000}"/>
    <cellStyle name="Normal 21 2" xfId="257" xr:uid="{00000000-0005-0000-0000-0000090E0000}"/>
    <cellStyle name="Normal 21 3" xfId="258" xr:uid="{00000000-0005-0000-0000-00000A0E0000}"/>
    <cellStyle name="Normal 21 4" xfId="259" xr:uid="{00000000-0005-0000-0000-00000B0E0000}"/>
    <cellStyle name="Normal 21 5" xfId="260" xr:uid="{00000000-0005-0000-0000-00000C0E0000}"/>
    <cellStyle name="Normal 21 6" xfId="261" xr:uid="{00000000-0005-0000-0000-00000D0E0000}"/>
    <cellStyle name="Normal 21 7" xfId="262" xr:uid="{00000000-0005-0000-0000-00000E0E0000}"/>
    <cellStyle name="Normal 21 8" xfId="263" xr:uid="{00000000-0005-0000-0000-00000F0E0000}"/>
    <cellStyle name="Normal 21 9" xfId="264" xr:uid="{00000000-0005-0000-0000-0000100E0000}"/>
    <cellStyle name="Normal 22" xfId="265" xr:uid="{00000000-0005-0000-0000-0000110E0000}"/>
    <cellStyle name="Normal 23" xfId="266" xr:uid="{00000000-0005-0000-0000-0000120E0000}"/>
    <cellStyle name="Normal 24" xfId="325" xr:uid="{00000000-0005-0000-0000-0000130E0000}"/>
    <cellStyle name="Normal 24 2" xfId="438" xr:uid="{00000000-0005-0000-0000-0000140E0000}"/>
    <cellStyle name="Normal 3" xfId="86" xr:uid="{00000000-0005-0000-0000-0000150E0000}"/>
    <cellStyle name="Normal 3 2" xfId="268" xr:uid="{00000000-0005-0000-0000-0000160E0000}"/>
    <cellStyle name="Normal 3 2 2" xfId="269" xr:uid="{00000000-0005-0000-0000-0000170E0000}"/>
    <cellStyle name="Normal 3 3" xfId="270" xr:uid="{00000000-0005-0000-0000-0000180E0000}"/>
    <cellStyle name="Normal 3 4" xfId="271" xr:uid="{00000000-0005-0000-0000-0000190E0000}"/>
    <cellStyle name="Normal 3 5" xfId="272" xr:uid="{00000000-0005-0000-0000-00001A0E0000}"/>
    <cellStyle name="Normal 3 6" xfId="273" xr:uid="{00000000-0005-0000-0000-00001B0E0000}"/>
    <cellStyle name="Normal 3 7" xfId="267" xr:uid="{00000000-0005-0000-0000-00001C0E0000}"/>
    <cellStyle name="Normal 3 8" xfId="3693" xr:uid="{00000000-0005-0000-0000-00001D0E0000}"/>
    <cellStyle name="Normal 3_Bank_Financials" xfId="3694" xr:uid="{00000000-0005-0000-0000-00001E0E0000}"/>
    <cellStyle name="Normal 4" xfId="87" xr:uid="{00000000-0005-0000-0000-00001F0E0000}"/>
    <cellStyle name="Normal 4 2" xfId="275" xr:uid="{00000000-0005-0000-0000-0000200E0000}"/>
    <cellStyle name="Normal 4 2 2" xfId="3695" xr:uid="{00000000-0005-0000-0000-0000210E0000}"/>
    <cellStyle name="Normal 4 3" xfId="276" xr:uid="{00000000-0005-0000-0000-0000220E0000}"/>
    <cellStyle name="Normal 4 4" xfId="274" xr:uid="{00000000-0005-0000-0000-0000230E0000}"/>
    <cellStyle name="Normal 4 5" xfId="3631" xr:uid="{00000000-0005-0000-0000-0000240E0000}"/>
    <cellStyle name="Normal 4_Data" xfId="277" xr:uid="{00000000-0005-0000-0000-0000250E0000}"/>
    <cellStyle name="Normal 5" xfId="88" xr:uid="{00000000-0005-0000-0000-0000260E0000}"/>
    <cellStyle name="Normal 5 2" xfId="89" xr:uid="{00000000-0005-0000-0000-0000270E0000}"/>
    <cellStyle name="Normal 5 2 2" xfId="279" xr:uid="{00000000-0005-0000-0000-0000280E0000}"/>
    <cellStyle name="Normal 5 3" xfId="278" xr:uid="{00000000-0005-0000-0000-0000290E0000}"/>
    <cellStyle name="Normal 5 4" xfId="3632" xr:uid="{00000000-0005-0000-0000-00002A0E0000}"/>
    <cellStyle name="Normal 5 5" xfId="3696" xr:uid="{00000000-0005-0000-0000-00002B0E0000}"/>
    <cellStyle name="Normal 5_Data" xfId="280" xr:uid="{00000000-0005-0000-0000-00002C0E0000}"/>
    <cellStyle name="Normal 6" xfId="90" xr:uid="{00000000-0005-0000-0000-00002D0E0000}"/>
    <cellStyle name="Normal 6 2" xfId="281" xr:uid="{00000000-0005-0000-0000-00002E0E0000}"/>
    <cellStyle name="Normal 6 3" xfId="3633" xr:uid="{00000000-0005-0000-0000-00002F0E0000}"/>
    <cellStyle name="Normal 6 4" xfId="3697" xr:uid="{00000000-0005-0000-0000-0000300E0000}"/>
    <cellStyle name="Normal 7" xfId="1" xr:uid="{00000000-0005-0000-0000-0000310E0000}"/>
    <cellStyle name="Normal 7 10" xfId="282" xr:uid="{00000000-0005-0000-0000-0000320E0000}"/>
    <cellStyle name="Normal 7 11" xfId="283" xr:uid="{00000000-0005-0000-0000-0000330E0000}"/>
    <cellStyle name="Normal 7 12" xfId="284" xr:uid="{00000000-0005-0000-0000-0000340E0000}"/>
    <cellStyle name="Normal 7 13" xfId="285" xr:uid="{00000000-0005-0000-0000-0000350E0000}"/>
    <cellStyle name="Normal 7 14" xfId="286" xr:uid="{00000000-0005-0000-0000-0000360E0000}"/>
    <cellStyle name="Normal 7 15" xfId="287" xr:uid="{00000000-0005-0000-0000-0000370E0000}"/>
    <cellStyle name="Normal 7 16" xfId="3698" xr:uid="{00000000-0005-0000-0000-0000380E0000}"/>
    <cellStyle name="Normal 7 2" xfId="288" xr:uid="{00000000-0005-0000-0000-0000390E0000}"/>
    <cellStyle name="Normal 7 3" xfId="289" xr:uid="{00000000-0005-0000-0000-00003A0E0000}"/>
    <cellStyle name="Normal 7 4" xfId="290" xr:uid="{00000000-0005-0000-0000-00003B0E0000}"/>
    <cellStyle name="Normal 7 5" xfId="291" xr:uid="{00000000-0005-0000-0000-00003C0E0000}"/>
    <cellStyle name="Normal 7 6" xfId="292" xr:uid="{00000000-0005-0000-0000-00003D0E0000}"/>
    <cellStyle name="Normal 7 7" xfId="293" xr:uid="{00000000-0005-0000-0000-00003E0E0000}"/>
    <cellStyle name="Normal 7 8" xfId="294" xr:uid="{00000000-0005-0000-0000-00003F0E0000}"/>
    <cellStyle name="Normal 7 9" xfId="295" xr:uid="{00000000-0005-0000-0000-0000400E0000}"/>
    <cellStyle name="Normal 8" xfId="296" xr:uid="{00000000-0005-0000-0000-0000410E0000}"/>
    <cellStyle name="Normal 8 10" xfId="297" xr:uid="{00000000-0005-0000-0000-0000420E0000}"/>
    <cellStyle name="Normal 8 11" xfId="298" xr:uid="{00000000-0005-0000-0000-0000430E0000}"/>
    <cellStyle name="Normal 8 12" xfId="299" xr:uid="{00000000-0005-0000-0000-0000440E0000}"/>
    <cellStyle name="Normal 8 13" xfId="3699" xr:uid="{00000000-0005-0000-0000-0000450E0000}"/>
    <cellStyle name="Normal 8 2" xfId="300" xr:uid="{00000000-0005-0000-0000-0000460E0000}"/>
    <cellStyle name="Normal 8 3" xfId="301" xr:uid="{00000000-0005-0000-0000-0000470E0000}"/>
    <cellStyle name="Normal 8 4" xfId="302" xr:uid="{00000000-0005-0000-0000-0000480E0000}"/>
    <cellStyle name="Normal 8 5" xfId="303" xr:uid="{00000000-0005-0000-0000-0000490E0000}"/>
    <cellStyle name="Normal 8 6" xfId="304" xr:uid="{00000000-0005-0000-0000-00004A0E0000}"/>
    <cellStyle name="Normal 8 7" xfId="305" xr:uid="{00000000-0005-0000-0000-00004B0E0000}"/>
    <cellStyle name="Normal 8 8" xfId="306" xr:uid="{00000000-0005-0000-0000-00004C0E0000}"/>
    <cellStyle name="Normal 8 9" xfId="307" xr:uid="{00000000-0005-0000-0000-00004D0E0000}"/>
    <cellStyle name="Normal 9" xfId="308" xr:uid="{00000000-0005-0000-0000-00004E0E0000}"/>
    <cellStyle name="Normal 9 10" xfId="309" xr:uid="{00000000-0005-0000-0000-00004F0E0000}"/>
    <cellStyle name="Normal 9 11" xfId="310" xr:uid="{00000000-0005-0000-0000-0000500E0000}"/>
    <cellStyle name="Normal 9 12" xfId="311" xr:uid="{00000000-0005-0000-0000-0000510E0000}"/>
    <cellStyle name="Normal 9 13" xfId="3700" xr:uid="{00000000-0005-0000-0000-0000520E0000}"/>
    <cellStyle name="Normal 9 2" xfId="312" xr:uid="{00000000-0005-0000-0000-0000530E0000}"/>
    <cellStyle name="Normal 9 3" xfId="313" xr:uid="{00000000-0005-0000-0000-0000540E0000}"/>
    <cellStyle name="Normal 9 4" xfId="314" xr:uid="{00000000-0005-0000-0000-0000550E0000}"/>
    <cellStyle name="Normal 9 5" xfId="315" xr:uid="{00000000-0005-0000-0000-0000560E0000}"/>
    <cellStyle name="Normal 9 6" xfId="316" xr:uid="{00000000-0005-0000-0000-0000570E0000}"/>
    <cellStyle name="Normal 9 7" xfId="317" xr:uid="{00000000-0005-0000-0000-0000580E0000}"/>
    <cellStyle name="Normal 9 8" xfId="318" xr:uid="{00000000-0005-0000-0000-0000590E0000}"/>
    <cellStyle name="Normal 9 9" xfId="319" xr:uid="{00000000-0005-0000-0000-00005A0E0000}"/>
    <cellStyle name="Normal_eps-stock_9zdq01_" xfId="3802" xr:uid="{00000000-0005-0000-0000-00005B0E0000}"/>
    <cellStyle name="Normal_SparkSpread_TimeSeries" xfId="3799" xr:uid="{00000000-0005-0000-0000-00005C0E0000}"/>
    <cellStyle name="Note 2" xfId="91" xr:uid="{00000000-0005-0000-0000-00005D0E0000}"/>
    <cellStyle name="Note 2 2" xfId="320" xr:uid="{00000000-0005-0000-0000-00005E0E0000}"/>
    <cellStyle name="Note 2 3" xfId="440" xr:uid="{00000000-0005-0000-0000-00005F0E0000}"/>
    <cellStyle name="Note 2 4" xfId="3701" xr:uid="{00000000-0005-0000-0000-0000600E0000}"/>
    <cellStyle name="Note 2 5" xfId="3724" xr:uid="{00000000-0005-0000-0000-0000610E0000}"/>
    <cellStyle name="Note 3" xfId="103" xr:uid="{00000000-0005-0000-0000-0000620E0000}"/>
    <cellStyle name="Note 3 2" xfId="441" xr:uid="{00000000-0005-0000-0000-0000630E0000}"/>
    <cellStyle name="Note 4" xfId="109" xr:uid="{00000000-0005-0000-0000-0000640E0000}"/>
    <cellStyle name="Note 5" xfId="439" xr:uid="{00000000-0005-0000-0000-0000650E0000}"/>
    <cellStyle name="Notes" xfId="92" xr:uid="{00000000-0005-0000-0000-0000660E0000}"/>
    <cellStyle name="optionalExposure" xfId="3634" xr:uid="{00000000-0005-0000-0000-0000670E0000}"/>
    <cellStyle name="optionalMaturity" xfId="3635" xr:uid="{00000000-0005-0000-0000-0000680E0000}"/>
    <cellStyle name="optionalPD" xfId="3636" xr:uid="{00000000-0005-0000-0000-0000690E0000}"/>
    <cellStyle name="optionalPercentage" xfId="3637" xr:uid="{00000000-0005-0000-0000-00006A0E0000}"/>
    <cellStyle name="optionalPercentageS" xfId="3638" xr:uid="{00000000-0005-0000-0000-00006B0E0000}"/>
    <cellStyle name="optionalSelection" xfId="3639" xr:uid="{00000000-0005-0000-0000-00006C0E0000}"/>
    <cellStyle name="optionalText" xfId="3640" xr:uid="{00000000-0005-0000-0000-00006D0E0000}"/>
    <cellStyle name="Output 2" xfId="93" xr:uid="{00000000-0005-0000-0000-00006E0E0000}"/>
    <cellStyle name="Output 2 2" xfId="321" xr:uid="{00000000-0005-0000-0000-00006F0E0000}"/>
    <cellStyle name="Output 2 2 2" xfId="444" xr:uid="{00000000-0005-0000-0000-0000700E0000}"/>
    <cellStyle name="Output 2 3" xfId="443" xr:uid="{00000000-0005-0000-0000-0000710E0000}"/>
    <cellStyle name="Output 2 4" xfId="3702" xr:uid="{00000000-0005-0000-0000-0000720E0000}"/>
    <cellStyle name="Output 2 5" xfId="3725" xr:uid="{00000000-0005-0000-0000-0000730E0000}"/>
    <cellStyle name="Output 3" xfId="104" xr:uid="{00000000-0005-0000-0000-0000740E0000}"/>
    <cellStyle name="Output 4" xfId="110" xr:uid="{00000000-0005-0000-0000-0000750E0000}"/>
    <cellStyle name="Output 5" xfId="442" xr:uid="{00000000-0005-0000-0000-0000760E0000}"/>
    <cellStyle name="Output 6" xfId="3775" xr:uid="{00000000-0005-0000-0000-0000770E0000}"/>
    <cellStyle name="Percent" xfId="3800" builtinId="5"/>
    <cellStyle name="Percent 2" xfId="94" xr:uid="{00000000-0005-0000-0000-0000790E0000}"/>
    <cellStyle name="Percent 2 2" xfId="323" xr:uid="{00000000-0005-0000-0000-00007A0E0000}"/>
    <cellStyle name="Percent 2 2 2" xfId="3641" xr:uid="{00000000-0005-0000-0000-00007B0E0000}"/>
    <cellStyle name="Percent 2 3" xfId="322" xr:uid="{00000000-0005-0000-0000-00007C0E0000}"/>
    <cellStyle name="Percent 2 4" xfId="446" xr:uid="{00000000-0005-0000-0000-00007D0E0000}"/>
    <cellStyle name="Percent 3" xfId="95" xr:uid="{00000000-0005-0000-0000-00007E0E0000}"/>
    <cellStyle name="Percent 3 2" xfId="3643" xr:uid="{00000000-0005-0000-0000-00007F0E0000}"/>
    <cellStyle name="Percent 3 3" xfId="3642" xr:uid="{00000000-0005-0000-0000-0000800E0000}"/>
    <cellStyle name="Percent 4" xfId="445" xr:uid="{00000000-0005-0000-0000-0000810E0000}"/>
    <cellStyle name="Percent 4 2" xfId="3645" xr:uid="{00000000-0005-0000-0000-0000820E0000}"/>
    <cellStyle name="Percent 4 3" xfId="3644" xr:uid="{00000000-0005-0000-0000-0000830E0000}"/>
    <cellStyle name="Percent 5" xfId="3646" xr:uid="{00000000-0005-0000-0000-0000840E0000}"/>
    <cellStyle name="Percent 6" xfId="3647" xr:uid="{00000000-0005-0000-0000-0000850E0000}"/>
    <cellStyle name="Percent 7" xfId="3648" xr:uid="{00000000-0005-0000-0000-0000860E0000}"/>
    <cellStyle name="SectionHeaderNormal" xfId="3776" xr:uid="{00000000-0005-0000-0000-0000870E0000}"/>
    <cellStyle name="Sheet Title" xfId="3777" xr:uid="{00000000-0005-0000-0000-0000880E0000}"/>
    <cellStyle name="showCheck" xfId="3649" xr:uid="{00000000-0005-0000-0000-0000890E0000}"/>
    <cellStyle name="showExposure" xfId="3650" xr:uid="{00000000-0005-0000-0000-00008A0E0000}"/>
    <cellStyle name="showParameterE" xfId="3651" xr:uid="{00000000-0005-0000-0000-00008B0E0000}"/>
    <cellStyle name="showParameterS" xfId="3652" xr:uid="{00000000-0005-0000-0000-00008C0E0000}"/>
    <cellStyle name="showPD" xfId="3653" xr:uid="{00000000-0005-0000-0000-00008D0E0000}"/>
    <cellStyle name="showPercentage" xfId="3654" xr:uid="{00000000-0005-0000-0000-00008E0E0000}"/>
    <cellStyle name="showSelection" xfId="3655" xr:uid="{00000000-0005-0000-0000-00008F0E0000}"/>
    <cellStyle name="Standard_draft disclosure templates for 2011" xfId="3656" xr:uid="{00000000-0005-0000-0000-0000900E0000}"/>
    <cellStyle name="Style 1" xfId="96" xr:uid="{00000000-0005-0000-0000-0000910E0000}"/>
    <cellStyle name="Style 1 2" xfId="3778" xr:uid="{00000000-0005-0000-0000-0000920E0000}"/>
    <cellStyle name="Style 21" xfId="3703" xr:uid="{00000000-0005-0000-0000-0000930E0000}"/>
    <cellStyle name="Style 21 2" xfId="3780" xr:uid="{00000000-0005-0000-0000-0000940E0000}"/>
    <cellStyle name="Style 21 3" xfId="3779" xr:uid="{00000000-0005-0000-0000-0000950E0000}"/>
    <cellStyle name="Style 21_copy" xfId="3781" xr:uid="{00000000-0005-0000-0000-0000960E0000}"/>
    <cellStyle name="Style 22" xfId="3704" xr:uid="{00000000-0005-0000-0000-0000970E0000}"/>
    <cellStyle name="Style 22 2" xfId="3782" xr:uid="{00000000-0005-0000-0000-0000980E0000}"/>
    <cellStyle name="Style 23" xfId="3705" xr:uid="{00000000-0005-0000-0000-0000990E0000}"/>
    <cellStyle name="Style 23 2" xfId="3783" xr:uid="{00000000-0005-0000-0000-00009A0E0000}"/>
    <cellStyle name="Style 24" xfId="3706" xr:uid="{00000000-0005-0000-0000-00009B0E0000}"/>
    <cellStyle name="Style 24 2" xfId="3785" xr:uid="{00000000-0005-0000-0000-00009C0E0000}"/>
    <cellStyle name="Style 24 3" xfId="3784" xr:uid="{00000000-0005-0000-0000-00009D0E0000}"/>
    <cellStyle name="Style 24_copy" xfId="3786" xr:uid="{00000000-0005-0000-0000-00009E0E0000}"/>
    <cellStyle name="Style 25" xfId="3707" xr:uid="{00000000-0005-0000-0000-00009F0E0000}"/>
    <cellStyle name="Style 25 2" xfId="3787" xr:uid="{00000000-0005-0000-0000-0000A00E0000}"/>
    <cellStyle name="Style 26" xfId="3708" xr:uid="{00000000-0005-0000-0000-0000A10E0000}"/>
    <cellStyle name="Style 26 2" xfId="3788" xr:uid="{00000000-0005-0000-0000-0000A20E0000}"/>
    <cellStyle name="Style 27" xfId="3709" xr:uid="{00000000-0005-0000-0000-0000A30E0000}"/>
    <cellStyle name="Style 27 2" xfId="3789" xr:uid="{00000000-0005-0000-0000-0000A40E0000}"/>
    <cellStyle name="Style 28" xfId="3710" xr:uid="{00000000-0005-0000-0000-0000A50E0000}"/>
    <cellStyle name="Style 28 2" xfId="3790" xr:uid="{00000000-0005-0000-0000-0000A60E0000}"/>
    <cellStyle name="Style 29" xfId="3711" xr:uid="{00000000-0005-0000-0000-0000A70E0000}"/>
    <cellStyle name="Style 30" xfId="3712" xr:uid="{00000000-0005-0000-0000-0000A80E0000}"/>
    <cellStyle name="Style 31" xfId="3713" xr:uid="{00000000-0005-0000-0000-0000A90E0000}"/>
    <cellStyle name="Style 32" xfId="3714" xr:uid="{00000000-0005-0000-0000-0000AA0E0000}"/>
    <cellStyle name="Style 33" xfId="3715" xr:uid="{00000000-0005-0000-0000-0000AB0E0000}"/>
    <cellStyle name="Style 34" xfId="3716" xr:uid="{00000000-0005-0000-0000-0000AC0E0000}"/>
    <cellStyle name="Style 35" xfId="3717" xr:uid="{00000000-0005-0000-0000-0000AD0E0000}"/>
    <cellStyle name="Style 36" xfId="3718" xr:uid="{00000000-0005-0000-0000-0000AE0E0000}"/>
    <cellStyle name="Style 39" xfId="3719" xr:uid="{00000000-0005-0000-0000-0000AF0E0000}"/>
    <cellStyle name="SubScript" xfId="3791" xr:uid="{00000000-0005-0000-0000-0000B00E0000}"/>
    <cellStyle name="sup2Date" xfId="3657" xr:uid="{00000000-0005-0000-0000-0000B10E0000}"/>
    <cellStyle name="sup2Int" xfId="3658" xr:uid="{00000000-0005-0000-0000-0000B20E0000}"/>
    <cellStyle name="sup2ParameterE" xfId="3659" xr:uid="{00000000-0005-0000-0000-0000B30E0000}"/>
    <cellStyle name="sup2Percentage" xfId="3660" xr:uid="{00000000-0005-0000-0000-0000B40E0000}"/>
    <cellStyle name="sup2PercentageL" xfId="3661" xr:uid="{00000000-0005-0000-0000-0000B50E0000}"/>
    <cellStyle name="sup2PercentageM" xfId="3662" xr:uid="{00000000-0005-0000-0000-0000B60E0000}"/>
    <cellStyle name="sup2Selection" xfId="3663" xr:uid="{00000000-0005-0000-0000-0000B70E0000}"/>
    <cellStyle name="sup2Text" xfId="3664" xr:uid="{00000000-0005-0000-0000-0000B80E0000}"/>
    <cellStyle name="sup3ParameterE" xfId="3665" xr:uid="{00000000-0005-0000-0000-0000B90E0000}"/>
    <cellStyle name="sup3Percentage" xfId="3666" xr:uid="{00000000-0005-0000-0000-0000BA0E0000}"/>
    <cellStyle name="SuperScript" xfId="3792" xr:uid="{00000000-0005-0000-0000-0000BB0E0000}"/>
    <cellStyle name="supFloat" xfId="3667" xr:uid="{00000000-0005-0000-0000-0000BC0E0000}"/>
    <cellStyle name="supInt" xfId="3668" xr:uid="{00000000-0005-0000-0000-0000BD0E0000}"/>
    <cellStyle name="supParameterE" xfId="3669" xr:uid="{00000000-0005-0000-0000-0000BE0E0000}"/>
    <cellStyle name="supParameterS" xfId="3670" xr:uid="{00000000-0005-0000-0000-0000BF0E0000}"/>
    <cellStyle name="supPD" xfId="3671" xr:uid="{00000000-0005-0000-0000-0000C00E0000}"/>
    <cellStyle name="supPercentage" xfId="3672" xr:uid="{00000000-0005-0000-0000-0000C10E0000}"/>
    <cellStyle name="supPercentageL" xfId="3673" xr:uid="{00000000-0005-0000-0000-0000C20E0000}"/>
    <cellStyle name="supPercentageM" xfId="3674" xr:uid="{00000000-0005-0000-0000-0000C30E0000}"/>
    <cellStyle name="supSelection" xfId="3675" xr:uid="{00000000-0005-0000-0000-0000C40E0000}"/>
    <cellStyle name="supText" xfId="3676" xr:uid="{00000000-0005-0000-0000-0000C50E0000}"/>
    <cellStyle name="TextBold" xfId="3793" xr:uid="{00000000-0005-0000-0000-0000C60E0000}"/>
    <cellStyle name="TextItalic" xfId="3794" xr:uid="{00000000-0005-0000-0000-0000C70E0000}"/>
    <cellStyle name="TextNormal" xfId="3795" xr:uid="{00000000-0005-0000-0000-0000C80E0000}"/>
    <cellStyle name="Title 2" xfId="97" xr:uid="{00000000-0005-0000-0000-0000C90E0000}"/>
    <cellStyle name="Title 2 2" xfId="448" xr:uid="{00000000-0005-0000-0000-0000CA0E0000}"/>
    <cellStyle name="Title 2 3" xfId="447" xr:uid="{00000000-0005-0000-0000-0000CB0E0000}"/>
    <cellStyle name="Title 3" xfId="3796" xr:uid="{00000000-0005-0000-0000-0000CC0E0000}"/>
    <cellStyle name="TitleNormal" xfId="3797" xr:uid="{00000000-0005-0000-0000-0000CD0E0000}"/>
    <cellStyle name="Titles" xfId="98" xr:uid="{00000000-0005-0000-0000-0000CE0E0000}"/>
    <cellStyle name="Total 2" xfId="99" xr:uid="{00000000-0005-0000-0000-0000CF0E0000}"/>
    <cellStyle name="Total 2 2" xfId="324" xr:uid="{00000000-0005-0000-0000-0000D00E0000}"/>
    <cellStyle name="Total 2 2 2" xfId="451" xr:uid="{00000000-0005-0000-0000-0000D10E0000}"/>
    <cellStyle name="Total 2 3" xfId="450" xr:uid="{00000000-0005-0000-0000-0000D20E0000}"/>
    <cellStyle name="Total 2 4" xfId="3720" xr:uid="{00000000-0005-0000-0000-0000D30E0000}"/>
    <cellStyle name="Total 2 5" xfId="3726" xr:uid="{00000000-0005-0000-0000-0000D40E0000}"/>
    <cellStyle name="Total 3" xfId="105" xr:uid="{00000000-0005-0000-0000-0000D50E0000}"/>
    <cellStyle name="Total 4" xfId="111" xr:uid="{00000000-0005-0000-0000-0000D60E0000}"/>
    <cellStyle name="Total 5" xfId="449" xr:uid="{00000000-0005-0000-0000-0000D70E0000}"/>
    <cellStyle name="Total 6" xfId="3798" xr:uid="{00000000-0005-0000-0000-0000D80E0000}"/>
    <cellStyle name="Warning Text 2" xfId="100" xr:uid="{00000000-0005-0000-0000-0000D90E0000}"/>
    <cellStyle name="Warning Text 3" xfId="452" xr:uid="{00000000-0005-0000-0000-0000DA0E0000}"/>
  </cellStyles>
  <dxfs count="0"/>
  <tableStyles count="0" defaultTableStyle="TableStyleMedium2" defaultPivotStyle="PivotStyleLight16"/>
  <colors>
    <mruColors>
      <color rgb="FF525252"/>
      <color rgb="FFC0C0C0"/>
      <color rgb="FF9C3B33"/>
      <color rgb="FF008794"/>
      <color rgb="FF5B5E5E"/>
      <color rgb="FFFAB81A"/>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Key_Stats!$B$105</c:f>
          <c:strCache>
            <c:ptCount val="1"/>
            <c:pt idx="0">
              <c:v>Financial Data ($M)</c:v>
            </c:pt>
          </c:strCache>
        </c:strRef>
      </c:tx>
      <c:overlay val="0"/>
      <c:spPr>
        <a:noFill/>
        <a:ln>
          <a:noFill/>
        </a:ln>
        <a:effectLst/>
      </c:spPr>
      <c:txPr>
        <a:bodyPr rot="0" spcFirstLastPara="1" vertOverflow="ellipsis" vert="horz" wrap="square" anchor="ctr" anchorCtr="1"/>
        <a:lstStyle/>
        <a:p>
          <a:pPr>
            <a:defRPr sz="110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stacked"/>
        <c:varyColors val="0"/>
        <c:ser>
          <c:idx val="0"/>
          <c:order val="0"/>
          <c:tx>
            <c:strRef>
              <c:f>Key_Stats!$E$78</c:f>
              <c:strCache>
                <c:ptCount val="1"/>
                <c:pt idx="0">
                  <c:v>Market Capitalization</c:v>
                </c:pt>
              </c:strCache>
            </c:strRef>
          </c:tx>
          <c:spPr>
            <a:solidFill>
              <a:srgbClr val="FAB81A"/>
            </a:solidFill>
            <a:ln>
              <a:noFill/>
            </a:ln>
            <a:effectLst/>
          </c:spPr>
          <c:invertIfNegative val="0"/>
          <c:dLbls>
            <c:delete val="1"/>
          </c:dLbls>
          <c:cat>
            <c:strRef>
              <c:f>Key_Stats!$B$79:$D$81</c:f>
              <c:strCache>
                <c:ptCount val="3"/>
                <c:pt idx="0">
                  <c:v>Market Cap</c:v>
                </c:pt>
                <c:pt idx="1">
                  <c:v>TEV</c:v>
                </c:pt>
                <c:pt idx="2">
                  <c:v>Total Capital</c:v>
                </c:pt>
              </c:strCache>
            </c:strRef>
          </c:cat>
          <c:val>
            <c:numRef>
              <c:f>Key_Stats!$E$79:$E$81</c:f>
              <c:numCache>
                <c:formatCode>#,##0_);[Red]\(#,##0\)</c:formatCode>
                <c:ptCount val="3"/>
                <c:pt idx="0">
                  <c:v>8061.1574271199997</c:v>
                </c:pt>
                <c:pt idx="1">
                  <c:v>8061.1574271199997</c:v>
                </c:pt>
              </c:numCache>
            </c:numRef>
          </c:val>
          <c:extLst>
            <c:ext xmlns:c16="http://schemas.microsoft.com/office/drawing/2014/chart" uri="{C3380CC4-5D6E-409C-BE32-E72D297353CC}">
              <c16:uniqueId val="{00000000-D348-415B-BA3F-17D2E728AEDB}"/>
            </c:ext>
          </c:extLst>
        </c:ser>
        <c:ser>
          <c:idx val="1"/>
          <c:order val="1"/>
          <c:tx>
            <c:strRef>
              <c:f>Key_Stats!$F$78</c:f>
              <c:strCache>
                <c:ptCount val="1"/>
                <c:pt idx="0">
                  <c:v>Net Liability</c:v>
                </c:pt>
              </c:strCache>
            </c:strRef>
          </c:tx>
          <c:spPr>
            <a:solidFill>
              <a:srgbClr val="5B5E5E"/>
            </a:solidFill>
            <a:ln>
              <a:noFill/>
            </a:ln>
            <a:effectLst/>
          </c:spPr>
          <c:invertIfNegative val="0"/>
          <c:dLbls>
            <c:delete val="1"/>
          </c:dLbls>
          <c:cat>
            <c:strRef>
              <c:f>Key_Stats!$B$79:$D$81</c:f>
              <c:strCache>
                <c:ptCount val="3"/>
                <c:pt idx="0">
                  <c:v>Market Cap</c:v>
                </c:pt>
                <c:pt idx="1">
                  <c:v>TEV</c:v>
                </c:pt>
                <c:pt idx="2">
                  <c:v>Total Capital</c:v>
                </c:pt>
              </c:strCache>
            </c:strRef>
          </c:cat>
          <c:val>
            <c:numRef>
              <c:f>Key_Stats!$F$79:$F$81</c:f>
              <c:numCache>
                <c:formatCode>#,##0_);[Red]\(#,##0\)</c:formatCode>
                <c:ptCount val="3"/>
                <c:pt idx="1">
                  <c:v>3871.8</c:v>
                </c:pt>
              </c:numCache>
            </c:numRef>
          </c:val>
          <c:extLst>
            <c:ext xmlns:c16="http://schemas.microsoft.com/office/drawing/2014/chart" uri="{C3380CC4-5D6E-409C-BE32-E72D297353CC}">
              <c16:uniqueId val="{00000001-D348-415B-BA3F-17D2E728AEDB}"/>
            </c:ext>
          </c:extLst>
        </c:ser>
        <c:ser>
          <c:idx val="2"/>
          <c:order val="2"/>
          <c:tx>
            <c:strRef>
              <c:f>Key_Stats!$G$78</c:f>
              <c:strCache>
                <c:ptCount val="1"/>
                <c:pt idx="0">
                  <c:v>Total Liability</c:v>
                </c:pt>
              </c:strCache>
            </c:strRef>
          </c:tx>
          <c:spPr>
            <a:solidFill>
              <a:srgbClr val="008794"/>
            </a:solidFill>
            <a:ln>
              <a:noFill/>
            </a:ln>
            <a:effectLst/>
          </c:spPr>
          <c:invertIfNegative val="0"/>
          <c:dLbls>
            <c:delete val="1"/>
          </c:dLbls>
          <c:cat>
            <c:strRef>
              <c:f>Key_Stats!$B$79:$D$81</c:f>
              <c:strCache>
                <c:ptCount val="3"/>
                <c:pt idx="0">
                  <c:v>Market Cap</c:v>
                </c:pt>
                <c:pt idx="1">
                  <c:v>TEV</c:v>
                </c:pt>
                <c:pt idx="2">
                  <c:v>Total Capital</c:v>
                </c:pt>
              </c:strCache>
            </c:strRef>
          </c:cat>
          <c:val>
            <c:numRef>
              <c:f>Key_Stats!$G$79:$G$81</c:f>
              <c:numCache>
                <c:formatCode>#,##0_);[Red]\(#,##0\)</c:formatCode>
                <c:ptCount val="3"/>
                <c:pt idx="2">
                  <c:v>4343.3</c:v>
                </c:pt>
              </c:numCache>
            </c:numRef>
          </c:val>
          <c:extLst>
            <c:ext xmlns:c16="http://schemas.microsoft.com/office/drawing/2014/chart" uri="{C3380CC4-5D6E-409C-BE32-E72D297353CC}">
              <c16:uniqueId val="{00000002-D348-415B-BA3F-17D2E728AEDB}"/>
            </c:ext>
          </c:extLst>
        </c:ser>
        <c:ser>
          <c:idx val="3"/>
          <c:order val="3"/>
          <c:tx>
            <c:strRef>
              <c:f>Key_Stats!$H$78</c:f>
              <c:strCache>
                <c:ptCount val="1"/>
                <c:pt idx="0">
                  <c:v>Common Equity</c:v>
                </c:pt>
              </c:strCache>
            </c:strRef>
          </c:tx>
          <c:spPr>
            <a:solidFill>
              <a:srgbClr val="9C3B33"/>
            </a:solidFill>
            <a:ln>
              <a:noFill/>
            </a:ln>
            <a:effectLst/>
          </c:spPr>
          <c:invertIfNegative val="0"/>
          <c:dLbls>
            <c:delete val="1"/>
          </c:dLbls>
          <c:cat>
            <c:strRef>
              <c:f>Key_Stats!$B$79:$D$81</c:f>
              <c:strCache>
                <c:ptCount val="3"/>
                <c:pt idx="0">
                  <c:v>Market Cap</c:v>
                </c:pt>
                <c:pt idx="1">
                  <c:v>TEV</c:v>
                </c:pt>
                <c:pt idx="2">
                  <c:v>Total Capital</c:v>
                </c:pt>
              </c:strCache>
            </c:strRef>
          </c:cat>
          <c:val>
            <c:numRef>
              <c:f>Key_Stats!$H$79:$H$81</c:f>
              <c:numCache>
                <c:formatCode>#,##0_);[Red]\(#,##0\)</c:formatCode>
                <c:ptCount val="3"/>
                <c:pt idx="2">
                  <c:v>4559.4000000000015</c:v>
                </c:pt>
              </c:numCache>
            </c:numRef>
          </c:val>
          <c:extLst>
            <c:ext xmlns:c16="http://schemas.microsoft.com/office/drawing/2014/chart" uri="{C3380CC4-5D6E-409C-BE32-E72D297353CC}">
              <c16:uniqueId val="{00000003-D348-415B-BA3F-17D2E728AEDB}"/>
            </c:ext>
          </c:extLst>
        </c:ser>
        <c:dLbls>
          <c:showLegendKey val="0"/>
          <c:showVal val="1"/>
          <c:showCatName val="0"/>
          <c:showSerName val="0"/>
          <c:showPercent val="0"/>
          <c:showBubbleSize val="0"/>
        </c:dLbls>
        <c:gapWidth val="150"/>
        <c:overlap val="100"/>
        <c:axId val="934938168"/>
        <c:axId val="934938824"/>
      </c:barChart>
      <c:catAx>
        <c:axId val="93493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34938824"/>
        <c:crosses val="autoZero"/>
        <c:auto val="1"/>
        <c:lblAlgn val="ctr"/>
        <c:lblOffset val="100"/>
        <c:noMultiLvlLbl val="0"/>
      </c:catAx>
      <c:valAx>
        <c:axId val="934938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34938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0"/>
    <c:dispBlanksAs val="gap"/>
    <c:showDLblsOverMax val="0"/>
  </c:chart>
  <c:spPr>
    <a:solidFill>
      <a:schemeClr val="bg1"/>
    </a:solidFill>
    <a:ln w="9525" cap="flat" cmpd="sng" algn="ctr">
      <a:solidFill>
        <a:srgbClr val="525252"/>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18</xdr:row>
          <xdr:rowOff>137160</xdr:rowOff>
        </xdr:from>
        <xdr:to>
          <xdr:col>6</xdr:col>
          <xdr:colOff>99060</xdr:colOff>
          <xdr:row>20</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REFRESH</a:t>
              </a:r>
            </a:p>
          </xdr:txBody>
        </xdr:sp>
        <xdr:clientData fPrintsWithSheet="0"/>
      </xdr:twoCellAnchor>
    </mc:Choice>
    <mc:Fallback/>
  </mc:AlternateContent>
  <xdr:twoCellAnchor>
    <xdr:from>
      <xdr:col>0</xdr:col>
      <xdr:colOff>123824</xdr:colOff>
      <xdr:row>81</xdr:row>
      <xdr:rowOff>133351</xdr:rowOff>
    </xdr:from>
    <xdr:to>
      <xdr:col>7</xdr:col>
      <xdr:colOff>809624</xdr:colOff>
      <xdr:row>98</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xdr:row>
      <xdr:rowOff>0</xdr:rowOff>
    </xdr:from>
    <xdr:to>
      <xdr:col>4</xdr:col>
      <xdr:colOff>302705</xdr:colOff>
      <xdr:row>1</xdr:row>
      <xdr:rowOff>466090</xdr:rowOff>
    </xdr:to>
    <xdr:pic>
      <xdr:nvPicPr>
        <xdr:cNvPr id="5" name="Graphic 1">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29540"/>
          <a:ext cx="2504885" cy="462915"/>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670560</xdr:colOff>
          <xdr:row>1</xdr:row>
          <xdr:rowOff>0</xdr:rowOff>
        </xdr:from>
        <xdr:to>
          <xdr:col>7</xdr:col>
          <xdr:colOff>22860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0</xdr:rowOff>
        </xdr:from>
        <xdr:to>
          <xdr:col>8</xdr:col>
          <xdr:colOff>274320</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220980</xdr:colOff>
          <xdr:row>0</xdr:row>
          <xdr:rowOff>114300</xdr:rowOff>
        </xdr:from>
        <xdr:to>
          <xdr:col>8</xdr:col>
          <xdr:colOff>342900</xdr:colOff>
          <xdr:row>2</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731520</xdr:colOff>
          <xdr:row>0</xdr:row>
          <xdr:rowOff>114300</xdr:rowOff>
        </xdr:from>
        <xdr:to>
          <xdr:col>7</xdr:col>
          <xdr:colOff>83820</xdr:colOff>
          <xdr:row>2</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30480</xdr:colOff>
          <xdr:row>0</xdr:row>
          <xdr:rowOff>114300</xdr:rowOff>
        </xdr:from>
        <xdr:to>
          <xdr:col>7</xdr:col>
          <xdr:colOff>152400</xdr:colOff>
          <xdr:row>2</xdr:row>
          <xdr:rowOff>45720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297180</xdr:colOff>
          <xdr:row>0</xdr:row>
          <xdr:rowOff>114300</xdr:rowOff>
        </xdr:from>
        <xdr:to>
          <xdr:col>8</xdr:col>
          <xdr:colOff>419100</xdr:colOff>
          <xdr:row>2</xdr:row>
          <xdr:rowOff>45720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731520</xdr:colOff>
          <xdr:row>0</xdr:row>
          <xdr:rowOff>121920</xdr:rowOff>
        </xdr:from>
        <xdr:to>
          <xdr:col>7</xdr:col>
          <xdr:colOff>0</xdr:colOff>
          <xdr:row>2</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144780</xdr:colOff>
          <xdr:row>0</xdr:row>
          <xdr:rowOff>121920</xdr:rowOff>
        </xdr:from>
        <xdr:to>
          <xdr:col>8</xdr:col>
          <xdr:colOff>266700</xdr:colOff>
          <xdr:row>2</xdr:row>
          <xdr:rowOff>60960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746760</xdr:colOff>
          <xdr:row>0</xdr:row>
          <xdr:rowOff>106680</xdr:rowOff>
        </xdr:from>
        <xdr:to>
          <xdr:col>6</xdr:col>
          <xdr:colOff>99060</xdr:colOff>
          <xdr:row>2</xdr:row>
          <xdr:rowOff>38100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251460</xdr:colOff>
          <xdr:row>0</xdr:row>
          <xdr:rowOff>106680</xdr:rowOff>
        </xdr:from>
        <xdr:to>
          <xdr:col>7</xdr:col>
          <xdr:colOff>373380</xdr:colOff>
          <xdr:row>2</xdr:row>
          <xdr:rowOff>38100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617220</xdr:colOff>
          <xdr:row>0</xdr:row>
          <xdr:rowOff>106680</xdr:rowOff>
        </xdr:from>
        <xdr:to>
          <xdr:col>4</xdr:col>
          <xdr:colOff>693420</xdr:colOff>
          <xdr:row>2</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0</xdr:row>
          <xdr:rowOff>106680</xdr:rowOff>
        </xdr:from>
        <xdr:to>
          <xdr:col>6</xdr:col>
          <xdr:colOff>190500</xdr:colOff>
          <xdr:row>2</xdr:row>
          <xdr:rowOff>38100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175260</xdr:colOff>
          <xdr:row>0</xdr:row>
          <xdr:rowOff>106680</xdr:rowOff>
        </xdr:from>
        <xdr:to>
          <xdr:col>5</xdr:col>
          <xdr:colOff>297180</xdr:colOff>
          <xdr:row>2</xdr:row>
          <xdr:rowOff>38100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441960</xdr:colOff>
          <xdr:row>0</xdr:row>
          <xdr:rowOff>106680</xdr:rowOff>
        </xdr:from>
        <xdr:to>
          <xdr:col>6</xdr:col>
          <xdr:colOff>563880</xdr:colOff>
          <xdr:row>2</xdr:row>
          <xdr:rowOff>38100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UNHIDE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gl-my.sharepoint.com/Users/gauravk/Downloads/+Key%20Stats%20-%20Standard%20(Metrics%20not%20covered%20in%20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snloffice"/>
      <sheetName val="Key Stats"/>
      <sheetName val="Income Statement"/>
      <sheetName val="Balance Sheet"/>
      <sheetName val="Cash Flow"/>
      <sheetName val="Multiples"/>
      <sheetName val="Capitalization"/>
      <sheetName val="Capital Structure Summary"/>
      <sheetName val="Capital Structure Details"/>
      <sheetName val="Ratios"/>
      <sheetName val="Supplemental"/>
      <sheetName val="Pension-OPEB"/>
    </sheetNames>
    <sheetDataSet>
      <sheetData sheetId="0"/>
      <sheetData sheetId="1"/>
      <sheetData sheetId="2"/>
      <sheetData sheetId="3"/>
      <sheetData sheetId="4"/>
      <sheetData sheetId="5"/>
      <sheetData sheetId="6"/>
      <sheetData sheetId="7"/>
      <sheetData sheetId="8">
        <row r="6">
          <cell r="U6" t="str">
            <v>IQDCS921164068</v>
          </cell>
        </row>
        <row r="7">
          <cell r="U7" t="str">
            <v>IQDCS922584855</v>
          </cell>
        </row>
        <row r="8">
          <cell r="U8" t="str">
            <v>IQDCS920779925</v>
          </cell>
        </row>
        <row r="9">
          <cell r="U9" t="str">
            <v>IQDCS920779921</v>
          </cell>
        </row>
        <row r="10">
          <cell r="U10" t="str">
            <v>IQDCS920779609</v>
          </cell>
        </row>
        <row r="11">
          <cell r="U11" t="str">
            <v>IQDCS920779615</v>
          </cell>
        </row>
        <row r="12">
          <cell r="U12" t="str">
            <v>IQDCS920779926</v>
          </cell>
        </row>
        <row r="13">
          <cell r="U13" t="str">
            <v>IQDCS920779614</v>
          </cell>
        </row>
        <row r="14">
          <cell r="U14" t="str">
            <v>IQDCS920779928</v>
          </cell>
        </row>
        <row r="15">
          <cell r="U15" t="str">
            <v>IQDCS920780032</v>
          </cell>
        </row>
        <row r="16">
          <cell r="U16" t="str">
            <v>IQDCS921345359</v>
          </cell>
        </row>
        <row r="17">
          <cell r="U17" t="str">
            <v>IQDCS920779608</v>
          </cell>
        </row>
        <row r="18">
          <cell r="U18" t="str">
            <v>IQDCS920779922</v>
          </cell>
        </row>
        <row r="19">
          <cell r="U19" t="str">
            <v>IQDCS920779620</v>
          </cell>
        </row>
        <row r="20">
          <cell r="U20" t="str">
            <v>IQDCS919289665</v>
          </cell>
        </row>
        <row r="21">
          <cell r="U21" t="str">
            <v>IQDCS920779612</v>
          </cell>
        </row>
        <row r="22">
          <cell r="U22" t="str">
            <v>IQDCS920779918</v>
          </cell>
        </row>
        <row r="23">
          <cell r="U23" t="str">
            <v>IQDCS920779617</v>
          </cell>
        </row>
        <row r="24">
          <cell r="U24" t="str">
            <v>IQDCS920779919</v>
          </cell>
        </row>
        <row r="25">
          <cell r="U25" t="str">
            <v>IQDCS919289795</v>
          </cell>
        </row>
        <row r="26">
          <cell r="U26" t="str">
            <v>IQDCS921164084</v>
          </cell>
        </row>
        <row r="27">
          <cell r="U27" t="str">
            <v>IQDCS921164085</v>
          </cell>
        </row>
        <row r="28">
          <cell r="U28" t="str">
            <v>IQDCS921164070</v>
          </cell>
        </row>
        <row r="29">
          <cell r="U29" t="str">
            <v>IQDCS922584863</v>
          </cell>
        </row>
        <row r="30">
          <cell r="U30" t="str">
            <v>IQDCS922584864</v>
          </cell>
        </row>
        <row r="35">
          <cell r="U35" t="str">
            <v>IQDCS921164068</v>
          </cell>
        </row>
        <row r="36">
          <cell r="U36" t="str">
            <v>IQDCS922008726</v>
          </cell>
        </row>
        <row r="37">
          <cell r="U37" t="str">
            <v>IQDCS921164065</v>
          </cell>
        </row>
        <row r="38">
          <cell r="U38" t="str">
            <v>IQDCS922031102</v>
          </cell>
        </row>
        <row r="39">
          <cell r="U39" t="str">
            <v>IQDCS922373212</v>
          </cell>
        </row>
        <row r="40">
          <cell r="U40" t="str">
            <v>IQDCS921164072</v>
          </cell>
        </row>
        <row r="41">
          <cell r="U41" t="str">
            <v>IQDCS920779925</v>
          </cell>
        </row>
        <row r="42">
          <cell r="U42" t="str">
            <v>IQDCS920779921</v>
          </cell>
        </row>
        <row r="43">
          <cell r="U43" t="str">
            <v>IQDCS920779609</v>
          </cell>
        </row>
        <row r="44">
          <cell r="U44" t="str">
            <v>IQDCS920779615</v>
          </cell>
        </row>
        <row r="45">
          <cell r="U45" t="str">
            <v>IQDCS920779926</v>
          </cell>
        </row>
        <row r="46">
          <cell r="U46" t="str">
            <v>IQDCS920779614</v>
          </cell>
        </row>
        <row r="47">
          <cell r="U47" t="str">
            <v>IQDCS920779928</v>
          </cell>
        </row>
        <row r="48">
          <cell r="U48" t="str">
            <v>IQDCS920780032</v>
          </cell>
        </row>
        <row r="49">
          <cell r="U49" t="str">
            <v>IQDCS921345359</v>
          </cell>
        </row>
        <row r="50">
          <cell r="U50" t="str">
            <v>IQDCS920779608</v>
          </cell>
        </row>
        <row r="51">
          <cell r="U51" t="str">
            <v>IQDCS920779922</v>
          </cell>
        </row>
        <row r="52">
          <cell r="U52" t="str">
            <v>IQDCS920779620</v>
          </cell>
        </row>
        <row r="53">
          <cell r="U53" t="str">
            <v>IQDCS919289665</v>
          </cell>
        </row>
        <row r="54">
          <cell r="U54" t="str">
            <v>IQDCS920779612</v>
          </cell>
        </row>
        <row r="55">
          <cell r="U55" t="str">
            <v>IQDCS920779918</v>
          </cell>
        </row>
        <row r="56">
          <cell r="U56" t="str">
            <v>IQDCS920779617</v>
          </cell>
        </row>
        <row r="57">
          <cell r="U57" t="str">
            <v>IQDCS920779919</v>
          </cell>
        </row>
        <row r="58">
          <cell r="U58" t="str">
            <v>IQDCS919289795</v>
          </cell>
        </row>
        <row r="59">
          <cell r="U59" t="str">
            <v>IQDCS921164084</v>
          </cell>
        </row>
        <row r="64">
          <cell r="U64" t="str">
            <v>IQDCS921164068</v>
          </cell>
        </row>
        <row r="65">
          <cell r="U65" t="str">
            <v>IQDCS921164072</v>
          </cell>
        </row>
        <row r="66">
          <cell r="U66" t="str">
            <v>IQDCS920779925</v>
          </cell>
        </row>
        <row r="67">
          <cell r="U67" t="str">
            <v>IQDCS920779921</v>
          </cell>
        </row>
        <row r="68">
          <cell r="U68" t="str">
            <v>IQDCS920779609</v>
          </cell>
        </row>
        <row r="69">
          <cell r="U69" t="str">
            <v>IQDCS920779615</v>
          </cell>
        </row>
        <row r="70">
          <cell r="U70" t="str">
            <v>IQDCS920779926</v>
          </cell>
        </row>
        <row r="71">
          <cell r="U71" t="str">
            <v>IQDCS920779614</v>
          </cell>
        </row>
        <row r="72">
          <cell r="U72" t="str">
            <v>IQDCS920779928</v>
          </cell>
        </row>
        <row r="73">
          <cell r="U73" t="str">
            <v>IQDCS920780032</v>
          </cell>
        </row>
        <row r="74">
          <cell r="U74" t="str">
            <v>IQDCS920779608</v>
          </cell>
        </row>
        <row r="75">
          <cell r="U75" t="str">
            <v>IQDCS920779922</v>
          </cell>
        </row>
        <row r="76">
          <cell r="U76" t="str">
            <v>IQDCS920779620</v>
          </cell>
        </row>
        <row r="77">
          <cell r="U77" t="str">
            <v>IQDCS919289665</v>
          </cell>
        </row>
        <row r="78">
          <cell r="U78" t="str">
            <v>IQDCS920779612</v>
          </cell>
        </row>
        <row r="79">
          <cell r="U79" t="str">
            <v>IQDCS920779918</v>
          </cell>
        </row>
        <row r="80">
          <cell r="U80" t="str">
            <v>IQDCS920779617</v>
          </cell>
        </row>
        <row r="81">
          <cell r="U81" t="str">
            <v>IQDCS920779919</v>
          </cell>
        </row>
        <row r="82">
          <cell r="U82" t="str">
            <v>IQDCS919771151</v>
          </cell>
        </row>
        <row r="83">
          <cell r="U83" t="str">
            <v>IQDCS919289795</v>
          </cell>
        </row>
        <row r="84">
          <cell r="U84" t="str">
            <v>IQDCS921164084</v>
          </cell>
        </row>
        <row r="85">
          <cell r="U85" t="str">
            <v>IQDCS921164085</v>
          </cell>
        </row>
        <row r="86">
          <cell r="U86" t="str">
            <v>IQDCS921164070</v>
          </cell>
        </row>
        <row r="87">
          <cell r="U87" t="str">
            <v>IQDCS921164071</v>
          </cell>
        </row>
        <row r="88">
          <cell r="U88" t="str">
            <v>IQDCS916957982</v>
          </cell>
        </row>
      </sheetData>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support.CapIQPro@spglobal.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
  <sheetViews>
    <sheetView workbookViewId="0"/>
  </sheetViews>
  <sheetFormatPr defaultRowHeight="10.199999999999999"/>
  <sheetData>
    <row r="1" spans="1:1">
      <c r="A1" t="s">
        <v>2291</v>
      </c>
    </row>
    <row r="2" spans="1:1">
      <c r="A2" t="s">
        <v>2282</v>
      </c>
    </row>
    <row r="3" spans="1:1">
      <c r="A3" t="s">
        <v>2294</v>
      </c>
    </row>
  </sheetData>
  <pageMargins left="0.7" right="0.7" top="0.75" bottom="0.75" header="0.3" footer="0.3"/>
  <pageSetup orientation="portrait" horizontalDpi="90" verticalDpi="9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X116"/>
  <sheetViews>
    <sheetView showGridLines="0" zoomScaleNormal="100" workbookViewId="0"/>
  </sheetViews>
  <sheetFormatPr defaultRowHeight="10.199999999999999" outlineLevelRow="1" outlineLevelCol="1"/>
  <cols>
    <col min="1" max="1" width="2.140625" customWidth="1"/>
    <col min="2" max="2" width="41.28515625" customWidth="1"/>
    <col min="3" max="3" width="17.140625" hidden="1" customWidth="1" outlineLevel="1"/>
    <col min="4" max="4" width="15" hidden="1" customWidth="1" outlineLevel="1"/>
    <col min="5" max="5" width="17.85546875" style="3" bestFit="1" customWidth="1" collapsed="1"/>
    <col min="6" max="9" width="16.28515625" customWidth="1"/>
    <col min="10" max="12" width="16.28515625" hidden="1" customWidth="1" outlineLevel="1"/>
    <col min="13" max="13" width="16.28515625" customWidth="1" collapsed="1"/>
    <col min="14" max="15" width="16.28515625" customWidth="1"/>
    <col min="18" max="18" width="9.28515625" hidden="1" customWidth="1" outlineLevel="1"/>
    <col min="19" max="19" width="17.85546875" hidden="1" customWidth="1" outlineLevel="1"/>
    <col min="20" max="20" width="24.28515625" hidden="1" customWidth="1" outlineLevel="1"/>
    <col min="21" max="21" width="8.140625" hidden="1" customWidth="1" outlineLevel="1"/>
    <col min="22" max="22" width="19.28515625" hidden="1" customWidth="1" outlineLevel="1"/>
    <col min="23" max="23" width="22.140625" hidden="1" customWidth="1" outlineLevel="1"/>
    <col min="24" max="24" width="16.85546875" bestFit="1" customWidth="1" collapsed="1"/>
    <col min="25" max="25" width="22.140625" bestFit="1" customWidth="1"/>
  </cols>
  <sheetData>
    <row r="2" spans="2:22" ht="45" customHeight="1">
      <c r="B2" s="6"/>
      <c r="C2" s="6"/>
      <c r="D2" s="6"/>
      <c r="E2" s="26"/>
      <c r="F2" s="124" t="s">
        <v>1597</v>
      </c>
      <c r="G2" s="6"/>
      <c r="H2" s="9"/>
      <c r="I2" s="6"/>
      <c r="J2" s="6"/>
      <c r="K2" s="6"/>
      <c r="L2" s="6"/>
      <c r="M2" s="6"/>
      <c r="N2" s="6"/>
      <c r="O2" s="6"/>
      <c r="P2" s="6"/>
      <c r="Q2" s="18"/>
      <c r="R2" s="18"/>
    </row>
    <row r="3" spans="2:22" ht="12">
      <c r="B3" s="7" t="s">
        <v>7</v>
      </c>
      <c r="C3" s="7"/>
      <c r="H3" s="8" t="s">
        <v>8</v>
      </c>
      <c r="I3" s="4"/>
      <c r="J3" s="4"/>
      <c r="K3" s="4"/>
      <c r="L3" s="4"/>
    </row>
    <row r="4" spans="2:22">
      <c r="B4" s="122" t="s">
        <v>2281</v>
      </c>
      <c r="H4" s="225" t="s">
        <v>2277</v>
      </c>
      <c r="I4" s="4"/>
      <c r="J4" s="4"/>
      <c r="K4" s="4"/>
      <c r="L4" s="4"/>
    </row>
    <row r="5" spans="2:22">
      <c r="B5" s="122" t="s">
        <v>1595</v>
      </c>
      <c r="H5" s="193" t="s">
        <v>9</v>
      </c>
      <c r="I5" s="5" t="s">
        <v>10</v>
      </c>
      <c r="J5" s="5"/>
      <c r="K5" s="5"/>
      <c r="L5" s="5"/>
      <c r="N5" s="192" t="s">
        <v>13</v>
      </c>
    </row>
    <row r="6" spans="2:22">
      <c r="B6" s="122" t="s">
        <v>1596</v>
      </c>
      <c r="H6" s="123"/>
      <c r="I6" s="192" t="s">
        <v>12</v>
      </c>
      <c r="J6" s="192"/>
      <c r="K6" s="192"/>
      <c r="L6" s="192"/>
      <c r="N6" s="192" t="s">
        <v>11</v>
      </c>
    </row>
    <row r="7" spans="2:22">
      <c r="H7" s="227" t="s">
        <v>15</v>
      </c>
      <c r="I7" s="226" t="s">
        <v>2278</v>
      </c>
    </row>
    <row r="8" spans="2:22" ht="12">
      <c r="B8" s="7" t="s">
        <v>14</v>
      </c>
    </row>
    <row r="9" spans="2:22" ht="12">
      <c r="B9" s="16" t="s">
        <v>2279</v>
      </c>
      <c r="F9" s="121" t="s">
        <v>2288</v>
      </c>
      <c r="H9" s="199" t="s">
        <v>2242</v>
      </c>
    </row>
    <row r="10" spans="2:22" ht="11.25" customHeight="1">
      <c r="B10" s="190" t="s">
        <v>2269</v>
      </c>
      <c r="C10" s="7"/>
      <c r="H10" s="200" t="str">
        <f ca="1">"Copyright © "&amp;YEAR(TODAY())&amp;" S&amp;P Global Market Intelligence LLC (and its affiliates as applicable) – All rights reserved."</f>
        <v>Copyright © 2024 S&amp;P Global Market Intelligence LLC (and its affiliates as applicable) – All rights reserved.</v>
      </c>
    </row>
    <row r="11" spans="2:22">
      <c r="B11" s="17" t="s">
        <v>2264</v>
      </c>
      <c r="F11" s="121" t="s">
        <v>873</v>
      </c>
      <c r="H11" s="200" t="s">
        <v>2244</v>
      </c>
    </row>
    <row r="12" spans="2:22" ht="11.25" customHeight="1">
      <c r="B12" s="190" t="s">
        <v>2265</v>
      </c>
      <c r="H12" s="200" t="s">
        <v>2243</v>
      </c>
    </row>
    <row r="13" spans="2:22" ht="11.25" customHeight="1">
      <c r="B13" s="190"/>
      <c r="S13" s="214" t="s">
        <v>2253</v>
      </c>
      <c r="T13" s="215" t="s">
        <v>2254</v>
      </c>
      <c r="U13" s="215" t="s">
        <v>2255</v>
      </c>
      <c r="V13" s="216" t="s">
        <v>2256</v>
      </c>
    </row>
    <row r="14" spans="2:22" ht="3.75" customHeight="1">
      <c r="B14" s="190"/>
    </row>
    <row r="15" spans="2:22" ht="11.25" customHeight="1">
      <c r="B15" s="17" t="s">
        <v>2246</v>
      </c>
      <c r="F15" s="207">
        <f ca="1">TODAY()-1</f>
        <v>45536</v>
      </c>
      <c r="S15" t="s">
        <v>2250</v>
      </c>
      <c r="T15" t="s">
        <v>2248</v>
      </c>
      <c r="U15" t="s">
        <v>2257</v>
      </c>
      <c r="V15" t="s">
        <v>2260</v>
      </c>
    </row>
    <row r="16" spans="2:22" ht="11.25" customHeight="1">
      <c r="B16" s="208" t="s">
        <v>2247</v>
      </c>
      <c r="S16" t="s">
        <v>2251</v>
      </c>
      <c r="T16" t="s">
        <v>873</v>
      </c>
      <c r="U16" t="s">
        <v>2258</v>
      </c>
      <c r="V16" t="s">
        <v>2261</v>
      </c>
    </row>
    <row r="17" spans="2:21" ht="11.25" customHeight="1">
      <c r="F17" s="246" t="s">
        <v>34</v>
      </c>
      <c r="G17" s="246"/>
      <c r="H17" s="194" t="s">
        <v>35</v>
      </c>
      <c r="I17" s="195" t="s">
        <v>36</v>
      </c>
      <c r="J17" s="195"/>
      <c r="K17" s="195"/>
      <c r="L17" s="195"/>
      <c r="M17" s="196"/>
      <c r="S17" t="s">
        <v>2252</v>
      </c>
      <c r="T17" t="s">
        <v>2249</v>
      </c>
      <c r="U17" t="s">
        <v>2259</v>
      </c>
    </row>
    <row r="18" spans="2:21" ht="11.25" customHeight="1">
      <c r="B18" s="17" t="s">
        <v>2283</v>
      </c>
      <c r="D18" s="3"/>
      <c r="F18" s="240" t="s">
        <v>37</v>
      </c>
      <c r="G18" s="241"/>
      <c r="H18" s="121" t="s">
        <v>273</v>
      </c>
      <c r="I18" s="240" t="s">
        <v>39</v>
      </c>
      <c r="J18" s="242"/>
      <c r="K18" s="242"/>
      <c r="L18" s="242"/>
      <c r="M18" s="241"/>
    </row>
    <row r="19" spans="2:21" ht="11.25" customHeight="1">
      <c r="H19" s="2"/>
      <c r="I19" s="3"/>
      <c r="J19" s="3"/>
      <c r="K19" s="3"/>
      <c r="L19" s="3"/>
      <c r="M19" s="3"/>
      <c r="N19" s="3"/>
    </row>
    <row r="20" spans="2:21">
      <c r="B20" t="s">
        <v>2284</v>
      </c>
      <c r="H20" s="2"/>
      <c r="I20" s="3"/>
      <c r="J20" s="3"/>
      <c r="K20" s="3"/>
      <c r="L20" s="3"/>
      <c r="M20" s="3"/>
      <c r="N20" s="3"/>
    </row>
    <row r="21" spans="2:21">
      <c r="B21" s="19"/>
      <c r="C21" s="19"/>
      <c r="D21" s="19"/>
      <c r="E21" s="21"/>
      <c r="F21" s="19"/>
      <c r="G21" s="19"/>
      <c r="H21" s="20"/>
      <c r="I21" s="21"/>
      <c r="J21" s="21"/>
      <c r="K21" s="21"/>
      <c r="L21" s="21"/>
      <c r="M21" s="21"/>
      <c r="N21" s="21"/>
      <c r="O21" s="19"/>
      <c r="P21" s="19"/>
    </row>
    <row r="22" spans="2:21">
      <c r="H22" s="2"/>
      <c r="I22" s="3"/>
      <c r="J22" s="3"/>
      <c r="K22" s="3"/>
      <c r="L22" s="3"/>
      <c r="M22" s="3"/>
      <c r="N22" s="3"/>
    </row>
    <row r="23" spans="2:21">
      <c r="E23"/>
      <c r="I23" s="202"/>
      <c r="J23" s="202"/>
      <c r="K23" s="202"/>
      <c r="L23" s="202"/>
    </row>
    <row r="24" spans="2:21" hidden="1" outlineLevel="1">
      <c r="H24" s="2"/>
      <c r="I24" s="3"/>
      <c r="J24" s="3"/>
      <c r="K24" s="3"/>
      <c r="L24" s="3"/>
      <c r="M24" s="3"/>
      <c r="N24" s="3"/>
      <c r="O24" s="3"/>
    </row>
    <row r="25" spans="2:21" hidden="1" outlineLevel="1">
      <c r="B25" s="57" t="str">
        <f ca="1">_xll.SNL.Clients.Office.Excel.Functions.SPGTable(KI,$C$28:$C$52,SKF,"Options: Curr="&amp;Sel_Curr&amp;", Mag="&amp;Sel_Mag&amp;",ConvMethod="&amp;Sel_Conv&amp;", NA=NA, Term=en-US")</f>
        <v>SPGTable</v>
      </c>
      <c r="C25" s="57"/>
      <c r="D25" s="57"/>
      <c r="E25" s="59" t="str">
        <f t="shared" ref="E25:O25" si="0">Focus_Co</f>
        <v>FMC</v>
      </c>
      <c r="F25" s="59" t="str">
        <f t="shared" si="0"/>
        <v>FMC</v>
      </c>
      <c r="G25" s="59" t="str">
        <f t="shared" si="0"/>
        <v>FMC</v>
      </c>
      <c r="H25" s="59" t="str">
        <f t="shared" si="0"/>
        <v>FMC</v>
      </c>
      <c r="I25" s="59" t="str">
        <f t="shared" si="0"/>
        <v>FMC</v>
      </c>
      <c r="J25" s="59" t="str">
        <f t="shared" si="0"/>
        <v>FMC</v>
      </c>
      <c r="K25" s="59" t="str">
        <f>IF(K26="","",Focus_Co)</f>
        <v>FMC</v>
      </c>
      <c r="L25" s="59" t="str">
        <f>IF(L26="","",Focus_Co)</f>
        <v>FMC</v>
      </c>
      <c r="M25" s="59" t="str">
        <f t="shared" si="0"/>
        <v>FMC</v>
      </c>
      <c r="N25" s="59" t="str">
        <f t="shared" si="0"/>
        <v>FMC</v>
      </c>
      <c r="O25" s="59" t="str">
        <f t="shared" si="0"/>
        <v>FMC</v>
      </c>
    </row>
    <row r="26" spans="2:21" hidden="1" outlineLevel="1">
      <c r="B26" s="57" t="str">
        <f ca="1">_xll.SNL.Clients.Office.Excel.Functions.SPGTable($M$25:$O$25,$D$28:$D$52,$M$26:$O$26,"Options: Curr="&amp;Sel_Curr&amp;", Mag="&amp;Sel_Mag&amp;",ConvMethod="&amp;Sel_Conv&amp;", NA=NA, Term=en-US")</f>
        <v>SPGTable</v>
      </c>
      <c r="C26" s="61"/>
      <c r="D26" s="61"/>
      <c r="E26" s="59" t="str">
        <f t="shared" ref="E26:F26" si="1">LEFT(F26,LEN(F26)-1)&amp;RIGHT(F26,1)+1</f>
        <v>FQ-4</v>
      </c>
      <c r="F26" s="59" t="str">
        <f t="shared" si="1"/>
        <v>FQ-3</v>
      </c>
      <c r="G26" s="59" t="str">
        <f>LEFT(H26,LEN(H26)-1)&amp;RIGHT(H26,1)+1</f>
        <v>FQ-2</v>
      </c>
      <c r="H26" s="59" t="str">
        <f>VLOOKUP(Period,FormatTable,2,FALSE)</f>
        <v>FQ-1</v>
      </c>
      <c r="I26" s="59" t="str">
        <f>Period</f>
        <v>FQ0</v>
      </c>
      <c r="J26" s="59" t="str">
        <f>IF(Period="LTM","FY0",IF(MID(Period,2,1)="Q",LEFT(Period,1)&amp;"Q-3",Period))</f>
        <v>FQ-3</v>
      </c>
      <c r="K26" s="59" t="str">
        <f>IF(J26="FY0","",LEFT(J26,3)&amp;RIGHT(J26,1)-1)</f>
        <v>FQ-2</v>
      </c>
      <c r="L26" s="59" t="str">
        <f>IF(J26="FY0","",LEFT(K26,3)&amp;RIGHT(K26,1)-1)</f>
        <v>FQ-1</v>
      </c>
      <c r="M26" s="59" t="str">
        <f>IF(Period="LTM","FY+1",VLOOKUP(Period,FormatTable,3,FALSE))</f>
        <v>FQ+1</v>
      </c>
      <c r="N26" s="59" t="str">
        <f>LEFT(M26,3)&amp;RIGHT(M26,1)+1</f>
        <v>FQ+2</v>
      </c>
      <c r="O26" s="59" t="str">
        <f>LEFT(N26,3)&amp;RIGHT(N26,1)+1</f>
        <v>FQ+3</v>
      </c>
    </row>
    <row r="27" spans="2:21" hidden="1" outlineLevel="1">
      <c r="C27" s="61"/>
      <c r="D27" s="61"/>
      <c r="E27" s="209">
        <f t="shared" ref="E27:O27" ca="1" si="2">IF(Date="","",Date)</f>
        <v>45536</v>
      </c>
      <c r="F27" s="209">
        <f t="shared" ca="1" si="2"/>
        <v>45536</v>
      </c>
      <c r="G27" s="209">
        <f t="shared" ca="1" si="2"/>
        <v>45536</v>
      </c>
      <c r="H27" s="209">
        <f t="shared" ca="1" si="2"/>
        <v>45536</v>
      </c>
      <c r="I27" s="209">
        <f t="shared" ca="1" si="2"/>
        <v>45536</v>
      </c>
      <c r="J27" s="209">
        <f t="shared" ca="1" si="2"/>
        <v>45536</v>
      </c>
      <c r="K27" s="209">
        <f t="shared" ca="1" si="2"/>
        <v>45536</v>
      </c>
      <c r="L27" s="209">
        <f t="shared" ca="1" si="2"/>
        <v>45536</v>
      </c>
      <c r="M27" s="209">
        <f t="shared" ca="1" si="2"/>
        <v>45536</v>
      </c>
      <c r="N27" s="209">
        <f t="shared" ca="1" si="2"/>
        <v>45536</v>
      </c>
      <c r="O27" s="209">
        <f t="shared" ca="1" si="2"/>
        <v>45536</v>
      </c>
    </row>
    <row r="28" spans="2:21" ht="11.25" hidden="1" customHeight="1" outlineLevel="1">
      <c r="C28" s="61" t="s">
        <v>326</v>
      </c>
      <c r="D28" s="61" t="s">
        <v>283</v>
      </c>
      <c r="E28" s="23">
        <v>45107</v>
      </c>
      <c r="F28" s="23">
        <v>45199</v>
      </c>
      <c r="G28" s="23">
        <v>45291</v>
      </c>
      <c r="H28" s="23">
        <v>45382</v>
      </c>
      <c r="I28" s="23">
        <v>45473</v>
      </c>
      <c r="J28" s="23">
        <v>45199</v>
      </c>
      <c r="K28" s="23">
        <v>45291</v>
      </c>
      <c r="L28" s="23">
        <v>45382</v>
      </c>
      <c r="M28" s="23">
        <v>45565</v>
      </c>
      <c r="N28" s="23">
        <v>45657</v>
      </c>
      <c r="O28" s="23">
        <v>45747</v>
      </c>
    </row>
    <row r="29" spans="2:21" ht="11.25" customHeight="1" collapsed="1">
      <c r="C29" s="61"/>
      <c r="D29" s="61"/>
      <c r="E29" s="15"/>
      <c r="F29" s="15"/>
      <c r="G29" s="15"/>
      <c r="H29" s="15"/>
      <c r="I29" s="15"/>
      <c r="J29" s="15"/>
      <c r="K29" s="15"/>
      <c r="L29" s="15"/>
      <c r="M29" s="22"/>
      <c r="N29" s="22"/>
      <c r="O29" s="228" t="s">
        <v>2280</v>
      </c>
      <c r="P29" s="3"/>
    </row>
    <row r="30" spans="2:21" ht="15" customHeight="1">
      <c r="B30" s="120" t="s">
        <v>300</v>
      </c>
      <c r="C30" s="61"/>
      <c r="D30" s="61"/>
      <c r="E30" s="243" t="s">
        <v>271</v>
      </c>
      <c r="F30" s="244"/>
      <c r="G30" s="244"/>
      <c r="H30" s="244"/>
      <c r="I30" s="245"/>
      <c r="J30" s="229"/>
      <c r="K30" s="229"/>
      <c r="L30" s="229"/>
      <c r="M30" s="243" t="s">
        <v>1665</v>
      </c>
      <c r="N30" s="244"/>
      <c r="O30" s="245"/>
    </row>
    <row r="31" spans="2:21" ht="18.75" customHeight="1">
      <c r="B31" s="28" t="s">
        <v>325</v>
      </c>
      <c r="C31" s="61"/>
      <c r="D31" s="61"/>
      <c r="E31" s="44">
        <f>IF(E28="","",E28)</f>
        <v>45107</v>
      </c>
      <c r="F31" s="44">
        <f>IF(F28="","",F28)</f>
        <v>45199</v>
      </c>
      <c r="G31" s="44">
        <f>IF(G28="","",G28)</f>
        <v>45291</v>
      </c>
      <c r="H31" s="44">
        <f>IF(H28="","",H28)</f>
        <v>45382</v>
      </c>
      <c r="I31" s="44">
        <f>IF(I28="","",I28)</f>
        <v>45473</v>
      </c>
      <c r="J31" s="44"/>
      <c r="K31" s="44"/>
      <c r="L31" s="44"/>
      <c r="M31" s="44">
        <f>IF(M28="","",M28)</f>
        <v>45565</v>
      </c>
      <c r="N31" s="44">
        <f>IF(N28="","",N28)</f>
        <v>45657</v>
      </c>
      <c r="O31" s="44">
        <f>IF(O28="","",O28)</f>
        <v>45747</v>
      </c>
    </row>
    <row r="32" spans="2:21" ht="11.25" customHeight="1">
      <c r="C32" s="61"/>
      <c r="D32" s="61"/>
      <c r="E32" s="15"/>
      <c r="F32" s="15"/>
      <c r="G32" s="15"/>
      <c r="H32" s="15"/>
      <c r="I32" s="15"/>
      <c r="J32" s="15"/>
      <c r="K32" s="15"/>
      <c r="L32" s="15"/>
      <c r="M32" s="22"/>
      <c r="N32" s="22"/>
      <c r="O32" s="22"/>
    </row>
    <row r="33" spans="2:15" ht="11.25" customHeight="1">
      <c r="B33" s="1" t="s">
        <v>0</v>
      </c>
      <c r="C33" s="61" t="s">
        <v>20</v>
      </c>
      <c r="D33" s="61" t="s">
        <v>282</v>
      </c>
      <c r="E33" s="85">
        <v>1014.5</v>
      </c>
      <c r="F33" s="85">
        <v>981.9</v>
      </c>
      <c r="G33" s="85">
        <v>1146.1000000000001</v>
      </c>
      <c r="H33" s="85">
        <v>918</v>
      </c>
      <c r="I33" s="85">
        <v>1038.4000000000001</v>
      </c>
      <c r="J33" s="85">
        <v>981.9</v>
      </c>
      <c r="K33" s="85">
        <v>1146.1000000000001</v>
      </c>
      <c r="L33" s="85">
        <v>918</v>
      </c>
      <c r="M33" s="85">
        <v>1047.24342</v>
      </c>
      <c r="N33" s="85">
        <v>1373.39481</v>
      </c>
      <c r="O33" s="85">
        <v>1052.6271000000002</v>
      </c>
    </row>
    <row r="34" spans="2:15" ht="11.25" customHeight="1">
      <c r="B34" t="s">
        <v>291</v>
      </c>
      <c r="C34" s="61" t="s">
        <v>19</v>
      </c>
      <c r="D34" s="61"/>
      <c r="E34" s="45">
        <v>-30.145</v>
      </c>
      <c r="F34" s="45">
        <v>-28.702999999999999</v>
      </c>
      <c r="G34" s="45">
        <v>-29.34</v>
      </c>
      <c r="H34" s="45">
        <v>-31.712</v>
      </c>
      <c r="I34" s="45">
        <v>2.3559999999999999</v>
      </c>
      <c r="J34" s="45">
        <v>-28.702999999999999</v>
      </c>
      <c r="K34" s="45">
        <v>-29.34</v>
      </c>
      <c r="L34" s="45">
        <v>-31.712</v>
      </c>
      <c r="M34" s="110">
        <f>IFERROR((M33/J33-1)*100,"-")</f>
        <v>6.6547937671860735</v>
      </c>
      <c r="N34" s="110">
        <f>IFERROR(IF($K$26="",(N33/M33-1)*100,(N33/K33-1)*100),"-")</f>
        <v>19.832022511124681</v>
      </c>
      <c r="O34" s="110">
        <f>IFERROR(IF($L$26="",(O33/N33-1)*100,(O33/L33-1)*100),"-")</f>
        <v>14.665261437908516</v>
      </c>
    </row>
    <row r="35" spans="2:15" ht="11.25" customHeight="1">
      <c r="C35" s="61"/>
      <c r="D35" s="61"/>
      <c r="E35" s="15"/>
      <c r="F35" s="15"/>
      <c r="G35" s="15"/>
      <c r="H35" s="15"/>
      <c r="I35" s="15"/>
      <c r="J35" s="15"/>
      <c r="K35" s="15"/>
      <c r="L35" s="15"/>
      <c r="M35" s="3"/>
      <c r="N35" s="3"/>
      <c r="O35" s="3"/>
    </row>
    <row r="36" spans="2:15" ht="11.25" customHeight="1">
      <c r="B36" s="1" t="s">
        <v>1</v>
      </c>
      <c r="C36" s="61" t="s">
        <v>21</v>
      </c>
      <c r="D36" s="61"/>
      <c r="E36" s="85">
        <v>432.8</v>
      </c>
      <c r="F36" s="85">
        <v>381.2</v>
      </c>
      <c r="G36" s="85">
        <v>435.7</v>
      </c>
      <c r="H36" s="85">
        <v>339.7</v>
      </c>
      <c r="I36" s="85">
        <v>398.1</v>
      </c>
      <c r="J36" s="85">
        <v>381.2</v>
      </c>
      <c r="K36" s="85">
        <v>435.7</v>
      </c>
      <c r="L36" s="85">
        <v>339.7</v>
      </c>
      <c r="M36" s="85">
        <f>IFERROR((M33*M37)/100,"-")</f>
        <v>386.24871658676403</v>
      </c>
      <c r="N36" s="85">
        <f>IFERROR((N33*N37)/100,"-")</f>
        <v>594.22343629515603</v>
      </c>
      <c r="O36" s="85">
        <f>IFERROR((O33*O37)/100,"-")</f>
        <v>457.73499969771007</v>
      </c>
    </row>
    <row r="37" spans="2:15" ht="11.25" customHeight="1">
      <c r="B37" t="s">
        <v>2</v>
      </c>
      <c r="C37" s="61"/>
      <c r="D37" s="61" t="s">
        <v>284</v>
      </c>
      <c r="E37" s="110">
        <f>IFERROR((E36/E33)*100,"-")</f>
        <v>42.661409561360273</v>
      </c>
      <c r="F37" s="110">
        <f>IFERROR((F36/F33)*100,"-")</f>
        <v>38.822690701700786</v>
      </c>
      <c r="G37" s="45">
        <f>IFERROR((G36/G33)*100,"-")</f>
        <v>38.015879940668349</v>
      </c>
      <c r="H37" s="45">
        <f>IFERROR((H36/H33)*100,"-")</f>
        <v>37.004357298474943</v>
      </c>
      <c r="I37" s="45">
        <f>IFERROR((I36/I33)*100,"-")</f>
        <v>38.337827426810478</v>
      </c>
      <c r="J37" s="45"/>
      <c r="K37" s="45"/>
      <c r="L37" s="45"/>
      <c r="M37" s="45">
        <v>36.882420000000003</v>
      </c>
      <c r="N37" s="45">
        <v>43.266759999999998</v>
      </c>
      <c r="O37" s="45">
        <v>43.485010000000003</v>
      </c>
    </row>
    <row r="38" spans="2:15" ht="11.25" customHeight="1">
      <c r="C38" s="61"/>
      <c r="D38" s="61"/>
      <c r="F38" s="3"/>
      <c r="G38" s="3"/>
      <c r="H38" s="3"/>
      <c r="I38" s="3"/>
      <c r="J38" s="3"/>
      <c r="K38" s="3"/>
      <c r="L38" s="3"/>
      <c r="M38" s="3"/>
      <c r="N38" s="3"/>
      <c r="O38" s="3"/>
    </row>
    <row r="39" spans="2:15" ht="11.25" customHeight="1">
      <c r="B39" s="1" t="s">
        <v>3</v>
      </c>
      <c r="C39" s="61" t="s">
        <v>22</v>
      </c>
      <c r="D39" s="61" t="s">
        <v>285</v>
      </c>
      <c r="E39" s="85">
        <v>187.6</v>
      </c>
      <c r="F39" s="85">
        <v>174.6</v>
      </c>
      <c r="G39" s="85">
        <v>139.6</v>
      </c>
      <c r="H39" s="85">
        <v>160.6</v>
      </c>
      <c r="I39" s="85">
        <v>201.70000000000002</v>
      </c>
      <c r="J39" s="85">
        <v>174.6</v>
      </c>
      <c r="K39" s="85">
        <v>139.6</v>
      </c>
      <c r="L39" s="85">
        <v>160.6</v>
      </c>
      <c r="M39" s="85">
        <v>182.83707999999999</v>
      </c>
      <c r="N39" s="85">
        <v>363.40926000000002</v>
      </c>
      <c r="O39" s="85">
        <v>248.80607999999998</v>
      </c>
    </row>
    <row r="40" spans="2:15" ht="11.25" customHeight="1">
      <c r="B40" t="s">
        <v>2</v>
      </c>
      <c r="C40" s="61"/>
      <c r="D40" s="61"/>
      <c r="E40" s="110">
        <f>IFERROR((E39/E33)*100,"-")</f>
        <v>18.491867915229175</v>
      </c>
      <c r="F40" s="110">
        <f>IFERROR((F39/F33)*100,"-")</f>
        <v>17.781851512373969</v>
      </c>
      <c r="G40" s="45">
        <f>IFERROR((G39/G33)*100,"-")</f>
        <v>12.180438007154697</v>
      </c>
      <c r="H40" s="45">
        <f>IFERROR((H39/H33)*100,"-")</f>
        <v>17.494553376906318</v>
      </c>
      <c r="I40" s="45">
        <f>IFERROR((I39/I33)*100,"-")</f>
        <v>19.424114021571647</v>
      </c>
      <c r="J40" s="45"/>
      <c r="K40" s="45"/>
      <c r="L40" s="45"/>
      <c r="M40" s="45">
        <f>IFERROR((M39/M33)*100,"-")</f>
        <v>17.458890312244691</v>
      </c>
      <c r="N40" s="45">
        <f>IFERROR((N39/N33)*100,"-")</f>
        <v>26.46065482073578</v>
      </c>
      <c r="O40" s="45">
        <f>IFERROR((O39/O33)*100,"-")</f>
        <v>23.636678174065626</v>
      </c>
    </row>
    <row r="41" spans="2:15" ht="11.25" customHeight="1">
      <c r="C41" s="61"/>
      <c r="D41" s="61"/>
      <c r="F41" s="3"/>
      <c r="G41" s="3"/>
      <c r="H41" s="3"/>
      <c r="I41" s="3"/>
      <c r="J41" s="3"/>
      <c r="K41" s="3"/>
      <c r="L41" s="3"/>
      <c r="M41" s="3"/>
      <c r="N41" s="3"/>
      <c r="O41" s="3"/>
    </row>
    <row r="42" spans="2:15" ht="11.25" customHeight="1">
      <c r="B42" s="1" t="s">
        <v>4</v>
      </c>
      <c r="C42" s="61" t="s">
        <v>23</v>
      </c>
      <c r="D42" s="61" t="s">
        <v>286</v>
      </c>
      <c r="E42" s="85">
        <v>139.5</v>
      </c>
      <c r="F42" s="85">
        <v>129</v>
      </c>
      <c r="G42" s="85">
        <v>93.7</v>
      </c>
      <c r="H42" s="85">
        <v>114.9</v>
      </c>
      <c r="I42" s="85">
        <v>157.4</v>
      </c>
      <c r="J42" s="85">
        <v>129</v>
      </c>
      <c r="K42" s="85">
        <v>93.7</v>
      </c>
      <c r="L42" s="85">
        <v>114.9</v>
      </c>
      <c r="M42" s="85">
        <v>137.90033</v>
      </c>
      <c r="N42" s="85">
        <v>319.12832000000003</v>
      </c>
      <c r="O42" s="85">
        <v>186.01340999999999</v>
      </c>
    </row>
    <row r="43" spans="2:15" ht="11.25" customHeight="1">
      <c r="B43" t="s">
        <v>2</v>
      </c>
      <c r="C43" s="61"/>
      <c r="D43" s="61"/>
      <c r="E43" s="45">
        <f>IFERROR((E42/E33)*100,"-")</f>
        <v>13.750616067028092</v>
      </c>
      <c r="F43" s="45">
        <f>IFERROR((F42/F33)*100,"-")</f>
        <v>13.137794072716163</v>
      </c>
      <c r="G43" s="45">
        <f>IFERROR((G42/G33)*100,"-")</f>
        <v>8.1755518715644353</v>
      </c>
      <c r="H43" s="45">
        <f>IFERROR((H42/H33)*100,"-")</f>
        <v>12.516339869281046</v>
      </c>
      <c r="I43" s="45">
        <f>IFERROR((I42/I33)*100,"-")</f>
        <v>15.157935285053927</v>
      </c>
      <c r="J43" s="45"/>
      <c r="K43" s="45"/>
      <c r="L43" s="45"/>
      <c r="M43" s="45">
        <f>IFERROR((M42/M33)*100,"-")</f>
        <v>13.167934729062322</v>
      </c>
      <c r="N43" s="45">
        <f>IFERROR((N42/N33)*100,"-")</f>
        <v>23.236458859197235</v>
      </c>
      <c r="O43" s="45">
        <f>IFERROR((O42/O33)*100,"-")</f>
        <v>17.671349141590596</v>
      </c>
    </row>
    <row r="44" spans="2:15" ht="11.25" customHeight="1">
      <c r="C44" s="61"/>
      <c r="D44" s="61"/>
      <c r="F44" s="3"/>
      <c r="G44" s="3"/>
      <c r="H44" s="3"/>
      <c r="I44" s="3"/>
      <c r="J44" s="3"/>
      <c r="K44" s="3"/>
      <c r="L44" s="3"/>
      <c r="M44" s="3"/>
      <c r="N44" s="3"/>
      <c r="O44" s="3"/>
    </row>
    <row r="45" spans="2:15" ht="11.25" customHeight="1">
      <c r="B45" s="1" t="s">
        <v>5</v>
      </c>
      <c r="C45" s="61" t="s">
        <v>24</v>
      </c>
      <c r="D45" s="61"/>
      <c r="E45" s="85">
        <v>53.9</v>
      </c>
      <c r="F45" s="85">
        <v>4.6000000000000005</v>
      </c>
      <c r="G45" s="85">
        <v>1153.6000000000001</v>
      </c>
      <c r="H45" s="85">
        <v>9.4</v>
      </c>
      <c r="I45" s="85">
        <v>298</v>
      </c>
      <c r="J45" s="85">
        <v>4.6000000000000005</v>
      </c>
      <c r="K45" s="85">
        <v>1153.6000000000001</v>
      </c>
      <c r="L45" s="85">
        <v>9.4</v>
      </c>
      <c r="M45" s="85"/>
      <c r="N45" s="85"/>
      <c r="O45" s="85"/>
    </row>
    <row r="46" spans="2:15" ht="11.25" customHeight="1">
      <c r="B46" t="s">
        <v>2</v>
      </c>
      <c r="C46" s="61"/>
      <c r="D46" s="61"/>
      <c r="E46" s="45">
        <f>IFERROR((E45/E33)*100,"-")</f>
        <v>5.3129620502710697</v>
      </c>
      <c r="F46" s="45">
        <f>IFERROR((F45/F33)*100,"-")</f>
        <v>0.46847947856197175</v>
      </c>
      <c r="G46" s="45">
        <f>IFERROR((G45/G33)*100,"-")</f>
        <v>100.65439315941018</v>
      </c>
      <c r="H46" s="45">
        <f>IFERROR((H45/H33)*100,"-")</f>
        <v>1.0239651416122006</v>
      </c>
      <c r="I46" s="45">
        <f>IFERROR((I45/I33)*100,"-")</f>
        <v>28.6979969183359</v>
      </c>
      <c r="J46" s="45"/>
      <c r="K46" s="45"/>
      <c r="L46" s="45"/>
      <c r="M46" s="24"/>
      <c r="N46" s="24"/>
      <c r="O46" s="24"/>
    </row>
    <row r="47" spans="2:15" ht="11.25" customHeight="1">
      <c r="C47" s="61"/>
      <c r="D47" s="61"/>
      <c r="F47" s="3"/>
      <c r="G47" s="3"/>
      <c r="H47" s="3"/>
      <c r="I47" s="3"/>
      <c r="J47" s="3"/>
      <c r="K47" s="3"/>
      <c r="L47" s="3"/>
      <c r="M47" s="3"/>
      <c r="N47" s="3"/>
      <c r="O47" s="3"/>
    </row>
    <row r="48" spans="2:15" ht="11.25" customHeight="1">
      <c r="B48" s="1" t="s">
        <v>6</v>
      </c>
      <c r="C48" s="61" t="s">
        <v>416</v>
      </c>
      <c r="D48" s="61" t="s">
        <v>287</v>
      </c>
      <c r="E48" s="85">
        <v>32.4</v>
      </c>
      <c r="F48" s="85">
        <v>-3.7</v>
      </c>
      <c r="G48" s="85">
        <v>1096.4000000000001</v>
      </c>
      <c r="H48" s="85">
        <v>-3.1</v>
      </c>
      <c r="I48" s="85">
        <v>295.2</v>
      </c>
      <c r="J48" s="85">
        <v>-3.7</v>
      </c>
      <c r="K48" s="85">
        <v>1096.4000000000001</v>
      </c>
      <c r="L48" s="85">
        <v>-3.1</v>
      </c>
      <c r="M48" s="85">
        <v>68.57714</v>
      </c>
      <c r="N48" s="85">
        <v>222.8904</v>
      </c>
      <c r="O48" s="85">
        <v>122.59148</v>
      </c>
    </row>
    <row r="49" spans="2:23" ht="11.25" customHeight="1">
      <c r="B49" t="s">
        <v>2</v>
      </c>
      <c r="C49" s="61"/>
      <c r="D49" s="61"/>
      <c r="E49" s="45">
        <f>IFERROR((E48/E33)*100,"-")</f>
        <v>3.193691473632331</v>
      </c>
      <c r="F49" s="45">
        <f>IFERROR((F48/F33)*100,"-")</f>
        <v>-0.3768204501476729</v>
      </c>
      <c r="G49" s="45">
        <f>IFERROR((G48/G33)*100,"-")</f>
        <v>95.663554663641918</v>
      </c>
      <c r="H49" s="45">
        <f>IFERROR((H48/H33)*100,"-")</f>
        <v>-0.33769063180827885</v>
      </c>
      <c r="I49" s="45">
        <f>IFERROR((I48/I33)*100,"-")</f>
        <v>28.428351309707239</v>
      </c>
      <c r="J49" s="45"/>
      <c r="K49" s="45"/>
      <c r="L49" s="45"/>
      <c r="M49" s="45">
        <f>IFERROR((M48/M33)*100,"-")</f>
        <v>6.5483476611388021</v>
      </c>
      <c r="N49" s="45">
        <f>IFERROR((N48/N33)*100,"-")</f>
        <v>16.229157004022753</v>
      </c>
      <c r="O49" s="45">
        <f>IFERROR((O48/O33)*100,"-")</f>
        <v>11.646240154751856</v>
      </c>
    </row>
    <row r="50" spans="2:23" ht="11.25" customHeight="1">
      <c r="C50" s="61"/>
      <c r="D50" s="61"/>
      <c r="F50" s="3"/>
      <c r="G50" s="3"/>
      <c r="H50" s="3"/>
      <c r="I50" s="3"/>
      <c r="J50" s="3"/>
      <c r="K50" s="3"/>
      <c r="L50" s="3"/>
      <c r="M50" s="3"/>
      <c r="N50" s="3"/>
      <c r="O50" s="3"/>
    </row>
    <row r="51" spans="2:23" ht="11.25" customHeight="1">
      <c r="B51" s="1" t="s">
        <v>293</v>
      </c>
      <c r="C51" s="61" t="s">
        <v>25</v>
      </c>
      <c r="D51" s="61" t="s">
        <v>288</v>
      </c>
      <c r="E51" s="45">
        <v>0.41</v>
      </c>
      <c r="F51" s="45">
        <v>3.7999999999999999E-2</v>
      </c>
      <c r="G51" s="45">
        <v>9.2119999999999997</v>
      </c>
      <c r="H51" s="45">
        <v>7.8E-2</v>
      </c>
      <c r="I51" s="45">
        <v>2.37</v>
      </c>
      <c r="J51" s="45">
        <v>3.7999999999999999E-2</v>
      </c>
      <c r="K51" s="45">
        <v>9.2119999999999997</v>
      </c>
      <c r="L51" s="45">
        <v>7.8E-2</v>
      </c>
      <c r="M51" s="45">
        <v>0.57164000000000004</v>
      </c>
      <c r="N51" s="45">
        <v>1.7656499999999999</v>
      </c>
      <c r="O51" s="45">
        <v>0.86514999999999997</v>
      </c>
    </row>
    <row r="52" spans="2:23" ht="11.25" customHeight="1">
      <c r="B52" t="s">
        <v>292</v>
      </c>
      <c r="C52" s="61" t="s">
        <v>289</v>
      </c>
      <c r="D52" s="61"/>
      <c r="E52" s="45">
        <v>-64.240799999999993</v>
      </c>
      <c r="F52" s="45">
        <v>-96.441299999999998</v>
      </c>
      <c r="G52" s="45">
        <v>256.4273</v>
      </c>
      <c r="H52" s="45">
        <v>-95.217500000000001</v>
      </c>
      <c r="I52" s="45" t="s">
        <v>321</v>
      </c>
      <c r="J52" s="45">
        <v>-96.441299999999998</v>
      </c>
      <c r="K52" s="45">
        <v>256.4273</v>
      </c>
      <c r="L52" s="45">
        <v>-95.217500000000001</v>
      </c>
      <c r="M52" s="45">
        <f>IFERROR((M51/J51-1)*100,"-")</f>
        <v>1404.3157894736844</v>
      </c>
      <c r="N52" s="45">
        <f>IFERROR(IF($K$26="",(N51/M51-1)*100,(N51/K51-1)*100),"-")</f>
        <v>-80.833152409900137</v>
      </c>
      <c r="O52" s="45">
        <f>IFERROR(IF($L$26="",(O51/N51-1)*100,(O51/L51-1)*100),"-")</f>
        <v>1009.1666666666666</v>
      </c>
    </row>
    <row r="53" spans="2:23">
      <c r="C53" s="61"/>
      <c r="D53" s="61"/>
    </row>
    <row r="54" spans="2:23" hidden="1" outlineLevel="1">
      <c r="C54" s="61"/>
      <c r="D54" s="61"/>
    </row>
    <row r="55" spans="2:23" hidden="1" outlineLevel="1">
      <c r="B55" s="57"/>
      <c r="C55" s="61"/>
      <c r="D55" s="61"/>
      <c r="E55" s="125"/>
      <c r="S55" s="57" t="str">
        <f ca="1">_xll.SNL.Clients.Office.Excel.Functions.SPGTable($S$58:$S$61,$V$57:$W$57,$T$58:$T$61,,"Options: Curr="&amp;Sel_Curr&amp;", Mag="&amp;Sel_Mag&amp;",ConvMethod="&amp;Sel_Conv&amp;", NA=NA, Term=en-US")</f>
        <v>SPGTable</v>
      </c>
      <c r="V55" s="33">
        <f>VLOOKUP(1,$R$58:$W$61,5,FALSE)</f>
        <v>64.58</v>
      </c>
      <c r="W55" s="213">
        <f>VLOOKUP(1,$R$58:$W$61,6,FALSE)</f>
        <v>124824364</v>
      </c>
    </row>
    <row r="56" spans="2:23" collapsed="1">
      <c r="B56" s="157" t="s">
        <v>2267</v>
      </c>
      <c r="C56" s="158"/>
      <c r="D56" s="158"/>
      <c r="E56" s="21"/>
      <c r="S56" s="2"/>
      <c r="T56" s="2"/>
      <c r="U56" s="2"/>
      <c r="V56" s="2" t="str">
        <f>"Day Close Price ("&amp;CURR_SYMBOL&amp;")"</f>
        <v>Day Close Price ($)</v>
      </c>
      <c r="W56" s="2" t="s">
        <v>2268</v>
      </c>
    </row>
    <row r="57" spans="2:23">
      <c r="B57" s="2" t="s">
        <v>290</v>
      </c>
      <c r="C57" s="61"/>
      <c r="D57" s="197"/>
      <c r="E57" s="116">
        <f>IFERROR($V$55,"NA")</f>
        <v>64.58</v>
      </c>
      <c r="F57" s="3"/>
      <c r="G57" s="198"/>
      <c r="H57" s="198"/>
      <c r="S57" s="210"/>
      <c r="T57" s="210"/>
      <c r="U57" s="210"/>
      <c r="V57" s="210" t="s">
        <v>26</v>
      </c>
      <c r="W57" s="3" t="s">
        <v>27</v>
      </c>
    </row>
    <row r="58" spans="2:23">
      <c r="B58" s="2" t="s">
        <v>294</v>
      </c>
      <c r="C58" s="61"/>
      <c r="D58" s="197"/>
      <c r="E58" s="29">
        <f>IFERROR($W$55,"NA")</f>
        <v>124824364</v>
      </c>
      <c r="F58" s="3"/>
      <c r="G58" s="3"/>
      <c r="R58" s="212">
        <f>IF(V58&lt;&gt;"NA",1)</f>
        <v>1</v>
      </c>
      <c r="S58" s="210" t="str">
        <f>Focus_Co</f>
        <v>FMC</v>
      </c>
      <c r="T58" s="23">
        <f ca="1">IF(WEEKDAY(Date)=1,(Date)-2,IF(WEEKDAY(Date)=7,(Date)-1,(Date)))</f>
        <v>45534</v>
      </c>
      <c r="U58" s="3"/>
      <c r="V58" s="22">
        <v>64.58</v>
      </c>
      <c r="W58" s="15">
        <v>124824364</v>
      </c>
    </row>
    <row r="59" spans="2:23">
      <c r="B59" s="25" t="s">
        <v>299</v>
      </c>
      <c r="C59" s="61"/>
      <c r="D59" s="61"/>
      <c r="E59" s="159">
        <f>IFERROR(Divisor,"-")</f>
        <v>1000000</v>
      </c>
      <c r="G59" s="3"/>
      <c r="R59" s="212">
        <f t="shared" ref="R59:R61" si="3">IF(V59&lt;&gt;"NA",1)</f>
        <v>1</v>
      </c>
      <c r="S59" s="210" t="str">
        <f>Focus_Co</f>
        <v>FMC</v>
      </c>
      <c r="T59" s="23">
        <f ca="1">IF(WEEKDAY(T58-1)=1,(T58-1)-2,IF(WEEKDAY(T58-1)=7,(T58-1)-1,(T58-1)))</f>
        <v>45533</v>
      </c>
      <c r="U59" s="3"/>
      <c r="V59" s="22">
        <v>65.400000000000006</v>
      </c>
      <c r="W59" s="15">
        <v>124824364</v>
      </c>
    </row>
    <row r="60" spans="2:23">
      <c r="B60" s="14" t="s">
        <v>16</v>
      </c>
      <c r="C60" s="61"/>
      <c r="D60" s="61"/>
      <c r="E60" s="111">
        <f>IFERROR(E57*(E58/E59),"NA")</f>
        <v>8061.1574271199997</v>
      </c>
      <c r="G60" s="3"/>
      <c r="R60" s="212">
        <f t="shared" si="3"/>
        <v>1</v>
      </c>
      <c r="S60" s="210" t="str">
        <f>Focus_Co</f>
        <v>FMC</v>
      </c>
      <c r="T60" s="23">
        <f t="shared" ref="T60:T61" ca="1" si="4">IF(WEEKDAY(T59-1)=1,(T59-1)-2,IF(WEEKDAY(T59-1)=7,(T59-1)-1,(T59-1)))</f>
        <v>45532</v>
      </c>
      <c r="U60" s="3"/>
      <c r="V60" s="22">
        <v>65.11</v>
      </c>
      <c r="W60" s="15">
        <v>124824364</v>
      </c>
    </row>
    <row r="61" spans="2:23" ht="9" hidden="1" customHeight="1" outlineLevel="1">
      <c r="B61" s="14"/>
      <c r="C61" s="61"/>
      <c r="D61" s="61"/>
      <c r="E61" s="30"/>
      <c r="G61" s="3"/>
      <c r="R61" s="212">
        <f t="shared" si="3"/>
        <v>1</v>
      </c>
      <c r="S61" s="210" t="str">
        <f>Focus_Co</f>
        <v>FMC</v>
      </c>
      <c r="T61" s="23">
        <f t="shared" ca="1" si="4"/>
        <v>45531</v>
      </c>
      <c r="U61" s="3"/>
      <c r="V61" s="22">
        <v>65.08</v>
      </c>
      <c r="W61" s="15">
        <v>124824364</v>
      </c>
    </row>
    <row r="62" spans="2:23" hidden="1" outlineLevel="1">
      <c r="B62" s="57" t="str">
        <f>_xll.SNL.Clients.Office.Excel.Functions.SPGTable($E$62,$C$65:$C$71,E63,"Options: Curr="&amp;Sel_Curr&amp;", Mag="&amp;Sel_Mag&amp;",ConvMethod="&amp;Sel_Conv&amp;", NA=NA, Term=en-US")</f>
        <v>SPGTable</v>
      </c>
      <c r="C62" s="61"/>
      <c r="D62" s="61"/>
      <c r="E62" s="125" t="str">
        <f>Focus_Co</f>
        <v>FMC</v>
      </c>
      <c r="G62" s="3"/>
      <c r="S62" s="210"/>
      <c r="T62" s="3"/>
      <c r="U62" s="3"/>
      <c r="V62" s="22"/>
      <c r="W62" s="211"/>
    </row>
    <row r="63" spans="2:23" hidden="1" outlineLevel="1">
      <c r="C63" s="61"/>
      <c r="D63" s="61"/>
      <c r="E63" s="125" t="s">
        <v>873</v>
      </c>
      <c r="G63" s="3"/>
    </row>
    <row r="64" spans="2:23" hidden="1" outlineLevel="1">
      <c r="C64" s="61"/>
      <c r="D64" s="61"/>
      <c r="E64" s="125"/>
      <c r="G64" s="3"/>
    </row>
    <row r="65" spans="2:20" collapsed="1">
      <c r="B65" s="13" t="s">
        <v>297</v>
      </c>
      <c r="C65" s="61" t="s">
        <v>28</v>
      </c>
      <c r="D65" s="61"/>
      <c r="E65" s="85">
        <v>471.5</v>
      </c>
      <c r="F65" s="15"/>
      <c r="G65" s="15"/>
      <c r="H65" s="15"/>
      <c r="I65" s="15"/>
      <c r="J65" s="15"/>
      <c r="K65" s="15"/>
      <c r="L65" s="15"/>
      <c r="T65" s="2"/>
    </row>
    <row r="66" spans="2:20">
      <c r="B66" s="13" t="s">
        <v>17</v>
      </c>
      <c r="C66" s="61" t="s">
        <v>29</v>
      </c>
      <c r="D66" s="61"/>
      <c r="E66" s="85">
        <v>4322</v>
      </c>
      <c r="F66" s="15"/>
      <c r="G66" s="15"/>
      <c r="H66" s="15"/>
      <c r="I66" s="15"/>
      <c r="J66" s="15"/>
      <c r="K66" s="15"/>
      <c r="L66" s="15"/>
      <c r="T66" s="3"/>
    </row>
    <row r="67" spans="2:20">
      <c r="B67" s="13" t="s">
        <v>298</v>
      </c>
      <c r="C67" s="61" t="s">
        <v>30</v>
      </c>
      <c r="D67" s="61"/>
      <c r="E67" s="85" t="s">
        <v>301</v>
      </c>
      <c r="F67" s="15"/>
      <c r="G67" s="15"/>
      <c r="H67" s="15"/>
      <c r="I67" s="15"/>
      <c r="J67" s="15"/>
      <c r="K67" s="15"/>
      <c r="L67" s="15"/>
      <c r="T67" s="3"/>
    </row>
    <row r="68" spans="2:20">
      <c r="B68" s="13" t="s">
        <v>18</v>
      </c>
      <c r="C68" s="61" t="s">
        <v>31</v>
      </c>
      <c r="D68" s="61"/>
      <c r="E68" s="85">
        <v>21.3</v>
      </c>
      <c r="F68" s="15"/>
      <c r="G68" s="15"/>
      <c r="H68" s="15"/>
      <c r="I68" s="15"/>
      <c r="J68" s="15"/>
      <c r="K68" s="15"/>
      <c r="L68" s="15"/>
      <c r="T68" s="3"/>
    </row>
    <row r="69" spans="2:20">
      <c r="B69" s="11" t="s">
        <v>295</v>
      </c>
      <c r="C69" s="61"/>
      <c r="D69" s="61"/>
      <c r="E69" s="160">
        <f>IFERROR(IF(COUNT(E60,E65:E68)=0,"NA",SUM(E60,-E65,E66:E68)),"NA")</f>
        <v>11932.95742712</v>
      </c>
    </row>
    <row r="70" spans="2:20">
      <c r="C70" s="61"/>
      <c r="D70" s="61"/>
      <c r="E70" s="27"/>
    </row>
    <row r="71" spans="2:20">
      <c r="B71" t="s">
        <v>33</v>
      </c>
      <c r="C71" s="61" t="s">
        <v>32</v>
      </c>
      <c r="D71" s="61"/>
      <c r="E71" s="85">
        <v>4559.4000000000015</v>
      </c>
      <c r="F71" s="15"/>
      <c r="G71" s="15"/>
      <c r="H71" s="15"/>
      <c r="I71" s="15"/>
      <c r="J71" s="15"/>
      <c r="K71" s="15"/>
      <c r="L71" s="15"/>
    </row>
    <row r="72" spans="2:20">
      <c r="B72" s="13" t="s">
        <v>298</v>
      </c>
      <c r="C72" s="61"/>
      <c r="D72" s="61"/>
      <c r="E72" s="85" t="str">
        <f>E67</f>
        <v>NA</v>
      </c>
    </row>
    <row r="73" spans="2:20">
      <c r="B73" s="10" t="s">
        <v>18</v>
      </c>
      <c r="C73" s="61"/>
      <c r="D73" s="61"/>
      <c r="E73" s="85">
        <f>E68</f>
        <v>21.3</v>
      </c>
    </row>
    <row r="74" spans="2:20">
      <c r="B74" s="10" t="s">
        <v>17</v>
      </c>
      <c r="C74" s="61"/>
      <c r="D74" s="61"/>
      <c r="E74" s="85">
        <f>E66</f>
        <v>4322</v>
      </c>
    </row>
    <row r="75" spans="2:20" ht="10.8" thickBot="1">
      <c r="B75" s="12" t="s">
        <v>296</v>
      </c>
      <c r="C75" s="61"/>
      <c r="D75" s="61"/>
      <c r="E75" s="161">
        <f>IFERROR(IF(COUNT(E71:E74)=0,"NA",SUM(E71:E74)),"NA")</f>
        <v>8902.7000000000007</v>
      </c>
    </row>
    <row r="76" spans="2:20" ht="2.4" customHeight="1" thickTop="1">
      <c r="C76" s="46"/>
      <c r="D76" s="46"/>
    </row>
    <row r="77" spans="2:20" hidden="1" outlineLevel="1">
      <c r="B77" s="43" t="s">
        <v>308</v>
      </c>
    </row>
    <row r="78" spans="2:20" hidden="1" outlineLevel="1">
      <c r="B78" s="39"/>
      <c r="C78" s="40"/>
      <c r="D78" s="41"/>
      <c r="E78" s="42" t="s">
        <v>302</v>
      </c>
      <c r="F78" s="42" t="s">
        <v>303</v>
      </c>
      <c r="G78" s="42" t="s">
        <v>304</v>
      </c>
      <c r="H78" s="42" t="s">
        <v>305</v>
      </c>
    </row>
    <row r="79" spans="2:20" hidden="1" outlineLevel="1">
      <c r="B79" s="33" t="s">
        <v>320</v>
      </c>
      <c r="C79" s="35"/>
      <c r="D79" s="36"/>
      <c r="E79" s="112">
        <f>IF(ISTEXT(E60),NA(),E60)</f>
        <v>8061.1574271199997</v>
      </c>
      <c r="F79" s="113"/>
      <c r="G79" s="114"/>
      <c r="H79" s="113"/>
    </row>
    <row r="80" spans="2:20" hidden="1" outlineLevel="1">
      <c r="B80" s="34" t="s">
        <v>306</v>
      </c>
      <c r="C80" s="37"/>
      <c r="D80" s="38"/>
      <c r="E80" s="112">
        <f>IF(ISTEXT(E60),NA(),E60)</f>
        <v>8061.1574271199997</v>
      </c>
      <c r="F80" s="113">
        <f>IFERROR(G81-E65,NA())</f>
        <v>3871.8</v>
      </c>
      <c r="G80" s="114"/>
      <c r="H80" s="113"/>
    </row>
    <row r="81" spans="2:14" ht="11.25" hidden="1" customHeight="1" outlineLevel="1">
      <c r="B81" s="34" t="s">
        <v>307</v>
      </c>
      <c r="C81" s="37"/>
      <c r="D81" s="38"/>
      <c r="E81" s="112"/>
      <c r="F81" s="113"/>
      <c r="G81" s="114">
        <f>IF(COUNT(E66:E68)=0,NA(),SUM(E66:E68))</f>
        <v>4343.3</v>
      </c>
      <c r="H81" s="113">
        <f>IF(ISTEXT(E71),NA(),E71)</f>
        <v>4559.4000000000015</v>
      </c>
    </row>
    <row r="82" spans="2:14" ht="11.25" customHeight="1" collapsed="1">
      <c r="E82" s="32"/>
      <c r="F82" s="31"/>
      <c r="G82" s="31"/>
      <c r="H82" s="31"/>
    </row>
    <row r="83" spans="2:14" ht="11.25" customHeight="1"/>
    <row r="96" spans="2:14">
      <c r="M96" s="25"/>
      <c r="N96" s="25"/>
    </row>
    <row r="97" spans="2:14">
      <c r="M97" s="25"/>
      <c r="N97" s="25"/>
    </row>
    <row r="98" spans="2:14">
      <c r="M98" s="25"/>
      <c r="N98" s="25"/>
    </row>
    <row r="99" spans="2:14">
      <c r="M99" s="25"/>
      <c r="N99" s="25"/>
    </row>
    <row r="100" spans="2:14">
      <c r="B100" s="25" t="s">
        <v>1666</v>
      </c>
      <c r="I100" s="25"/>
      <c r="J100" s="25"/>
      <c r="K100" s="25"/>
      <c r="L100" s="25"/>
      <c r="M100" s="25"/>
      <c r="N100" s="25"/>
    </row>
    <row r="101" spans="2:14">
      <c r="B101" s="25" t="s">
        <v>1667</v>
      </c>
      <c r="I101" s="25"/>
      <c r="J101" s="25"/>
      <c r="K101" s="25"/>
      <c r="L101" s="25"/>
      <c r="M101" s="25"/>
      <c r="N101" s="25"/>
    </row>
    <row r="102" spans="2:14">
      <c r="B102" s="25" t="s">
        <v>1668</v>
      </c>
      <c r="I102" s="25"/>
      <c r="J102" s="25"/>
      <c r="K102" s="25"/>
      <c r="L102" s="25"/>
      <c r="M102" s="25"/>
      <c r="N102" s="25"/>
    </row>
    <row r="103" spans="2:14">
      <c r="B103" s="25" t="s">
        <v>1669</v>
      </c>
      <c r="I103" s="25"/>
      <c r="J103" s="25"/>
      <c r="K103" s="25"/>
      <c r="L103" s="25"/>
      <c r="M103" s="25"/>
      <c r="N103" s="25"/>
    </row>
    <row r="105" spans="2:14" hidden="1" outlineLevel="1">
      <c r="B105" t="str">
        <f>"Financial Data "&amp;Curr_Sym</f>
        <v>Financial Data ($M)</v>
      </c>
    </row>
    <row r="106" spans="2:14" hidden="1" outlineLevel="1">
      <c r="B106" s="57" t="str">
        <f ca="1">_xll.SNL.Clients.Office.Excel.Functions.SPGTable($E$106:$G$106,$C$109:$C$115,$E$107:$G$107,"Options: Curr="&amp;Sel_Curr&amp;", Mag="&amp;Sel_Mag&amp;",ConvMethod="&amp;Sel_Conv&amp;", NA=NA, Term=en-US")</f>
        <v>SPGTable</v>
      </c>
      <c r="C106" s="61"/>
      <c r="D106" s="61"/>
      <c r="E106" s="125" t="str">
        <f>Focus_Co</f>
        <v>FMC</v>
      </c>
      <c r="F106" s="125" t="str">
        <f>Focus_Co</f>
        <v>FMC</v>
      </c>
      <c r="G106" s="125" t="str">
        <f>Focus_Co</f>
        <v>FMC</v>
      </c>
      <c r="H106" s="3"/>
    </row>
    <row r="107" spans="2:14" hidden="1" outlineLevel="1">
      <c r="C107" s="61"/>
      <c r="D107" s="61"/>
      <c r="E107" s="59" t="s">
        <v>2260</v>
      </c>
      <c r="F107" s="59" t="s">
        <v>2262</v>
      </c>
      <c r="G107" s="59" t="s">
        <v>2263</v>
      </c>
    </row>
    <row r="108" spans="2:14" hidden="1" outlineLevel="1">
      <c r="C108" s="61"/>
      <c r="D108" s="61"/>
      <c r="E108" s="209">
        <f ca="1">IF(Date="","",WORKDAY(Date+1,-1))</f>
        <v>45534</v>
      </c>
      <c r="F108" s="209">
        <f ca="1">IF(Date="","",WORKDAY(Date+1,-1))</f>
        <v>45534</v>
      </c>
      <c r="G108" s="209">
        <f ca="1">IF(Date="","",WORKDAY(Date+1,-1))</f>
        <v>45534</v>
      </c>
    </row>
    <row r="109" spans="2:14" hidden="1" outlineLevel="1">
      <c r="C109" s="61" t="s">
        <v>283</v>
      </c>
      <c r="D109" s="61"/>
      <c r="E109" s="209">
        <v>45657</v>
      </c>
      <c r="F109" s="209">
        <v>46022</v>
      </c>
      <c r="G109" s="209">
        <v>46387</v>
      </c>
    </row>
    <row r="110" spans="2:14" collapsed="1">
      <c r="B110" s="157" t="s">
        <v>319</v>
      </c>
      <c r="C110" s="61"/>
      <c r="D110" s="158"/>
      <c r="E110" s="170" t="str">
        <f>IF(E109="","","FY"&amp;YEAR(E109))</f>
        <v>FY2024</v>
      </c>
      <c r="F110" s="170" t="str">
        <f>IF(F109="","","FY"&amp;YEAR(F109))</f>
        <v>FY2025</v>
      </c>
      <c r="G110" s="170" t="str">
        <f>IF(G109="","","FY"&amp;YEAR(G109))</f>
        <v>FY2026</v>
      </c>
    </row>
    <row r="111" spans="2:14">
      <c r="B111" t="s">
        <v>309</v>
      </c>
      <c r="C111" s="61" t="s">
        <v>310</v>
      </c>
      <c r="D111" s="61"/>
      <c r="E111" s="45">
        <v>2.7195414041002</v>
      </c>
      <c r="F111" s="45">
        <v>2.5769705834271002</v>
      </c>
      <c r="G111" s="45">
        <v>2.4132117789795</v>
      </c>
    </row>
    <row r="112" spans="2:14">
      <c r="B112" t="s">
        <v>311</v>
      </c>
      <c r="C112" s="61" t="s">
        <v>312</v>
      </c>
      <c r="D112" s="61"/>
      <c r="E112" s="45">
        <v>13.117988495879899</v>
      </c>
      <c r="F112" s="45">
        <v>10.8465615881699</v>
      </c>
      <c r="G112" s="45">
        <v>9.6782217246739002</v>
      </c>
    </row>
    <row r="113" spans="2:15">
      <c r="B113" t="s">
        <v>313</v>
      </c>
      <c r="C113" s="61" t="s">
        <v>314</v>
      </c>
      <c r="D113" s="61"/>
      <c r="E113" s="45">
        <v>16.249937191106401</v>
      </c>
      <c r="F113" s="45">
        <v>12.925306072946301</v>
      </c>
      <c r="G113" s="45">
        <v>11.371920217761501</v>
      </c>
    </row>
    <row r="114" spans="2:15">
      <c r="B114" t="s">
        <v>315</v>
      </c>
      <c r="C114" s="61" t="s">
        <v>316</v>
      </c>
      <c r="D114" s="61"/>
      <c r="E114" s="45">
        <v>19.503621065600001</v>
      </c>
      <c r="F114" s="45">
        <v>13.748557657499999</v>
      </c>
      <c r="G114" s="45">
        <v>11.3828847804</v>
      </c>
    </row>
    <row r="115" spans="2:15">
      <c r="B115" t="s">
        <v>317</v>
      </c>
      <c r="C115" s="61" t="s">
        <v>318</v>
      </c>
      <c r="D115" s="61"/>
      <c r="E115" s="45">
        <v>1.7741675381999999</v>
      </c>
      <c r="F115" s="45">
        <v>1.7211456251999999</v>
      </c>
      <c r="G115" s="45">
        <v>1.6609672189</v>
      </c>
    </row>
    <row r="116" spans="2:15">
      <c r="B116" s="108"/>
      <c r="C116" s="109"/>
      <c r="D116" s="109"/>
      <c r="E116" s="118"/>
      <c r="F116" s="109"/>
      <c r="G116" s="109"/>
      <c r="H116" s="109"/>
      <c r="I116" s="109"/>
      <c r="J116" s="201"/>
      <c r="K116" s="201"/>
      <c r="L116" s="201"/>
      <c r="M116" s="109"/>
      <c r="N116" s="109"/>
      <c r="O116" s="109"/>
    </row>
  </sheetData>
  <mergeCells count="5">
    <mergeCell ref="F18:G18"/>
    <mergeCell ref="I18:M18"/>
    <mergeCell ref="M30:O30"/>
    <mergeCell ref="E30:I30"/>
    <mergeCell ref="F17:G17"/>
  </mergeCells>
  <dataValidations count="2">
    <dataValidation type="list" allowBlank="1" showInputMessage="1" showErrorMessage="1" sqref="F18" xr:uid="{00000000-0002-0000-0100-000000000000}">
      <formula1>Currency_Name</formula1>
    </dataValidation>
    <dataValidation type="list" allowBlank="1" showInputMessage="1" showErrorMessage="1" sqref="I18:L18" xr:uid="{00000000-0002-0000-0100-000001000000}">
      <formula1>Conv_List</formula1>
    </dataValidation>
  </dataValidations>
  <hyperlinks>
    <hyperlink ref="I7" r:id="rId1" xr:uid="{E714AD9E-F754-4B2D-8E7B-91DF55253315}"/>
  </hyperlinks>
  <pageMargins left="0.25" right="0.25" top="0.25" bottom="0.25" header="0" footer="0"/>
  <pageSetup paperSize="9" scale="72" fitToHeight="0" orientation="portrait" r:id="rId2"/>
  <headerFooter scaleWithDoc="0"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9" r:id="rId5" name="Button 5">
              <controlPr defaultSize="0" print="0" autoFill="0" autoPict="0" macro="[0]!Refresh">
                <anchor moveWithCells="1" sizeWithCells="1">
                  <from>
                    <xdr:col>5</xdr:col>
                    <xdr:colOff>0</xdr:colOff>
                    <xdr:row>18</xdr:row>
                    <xdr:rowOff>137160</xdr:rowOff>
                  </from>
                  <to>
                    <xdr:col>6</xdr:col>
                    <xdr:colOff>99060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'Pension-OPEB'!$Z$106:$Z$110</xm:f>
          </x14:formula1>
          <xm:sqref>H18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P55"/>
  <sheetViews>
    <sheetView showGridLines="0" workbookViewId="0"/>
  </sheetViews>
  <sheetFormatPr defaultRowHeight="10.199999999999999" outlineLevelRow="1" outlineLevelCol="1"/>
  <cols>
    <col min="1" max="1" width="2" customWidth="1"/>
    <col min="2" max="2" width="36.140625" customWidth="1"/>
    <col min="3" max="3" width="20.85546875" style="2" hidden="1" customWidth="1" outlineLevel="1"/>
    <col min="4" max="4" width="13.28515625" style="2" hidden="1" customWidth="1" outlineLevel="1"/>
    <col min="5" max="5" width="13.42578125" customWidth="1" collapsed="1"/>
    <col min="6" max="16" width="13.42578125" customWidth="1"/>
  </cols>
  <sheetData>
    <row r="1" spans="1:10">
      <c r="A1" s="47"/>
      <c r="B1" s="47"/>
      <c r="C1" s="91"/>
      <c r="D1" s="91"/>
      <c r="E1" s="47"/>
      <c r="F1" s="47"/>
      <c r="G1" s="47"/>
      <c r="H1" s="47"/>
      <c r="I1" s="47"/>
      <c r="J1" s="47"/>
    </row>
    <row r="2" spans="1:10" ht="16.2" thickBot="1">
      <c r="A2" s="47"/>
      <c r="B2" s="50" t="str">
        <f>E9&amp;IF(E10="",""," ("&amp;E10&amp;")")</f>
        <v>FMC Corporation (NYSE:FMC) (FMC-US)</v>
      </c>
      <c r="C2" s="100"/>
      <c r="D2" s="100"/>
      <c r="E2" s="53"/>
      <c r="F2" s="53"/>
      <c r="G2" s="53"/>
      <c r="H2" s="51"/>
      <c r="I2" s="51"/>
      <c r="J2" s="119" t="s">
        <v>2280</v>
      </c>
    </row>
    <row r="3" spans="1:10" ht="17.25" customHeight="1">
      <c r="A3" s="47"/>
      <c r="B3" s="54" t="str">
        <f>"Data in "&amp;Curr_Sym</f>
        <v>Data in ($M)</v>
      </c>
      <c r="C3" s="54"/>
      <c r="D3" s="91"/>
      <c r="E3" s="47"/>
      <c r="F3" s="47"/>
      <c r="G3" s="47"/>
      <c r="H3" s="55"/>
      <c r="I3" s="55"/>
      <c r="J3" s="55"/>
    </row>
    <row r="4" spans="1:10" hidden="1" outlineLevel="1">
      <c r="A4" s="47"/>
      <c r="B4" s="56"/>
      <c r="C4" s="57" t="str">
        <f ca="1">_xll.SNL.Clients.Office.Excel.Functions.SPGTable($E$4:$J$4,$C$9:$C$25,$E$5:$J$5,"Options: Curr="&amp;Sel_Curr&amp;", Mag="&amp;Sel_Mag&amp;",ConvMethod="&amp;Sel_Conv&amp;", NA=NA, Term=en-US")</f>
        <v>SPGTable</v>
      </c>
      <c r="D4" s="57"/>
      <c r="E4" s="59" t="str">
        <f t="shared" ref="E4:J4" si="0">Focus_Co</f>
        <v>FMC</v>
      </c>
      <c r="F4" s="59" t="str">
        <f t="shared" si="0"/>
        <v>FMC</v>
      </c>
      <c r="G4" s="59" t="str">
        <f t="shared" si="0"/>
        <v>FMC</v>
      </c>
      <c r="H4" s="59" t="str">
        <f t="shared" si="0"/>
        <v>FMC</v>
      </c>
      <c r="I4" s="59" t="str">
        <f t="shared" si="0"/>
        <v>FMC</v>
      </c>
      <c r="J4" s="59" t="str">
        <f t="shared" si="0"/>
        <v>FMC</v>
      </c>
    </row>
    <row r="5" spans="1:10" hidden="1" outlineLevel="1">
      <c r="A5" s="47"/>
      <c r="B5" s="56"/>
      <c r="C5" s="57"/>
      <c r="D5" s="57"/>
      <c r="E5" s="59" t="s">
        <v>2270</v>
      </c>
      <c r="F5" s="59" t="s">
        <v>2271</v>
      </c>
      <c r="G5" s="59" t="s">
        <v>2272</v>
      </c>
      <c r="H5" s="59" t="s">
        <v>2273</v>
      </c>
      <c r="I5" s="59" t="s">
        <v>2258</v>
      </c>
      <c r="J5" s="59" t="s">
        <v>873</v>
      </c>
    </row>
    <row r="6" spans="1:10" hidden="1" outlineLevel="1">
      <c r="A6" s="47"/>
      <c r="B6" s="56"/>
      <c r="C6" s="57"/>
      <c r="D6" s="57"/>
      <c r="E6" s="209">
        <f t="shared" ref="E6:J6" ca="1" si="1">IF(Date="","",Date)</f>
        <v>45536</v>
      </c>
      <c r="F6" s="209">
        <f t="shared" ca="1" si="1"/>
        <v>45536</v>
      </c>
      <c r="G6" s="209">
        <f t="shared" ca="1" si="1"/>
        <v>45536</v>
      </c>
      <c r="H6" s="209">
        <f t="shared" ca="1" si="1"/>
        <v>45536</v>
      </c>
      <c r="I6" s="209">
        <f t="shared" ca="1" si="1"/>
        <v>45536</v>
      </c>
      <c r="J6" s="209">
        <f t="shared" ca="1" si="1"/>
        <v>45536</v>
      </c>
    </row>
    <row r="7" spans="1:10" hidden="1" outlineLevel="1">
      <c r="A7" s="47"/>
      <c r="B7" s="56"/>
      <c r="C7" s="101"/>
      <c r="D7" s="101"/>
      <c r="E7" s="47"/>
      <c r="F7" s="47"/>
      <c r="G7" s="47"/>
      <c r="H7" s="55"/>
      <c r="I7" s="55"/>
      <c r="J7" s="55"/>
    </row>
    <row r="8" spans="1:10" hidden="1" outlineLevel="1">
      <c r="A8" s="47"/>
      <c r="B8" s="56"/>
      <c r="C8" s="101"/>
      <c r="D8" s="101"/>
      <c r="E8" s="47"/>
      <c r="F8" s="47"/>
      <c r="G8" s="47"/>
      <c r="H8" s="55"/>
      <c r="I8" s="55"/>
      <c r="J8" s="55"/>
    </row>
    <row r="9" spans="1:10" hidden="1" outlineLevel="1">
      <c r="A9" s="47"/>
      <c r="B9" s="56"/>
      <c r="C9" s="61" t="s">
        <v>322</v>
      </c>
      <c r="D9" s="61"/>
      <c r="E9" s="247" t="s">
        <v>2289</v>
      </c>
      <c r="F9" s="247" t="s">
        <v>2289</v>
      </c>
      <c r="G9" s="247" t="s">
        <v>2289</v>
      </c>
      <c r="H9" s="55" t="s">
        <v>2289</v>
      </c>
      <c r="I9" s="55" t="s">
        <v>2289</v>
      </c>
      <c r="J9" s="55" t="s">
        <v>2289</v>
      </c>
    </row>
    <row r="10" spans="1:10" hidden="1" outlineLevel="1">
      <c r="A10" s="47"/>
      <c r="B10" s="56"/>
      <c r="C10" s="61" t="s">
        <v>323</v>
      </c>
      <c r="D10" s="61"/>
      <c r="E10" s="247" t="s">
        <v>2290</v>
      </c>
      <c r="F10" s="247" t="s">
        <v>2290</v>
      </c>
      <c r="G10" s="247" t="s">
        <v>2290</v>
      </c>
      <c r="H10" s="55" t="s">
        <v>2290</v>
      </c>
      <c r="I10" s="55" t="s">
        <v>2290</v>
      </c>
      <c r="J10" s="55" t="s">
        <v>2290</v>
      </c>
    </row>
    <row r="11" spans="1:10" collapsed="1">
      <c r="A11" s="47"/>
      <c r="B11" s="62" t="s">
        <v>324</v>
      </c>
      <c r="C11" s="61" t="s">
        <v>326</v>
      </c>
      <c r="D11" s="61"/>
      <c r="E11" s="171">
        <v>45016</v>
      </c>
      <c r="F11" s="171">
        <v>45107</v>
      </c>
      <c r="G11" s="171">
        <v>45199</v>
      </c>
      <c r="H11" s="171">
        <v>45291</v>
      </c>
      <c r="I11" s="171">
        <v>45382</v>
      </c>
      <c r="J11" s="171">
        <v>45473</v>
      </c>
    </row>
    <row r="12" spans="1:10">
      <c r="A12" s="47"/>
      <c r="B12" s="62" t="s">
        <v>876</v>
      </c>
      <c r="C12" s="61"/>
      <c r="D12" s="61"/>
      <c r="E12" s="170">
        <f>IF(E50="","",E50)</f>
        <v>45048</v>
      </c>
      <c r="F12" s="170">
        <f>IF(F50="","",F50)</f>
        <v>45141</v>
      </c>
      <c r="G12" s="170">
        <f>IF(G50="","",G50)</f>
        <v>45237</v>
      </c>
      <c r="H12" s="170">
        <f>IF(H50="","",H50)</f>
        <v>45349</v>
      </c>
      <c r="I12" s="170">
        <f>IF(I50="","",I50)</f>
        <v>45419</v>
      </c>
      <c r="J12" s="170">
        <f>IF(J50="","",J50)</f>
        <v>45505</v>
      </c>
    </row>
    <row r="13" spans="1:10">
      <c r="C13" s="61"/>
      <c r="D13" s="61"/>
      <c r="E13" s="15"/>
      <c r="F13" s="15"/>
      <c r="G13" s="15"/>
      <c r="H13" s="15"/>
      <c r="I13" s="15"/>
      <c r="J13" s="15"/>
    </row>
    <row r="14" spans="1:10">
      <c r="B14" s="2" t="s">
        <v>290</v>
      </c>
      <c r="C14" s="61"/>
      <c r="D14" s="61"/>
      <c r="E14" s="45">
        <f>IF(OR(E53="",E52=""),"NA",E53)</f>
        <v>116.42</v>
      </c>
      <c r="F14" s="45">
        <f>IF(OR(F53="",F52=""),"NA",F53)</f>
        <v>90.99</v>
      </c>
      <c r="G14" s="45">
        <f>IF(OR(G53="",G52=""),"NA",G53)</f>
        <v>53.37</v>
      </c>
      <c r="H14" s="45">
        <f>IF(OR(H53="",H52=""),"NA",H53)</f>
        <v>52.78</v>
      </c>
      <c r="I14" s="45">
        <f>IF(OR(I53="",I52=""),"NA",I53)</f>
        <v>66.75</v>
      </c>
      <c r="J14" s="45">
        <f>IF(OR(J53="",J52=""),"NA",J53)</f>
        <v>64.34</v>
      </c>
    </row>
    <row r="15" spans="1:10">
      <c r="B15" s="2" t="s">
        <v>294</v>
      </c>
      <c r="C15" s="61"/>
      <c r="D15" s="61"/>
      <c r="E15" s="29">
        <f>IF(OR(E54="",E52=""),"NA",E54)</f>
        <v>125141775</v>
      </c>
      <c r="F15" s="29">
        <f>IF(OR(F54="",F52=""),"NA",F54)</f>
        <v>124733535</v>
      </c>
      <c r="G15" s="29">
        <f>IF(OR(G54="",G52=""),"NA",G54)</f>
        <v>124758887</v>
      </c>
      <c r="H15" s="29">
        <f>IF(OR(H54="",H52=""),"NA",H54)</f>
        <v>124760760</v>
      </c>
      <c r="I15" s="29">
        <f>IF(OR(I54="",I52=""),"NA",I54)</f>
        <v>124817570</v>
      </c>
      <c r="J15" s="29">
        <f>IF(OR(J54="",J52=""),"NA",J54)</f>
        <v>124824364</v>
      </c>
    </row>
    <row r="16" spans="1:10">
      <c r="B16" s="88" t="s">
        <v>299</v>
      </c>
      <c r="C16" s="89"/>
      <c r="D16" s="89"/>
      <c r="E16" s="172">
        <f>IFERROR(Divisor,"NA")</f>
        <v>1000000</v>
      </c>
      <c r="F16" s="172">
        <f>IFERROR(Divisor,"NA")</f>
        <v>1000000</v>
      </c>
      <c r="G16" s="172">
        <f>IFERROR(Divisor,"NA")</f>
        <v>1000000</v>
      </c>
      <c r="H16" s="172">
        <f>IFERROR(Divisor,"NA")</f>
        <v>1000000</v>
      </c>
      <c r="I16" s="172">
        <f>IFERROR(Divisor,"NA")</f>
        <v>1000000</v>
      </c>
      <c r="J16" s="172">
        <f>IFERROR(Divisor,"NA")</f>
        <v>1000000</v>
      </c>
    </row>
    <row r="17" spans="2:11">
      <c r="B17" s="14" t="s">
        <v>16</v>
      </c>
      <c r="C17" s="61"/>
      <c r="D17" s="61"/>
      <c r="E17" s="87">
        <f>IFERROR(E14*(E15/E16),"NA")</f>
        <v>14569.005445499999</v>
      </c>
      <c r="F17" s="87">
        <f>IFERROR(F14*(F15/F16),"NA")</f>
        <v>11349.50434965</v>
      </c>
      <c r="G17" s="87">
        <f>IFERROR(G14*(G15/G16),"NA")</f>
        <v>6658.3817991899996</v>
      </c>
      <c r="H17" s="87">
        <f>IFERROR(H14*(H15/H16),"NA")</f>
        <v>6584.8729128000004</v>
      </c>
      <c r="I17" s="87">
        <f>IFERROR(I14*(I15/I16),"NA")</f>
        <v>8331.5727975000009</v>
      </c>
      <c r="J17" s="87">
        <f>IFERROR(J14*(J15/J16),"NA")</f>
        <v>8031.1995797600002</v>
      </c>
    </row>
    <row r="18" spans="2:11" ht="3" customHeight="1">
      <c r="C18" s="61"/>
      <c r="D18" s="61"/>
      <c r="E18" s="85"/>
      <c r="F18" s="85"/>
      <c r="G18" s="85"/>
      <c r="H18" s="85"/>
      <c r="I18" s="85"/>
      <c r="J18" s="85"/>
    </row>
    <row r="19" spans="2:11">
      <c r="B19" s="13" t="s">
        <v>297</v>
      </c>
      <c r="C19" s="61" t="s">
        <v>28</v>
      </c>
      <c r="D19" s="61"/>
      <c r="E19" s="85">
        <v>501.1</v>
      </c>
      <c r="F19" s="85">
        <v>941.5</v>
      </c>
      <c r="G19" s="85">
        <v>323.8</v>
      </c>
      <c r="H19" s="85">
        <v>302.40000000000003</v>
      </c>
      <c r="I19" s="85">
        <v>420.5</v>
      </c>
      <c r="J19" s="85">
        <v>471.5</v>
      </c>
    </row>
    <row r="20" spans="2:11">
      <c r="B20" s="13" t="s">
        <v>17</v>
      </c>
      <c r="C20" s="61" t="s">
        <v>29</v>
      </c>
      <c r="D20" s="61"/>
      <c r="E20" s="85">
        <v>4365.8</v>
      </c>
      <c r="F20" s="85">
        <v>4831.2</v>
      </c>
      <c r="G20" s="85">
        <v>4263.3</v>
      </c>
      <c r="H20" s="85">
        <v>4105.2</v>
      </c>
      <c r="I20" s="85">
        <v>4484.7</v>
      </c>
      <c r="J20" s="85">
        <v>4322</v>
      </c>
    </row>
    <row r="21" spans="2:11">
      <c r="B21" s="13" t="s">
        <v>298</v>
      </c>
      <c r="C21" s="61" t="s">
        <v>30</v>
      </c>
      <c r="D21" s="61"/>
      <c r="E21" s="85" t="s">
        <v>301</v>
      </c>
      <c r="F21" s="85" t="s">
        <v>301</v>
      </c>
      <c r="G21" s="85" t="s">
        <v>301</v>
      </c>
      <c r="H21" s="85" t="s">
        <v>301</v>
      </c>
      <c r="I21" s="85" t="s">
        <v>301</v>
      </c>
      <c r="J21" s="85" t="s">
        <v>301</v>
      </c>
    </row>
    <row r="22" spans="2:11">
      <c r="B22" s="13" t="s">
        <v>18</v>
      </c>
      <c r="C22" s="61" t="s">
        <v>31</v>
      </c>
      <c r="D22" s="61"/>
      <c r="E22" s="173">
        <v>23.8</v>
      </c>
      <c r="F22" s="173">
        <v>24.400000000000002</v>
      </c>
      <c r="G22" s="173">
        <v>23.6</v>
      </c>
      <c r="H22" s="173">
        <v>22.5</v>
      </c>
      <c r="I22" s="173">
        <v>21.400000000000002</v>
      </c>
      <c r="J22" s="173">
        <v>21.3</v>
      </c>
    </row>
    <row r="23" spans="2:11">
      <c r="B23" s="11" t="s">
        <v>295</v>
      </c>
      <c r="C23" s="61"/>
      <c r="D23" s="61"/>
      <c r="E23" s="87">
        <f>IF(E17="NA","NA",IFERROR(IF(COUNT(E19:E22,E17)=0,"NA",SUM(E17,E20:E22,-E19)),"NA"))</f>
        <v>18457.505445499999</v>
      </c>
      <c r="F23" s="87">
        <f>IF(F17="NA","NA",IFERROR(IF(COUNT(F19:F22,F17)=0,"NA",SUM(F17,F20:F22,-F19)),"NA"))</f>
        <v>15263.604349650001</v>
      </c>
      <c r="G23" s="87">
        <f>IF(G17="NA","NA",IFERROR(IF(COUNT(G19:G22,G17)=0,"NA",SUM(G17,G20:G22,-G19)),"NA"))</f>
        <v>10621.48179919</v>
      </c>
      <c r="H23" s="87">
        <f>IF(H17="NA","NA",IFERROR(IF(COUNT(H19:H22,H17)=0,"NA",SUM(H17,H20:H22,-H19)),"NA"))</f>
        <v>10410.172912800001</v>
      </c>
      <c r="I23" s="87">
        <f>IF(I17="NA","NA",IFERROR(IF(COUNT(I19:I22,I17)=0,"NA",SUM(I17,I20:I22,-I19)),"NA"))</f>
        <v>12417.172797500001</v>
      </c>
      <c r="J23" s="87">
        <f>IF(J17="NA","NA",IFERROR(IF(COUNT(J19:J22,J17)=0,"NA",SUM(J17,J20:J22,-J19)),"NA"))</f>
        <v>11902.999579759999</v>
      </c>
    </row>
    <row r="24" spans="2:11">
      <c r="C24" s="61"/>
      <c r="D24" s="61"/>
      <c r="E24" s="85"/>
      <c r="F24" s="85"/>
      <c r="G24" s="85"/>
      <c r="H24" s="85"/>
      <c r="I24" s="85"/>
      <c r="J24" s="85"/>
    </row>
    <row r="25" spans="2:11">
      <c r="B25" t="s">
        <v>33</v>
      </c>
      <c r="C25" s="61" t="s">
        <v>32</v>
      </c>
      <c r="D25" s="61"/>
      <c r="E25" s="85">
        <v>3470.7000000000003</v>
      </c>
      <c r="F25" s="85">
        <v>3353</v>
      </c>
      <c r="G25" s="85">
        <v>3290.9</v>
      </c>
      <c r="H25" s="85">
        <v>4410.9000000000015</v>
      </c>
      <c r="I25" s="85">
        <v>4311.5</v>
      </c>
      <c r="J25" s="85">
        <v>4559.4000000000015</v>
      </c>
    </row>
    <row r="26" spans="2:11">
      <c r="B26" s="13" t="s">
        <v>298</v>
      </c>
      <c r="C26" s="61"/>
      <c r="D26" s="61"/>
      <c r="E26" s="85" t="str">
        <f>E21</f>
        <v>NA</v>
      </c>
      <c r="F26" s="85" t="str">
        <f t="shared" ref="F26:J26" si="2">F21</f>
        <v>NA</v>
      </c>
      <c r="G26" s="85" t="str">
        <f t="shared" si="2"/>
        <v>NA</v>
      </c>
      <c r="H26" s="85" t="str">
        <f t="shared" si="2"/>
        <v>NA</v>
      </c>
      <c r="I26" s="85" t="str">
        <f t="shared" si="2"/>
        <v>NA</v>
      </c>
      <c r="J26" s="85" t="str">
        <f t="shared" si="2"/>
        <v>NA</v>
      </c>
    </row>
    <row r="27" spans="2:11">
      <c r="B27" s="10" t="s">
        <v>18</v>
      </c>
      <c r="C27" s="61"/>
      <c r="D27" s="61"/>
      <c r="E27" s="85">
        <f>E22</f>
        <v>23.8</v>
      </c>
      <c r="F27" s="85">
        <f t="shared" ref="F27:J27" si="3">F22</f>
        <v>24.400000000000002</v>
      </c>
      <c r="G27" s="85">
        <f t="shared" si="3"/>
        <v>23.6</v>
      </c>
      <c r="H27" s="85">
        <f t="shared" si="3"/>
        <v>22.5</v>
      </c>
      <c r="I27" s="85">
        <f t="shared" si="3"/>
        <v>21.400000000000002</v>
      </c>
      <c r="J27" s="85">
        <f t="shared" si="3"/>
        <v>21.3</v>
      </c>
    </row>
    <row r="28" spans="2:11">
      <c r="B28" s="174" t="s">
        <v>17</v>
      </c>
      <c r="C28" s="158"/>
      <c r="D28" s="158"/>
      <c r="E28" s="173">
        <f>E20</f>
        <v>4365.8</v>
      </c>
      <c r="F28" s="173">
        <f t="shared" ref="F28:J28" si="4">F20</f>
        <v>4831.2</v>
      </c>
      <c r="G28" s="173">
        <f t="shared" si="4"/>
        <v>4263.3</v>
      </c>
      <c r="H28" s="173">
        <f t="shared" si="4"/>
        <v>4105.2</v>
      </c>
      <c r="I28" s="173">
        <f t="shared" si="4"/>
        <v>4484.7</v>
      </c>
      <c r="J28" s="173">
        <f t="shared" si="4"/>
        <v>4322</v>
      </c>
      <c r="K28" s="235"/>
    </row>
    <row r="29" spans="2:11" ht="10.8" thickBot="1">
      <c r="B29" s="175" t="s">
        <v>296</v>
      </c>
      <c r="C29" s="176"/>
      <c r="D29" s="176"/>
      <c r="E29" s="177">
        <f>IFERROR(IF(COUNT(E25:E28)=0,"NA",SUM(E25:E28)),"NA")</f>
        <v>7860.3000000000011</v>
      </c>
      <c r="F29" s="177">
        <f t="shared" ref="F29:J29" si="5">IFERROR(IF(COUNT(F25:F28)=0,"NA",SUM(F25:F28)),"NA")</f>
        <v>8208.6</v>
      </c>
      <c r="G29" s="177">
        <f t="shared" si="5"/>
        <v>7577.8</v>
      </c>
      <c r="H29" s="177">
        <f t="shared" si="5"/>
        <v>8538.6000000000022</v>
      </c>
      <c r="I29" s="177">
        <f t="shared" si="5"/>
        <v>8817.5999999999985</v>
      </c>
      <c r="J29" s="177">
        <f t="shared" si="5"/>
        <v>8902.7000000000007</v>
      </c>
    </row>
    <row r="30" spans="2:11" ht="10.8" thickTop="1">
      <c r="B30" s="25" t="s">
        <v>1606</v>
      </c>
    </row>
    <row r="31" spans="2:11">
      <c r="B31" s="99"/>
    </row>
    <row r="32" spans="2:11" ht="14.4">
      <c r="B32" s="236" t="s">
        <v>2292</v>
      </c>
      <c r="C32" s="237"/>
      <c r="D32" s="237"/>
      <c r="E32" s="238">
        <f>E28/E29</f>
        <v>0.5554240932279938</v>
      </c>
      <c r="F32" s="238">
        <f t="shared" ref="F32:J32" si="6">F28/F29</f>
        <v>0.58855346831371969</v>
      </c>
      <c r="G32" s="238">
        <f t="shared" si="6"/>
        <v>0.56260392198263354</v>
      </c>
      <c r="H32" s="238">
        <f t="shared" si="6"/>
        <v>0.48078139273417175</v>
      </c>
      <c r="I32" s="238">
        <f t="shared" si="6"/>
        <v>0.50860778443113774</v>
      </c>
      <c r="J32" s="238">
        <f t="shared" si="6"/>
        <v>0.48547069990003028</v>
      </c>
    </row>
    <row r="33" spans="2:10" ht="14.4">
      <c r="B33" s="239" t="s">
        <v>2293</v>
      </c>
      <c r="C33" s="237"/>
      <c r="D33" s="237"/>
      <c r="E33" s="238">
        <f>E17/E25</f>
        <v>4.1977138460541097</v>
      </c>
      <c r="F33" s="238">
        <f t="shared" ref="F33:J33" si="7">F17/F25</f>
        <v>3.3848805098866688</v>
      </c>
      <c r="G33" s="238">
        <f t="shared" si="7"/>
        <v>2.0232707767449631</v>
      </c>
      <c r="H33" s="238">
        <f t="shared" si="7"/>
        <v>1.4928637948717944</v>
      </c>
      <c r="I33" s="238">
        <f t="shared" si="7"/>
        <v>1.9324070039429435</v>
      </c>
      <c r="J33" s="238">
        <f t="shared" si="7"/>
        <v>1.7614597490371535</v>
      </c>
    </row>
    <row r="47" spans="2:10" hidden="1" outlineLevel="1">
      <c r="C47" s="57" t="str">
        <f>_xll.SNL.Clients.Office.Excel.Functions.SPGTable($E$51:$J$51,$C$53:$C$54,E52:J52,"Options: Curr="&amp;Sel_Curr&amp;", Mag="&amp;Sel_Mag&amp;",ConvMethod="&amp;Sel_Conv&amp;", NA=NA, Term=en-US")</f>
        <v>SPGTable</v>
      </c>
      <c r="D47" s="61"/>
      <c r="E47" s="59" t="str">
        <f t="shared" ref="E47:J47" si="8">Focus_Co</f>
        <v>FMC</v>
      </c>
      <c r="F47" s="59" t="str">
        <f t="shared" si="8"/>
        <v>FMC</v>
      </c>
      <c r="G47" s="59" t="str">
        <f t="shared" si="8"/>
        <v>FMC</v>
      </c>
      <c r="H47" s="59" t="str">
        <f t="shared" si="8"/>
        <v>FMC</v>
      </c>
      <c r="I47" s="59" t="str">
        <f t="shared" si="8"/>
        <v>FMC</v>
      </c>
      <c r="J47" s="59" t="str">
        <f t="shared" si="8"/>
        <v>FMC</v>
      </c>
    </row>
    <row r="48" spans="2:10" hidden="1" outlineLevel="1">
      <c r="C48" s="57" t="str">
        <f ca="1">_xll.SNL.Clients.Office.Excel.Functions.SPGTable($E$47:$J$47,$C$50,E48:J48,"Options: Curr="&amp;Sel_Curr&amp;", Mag="&amp;Sel_Mag&amp;",ConvMethod="&amp;Sel_Conv&amp;", NA=NA, Term=en-US,FilingVer=Originally Reported")</f>
        <v>SPGTable</v>
      </c>
      <c r="D48" s="61"/>
      <c r="E48" s="59" t="s">
        <v>2270</v>
      </c>
      <c r="F48" s="59" t="s">
        <v>2271</v>
      </c>
      <c r="G48" s="59" t="s">
        <v>2272</v>
      </c>
      <c r="H48" s="59" t="s">
        <v>2273</v>
      </c>
      <c r="I48" s="59" t="s">
        <v>2258</v>
      </c>
      <c r="J48" s="59" t="s">
        <v>873</v>
      </c>
    </row>
    <row r="49" spans="2:16" hidden="1" outlineLevel="1">
      <c r="C49" s="57"/>
      <c r="D49" s="61"/>
      <c r="E49" s="209">
        <f t="shared" ref="E49:J49" ca="1" si="9">IF(Date="","",Date)</f>
        <v>45536</v>
      </c>
      <c r="F49" s="209">
        <f t="shared" ca="1" si="9"/>
        <v>45536</v>
      </c>
      <c r="G49" s="209">
        <f t="shared" ca="1" si="9"/>
        <v>45536</v>
      </c>
      <c r="H49" s="209">
        <f t="shared" ca="1" si="9"/>
        <v>45536</v>
      </c>
      <c r="I49" s="209">
        <f t="shared" ca="1" si="9"/>
        <v>45536</v>
      </c>
      <c r="J49" s="209">
        <f t="shared" ca="1" si="9"/>
        <v>45536</v>
      </c>
    </row>
    <row r="50" spans="2:16" hidden="1" outlineLevel="1">
      <c r="B50" s="62" t="s">
        <v>875</v>
      </c>
      <c r="C50" s="61" t="s">
        <v>874</v>
      </c>
      <c r="D50" s="61"/>
      <c r="E50" s="23">
        <v>45048</v>
      </c>
      <c r="F50" s="23">
        <v>45141</v>
      </c>
      <c r="G50" s="23">
        <v>45237</v>
      </c>
      <c r="H50" s="23">
        <v>45349</v>
      </c>
      <c r="I50" s="23">
        <v>45419</v>
      </c>
      <c r="J50" s="23">
        <v>45505</v>
      </c>
      <c r="K50" s="23"/>
      <c r="L50" s="23"/>
      <c r="M50" s="23"/>
      <c r="N50" s="23"/>
      <c r="O50" s="23"/>
      <c r="P50" s="23"/>
    </row>
    <row r="51" spans="2:16" hidden="1" outlineLevel="1">
      <c r="C51" s="61"/>
      <c r="D51" s="61"/>
      <c r="E51" s="59" t="str">
        <f t="shared" ref="E51:J51" si="10">Focus_Co</f>
        <v>FMC</v>
      </c>
      <c r="F51" s="59" t="str">
        <f t="shared" si="10"/>
        <v>FMC</v>
      </c>
      <c r="G51" s="59" t="str">
        <f t="shared" si="10"/>
        <v>FMC</v>
      </c>
      <c r="H51" s="59" t="str">
        <f t="shared" si="10"/>
        <v>FMC</v>
      </c>
      <c r="I51" s="59" t="str">
        <f t="shared" si="10"/>
        <v>FMC</v>
      </c>
      <c r="J51" s="59" t="str">
        <f t="shared" si="10"/>
        <v>FMC</v>
      </c>
    </row>
    <row r="52" spans="2:16" hidden="1" outlineLevel="1">
      <c r="C52" s="61"/>
      <c r="D52" s="61"/>
      <c r="E52" s="86">
        <f t="shared" ref="E52:I52" si="11">IF(E50="","",E50)</f>
        <v>45048</v>
      </c>
      <c r="F52" s="86">
        <f t="shared" si="11"/>
        <v>45141</v>
      </c>
      <c r="G52" s="86">
        <f t="shared" si="11"/>
        <v>45237</v>
      </c>
      <c r="H52" s="86">
        <f t="shared" si="11"/>
        <v>45349</v>
      </c>
      <c r="I52" s="86">
        <f t="shared" si="11"/>
        <v>45419</v>
      </c>
      <c r="J52" s="86">
        <f>IF(J50="","",J50)</f>
        <v>45505</v>
      </c>
    </row>
    <row r="53" spans="2:16" hidden="1" outlineLevel="1">
      <c r="B53" s="2" t="s">
        <v>290</v>
      </c>
      <c r="C53" s="61" t="s">
        <v>26</v>
      </c>
      <c r="D53" s="61"/>
      <c r="E53" s="22">
        <v>116.42</v>
      </c>
      <c r="F53" s="22">
        <v>90.99</v>
      </c>
      <c r="G53" s="22">
        <v>53.37</v>
      </c>
      <c r="H53" s="22">
        <v>52.78</v>
      </c>
      <c r="I53" s="22">
        <v>66.75</v>
      </c>
      <c r="J53" s="22">
        <v>64.34</v>
      </c>
    </row>
    <row r="54" spans="2:16" hidden="1" outlineLevel="1">
      <c r="B54" s="2" t="s">
        <v>294</v>
      </c>
      <c r="C54" s="61" t="s">
        <v>27</v>
      </c>
      <c r="D54" s="61"/>
      <c r="E54" s="15">
        <v>125141775</v>
      </c>
      <c r="F54" s="15">
        <v>124733535</v>
      </c>
      <c r="G54" s="15">
        <v>124758887</v>
      </c>
      <c r="H54" s="15">
        <v>124760760</v>
      </c>
      <c r="I54" s="15">
        <v>124817570</v>
      </c>
      <c r="J54" s="15">
        <v>124824364</v>
      </c>
    </row>
    <row r="55" spans="2:16" collapsed="1"/>
  </sheetData>
  <pageMargins left="0.25" right="0.25" top="0.25" bottom="0.2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2:V176"/>
  <sheetViews>
    <sheetView showGridLines="0" tabSelected="1" topLeftCell="A19" workbookViewId="0">
      <selection activeCell="E47" sqref="E47:P47"/>
    </sheetView>
  </sheetViews>
  <sheetFormatPr defaultRowHeight="10.199999999999999" outlineLevelRow="1" outlineLevelCol="1"/>
  <cols>
    <col min="1" max="1" width="2" customWidth="1"/>
    <col min="2" max="2" width="36.140625" customWidth="1"/>
    <col min="3" max="3" width="20.85546875" style="2" hidden="1" customWidth="1" outlineLevel="1"/>
    <col min="4" max="4" width="15" hidden="1" customWidth="1" outlineLevel="1"/>
    <col min="5" max="5" width="13.42578125" customWidth="1" collapsed="1"/>
    <col min="6" max="16" width="13.42578125" customWidth="1"/>
    <col min="21" max="21" width="9.28515625" hidden="1" customWidth="1" outlineLevel="1"/>
    <col min="22" max="22" width="9.28515625" collapsed="1"/>
  </cols>
  <sheetData>
    <row r="2" spans="1:21">
      <c r="B2" t="s">
        <v>2275</v>
      </c>
    </row>
    <row r="3" spans="1:21">
      <c r="A3" s="47"/>
      <c r="B3" s="47"/>
      <c r="C3" s="91"/>
      <c r="D3" s="48"/>
      <c r="E3" s="47"/>
      <c r="F3" s="47"/>
      <c r="G3" s="49"/>
      <c r="H3" s="47"/>
      <c r="I3" s="47"/>
      <c r="J3" s="47"/>
      <c r="K3" s="47"/>
      <c r="L3" s="47"/>
      <c r="M3" s="47"/>
      <c r="N3" s="47"/>
      <c r="O3" s="47"/>
      <c r="P3" s="47"/>
    </row>
    <row r="4" spans="1:21" ht="16.2" thickBot="1">
      <c r="A4" s="47"/>
      <c r="B4" s="50" t="str">
        <f>E11&amp;IF(E12="",""," ("&amp;E12&amp;")")</f>
        <v>FMC Corporation (NYSE:FMC) (FMC-US)</v>
      </c>
      <c r="C4" s="100"/>
      <c r="D4" s="52"/>
      <c r="E4" s="53"/>
      <c r="F4" s="53"/>
      <c r="G4" s="53"/>
      <c r="H4" s="53"/>
      <c r="I4" s="53"/>
      <c r="J4" s="53"/>
      <c r="K4" s="53"/>
      <c r="L4" s="53"/>
      <c r="M4" s="53"/>
      <c r="N4" s="51"/>
      <c r="O4" s="51"/>
      <c r="P4" s="119" t="s">
        <v>2280</v>
      </c>
    </row>
    <row r="5" spans="1:21" ht="17.25" customHeight="1">
      <c r="A5" s="47"/>
      <c r="B5" s="54" t="str">
        <f>"Data in "&amp;Curr_Sym</f>
        <v>Data in ($M)</v>
      </c>
      <c r="C5" s="54"/>
      <c r="D5" s="48"/>
      <c r="E5" s="47"/>
      <c r="F5" s="47"/>
      <c r="G5" s="47"/>
      <c r="H5" s="47"/>
      <c r="I5" s="47"/>
      <c r="J5" s="47"/>
      <c r="K5" s="47"/>
      <c r="L5" s="47"/>
      <c r="M5" s="47"/>
      <c r="N5" s="55"/>
      <c r="O5" s="55"/>
      <c r="P5" s="55"/>
    </row>
    <row r="6" spans="1:21" hidden="1" outlineLevel="1">
      <c r="A6" s="47"/>
      <c r="B6" s="56"/>
      <c r="C6" s="57" t="str">
        <f ca="1">_xll.SNL.Clients.Office.Excel.Functions.SPGTable($E$6:$P$6,$C$11:$C$175,$E$7:$P$7,"Options: Curr="&amp;Sel_Curr&amp;", Mag="&amp;Sel_Mag&amp;",ConvMethod="&amp;Sel_Conv&amp;", NA=NA, Term=en-US")</f>
        <v>SPGTable</v>
      </c>
      <c r="D6" s="58"/>
      <c r="E6" s="59" t="str">
        <f t="shared" ref="E6:P6" si="0">Focus_Co</f>
        <v>FMC</v>
      </c>
      <c r="F6" s="59" t="str">
        <f t="shared" si="0"/>
        <v>FMC</v>
      </c>
      <c r="G6" s="59" t="str">
        <f t="shared" si="0"/>
        <v>FMC</v>
      </c>
      <c r="H6" s="59" t="str">
        <f t="shared" si="0"/>
        <v>FMC</v>
      </c>
      <c r="I6" s="59" t="str">
        <f t="shared" si="0"/>
        <v>FMC</v>
      </c>
      <c r="J6" s="59" t="str">
        <f t="shared" si="0"/>
        <v>FMC</v>
      </c>
      <c r="K6" s="59" t="str">
        <f t="shared" si="0"/>
        <v>FMC</v>
      </c>
      <c r="L6" s="59" t="str">
        <f t="shared" si="0"/>
        <v>FMC</v>
      </c>
      <c r="M6" s="59" t="str">
        <f t="shared" si="0"/>
        <v>FMC</v>
      </c>
      <c r="N6" s="59" t="str">
        <f t="shared" si="0"/>
        <v>FMC</v>
      </c>
      <c r="O6" s="59" t="str">
        <f t="shared" si="0"/>
        <v>FMC</v>
      </c>
      <c r="P6" s="59" t="str">
        <f t="shared" si="0"/>
        <v>FMC</v>
      </c>
    </row>
    <row r="7" spans="1:21" hidden="1" outlineLevel="1">
      <c r="A7" s="47"/>
      <c r="B7" s="56"/>
      <c r="C7" s="57"/>
      <c r="D7" s="58"/>
      <c r="E7" s="59" t="str">
        <f t="shared" ref="E7:K7" si="1">LEFT(F7,LEN(F7)-1)&amp;RIGHT(F7,1)+1</f>
        <v>FQ-11</v>
      </c>
      <c r="F7" s="59" t="str">
        <f t="shared" si="1"/>
        <v>FQ-10</v>
      </c>
      <c r="G7" s="59" t="str">
        <f t="shared" si="1"/>
        <v>FQ-9</v>
      </c>
      <c r="H7" s="59" t="str">
        <f t="shared" si="1"/>
        <v>FQ-8</v>
      </c>
      <c r="I7" s="59" t="str">
        <f t="shared" si="1"/>
        <v>FQ-7</v>
      </c>
      <c r="J7" s="59" t="str">
        <f t="shared" si="1"/>
        <v>FQ-6</v>
      </c>
      <c r="K7" s="59" t="str">
        <f t="shared" si="1"/>
        <v>FQ-5</v>
      </c>
      <c r="L7" s="59" t="str">
        <f t="shared" ref="L7:M7" si="2">LEFT(M7,LEN(M7)-1)&amp;RIGHT(M7,1)+1</f>
        <v>FQ-4</v>
      </c>
      <c r="M7" s="59" t="str">
        <f t="shared" si="2"/>
        <v>FQ-3</v>
      </c>
      <c r="N7" s="59" t="str">
        <f>LEFT(O7,LEN(O7)-1)&amp;RIGHT(O7,1)+1</f>
        <v>FQ-2</v>
      </c>
      <c r="O7" s="59" t="str">
        <f>VLOOKUP(Period,FormatTable,2,FALSE)</f>
        <v>FQ-1</v>
      </c>
      <c r="P7" s="59" t="str">
        <f>Period</f>
        <v>FQ0</v>
      </c>
    </row>
    <row r="8" spans="1:21" hidden="1" outlineLevel="1">
      <c r="A8" s="47"/>
      <c r="B8" s="56"/>
      <c r="C8" s="57"/>
      <c r="D8" s="58"/>
      <c r="E8" s="209">
        <f t="shared" ref="E8:P8" ca="1" si="3">IF(Date="","",Date)</f>
        <v>45536</v>
      </c>
      <c r="F8" s="209">
        <f t="shared" ca="1" si="3"/>
        <v>45536</v>
      </c>
      <c r="G8" s="209">
        <f t="shared" ca="1" si="3"/>
        <v>45536</v>
      </c>
      <c r="H8" s="209">
        <f t="shared" ca="1" si="3"/>
        <v>45536</v>
      </c>
      <c r="I8" s="209">
        <f t="shared" ca="1" si="3"/>
        <v>45536</v>
      </c>
      <c r="J8" s="209">
        <f t="shared" ca="1" si="3"/>
        <v>45536</v>
      </c>
      <c r="K8" s="209">
        <f t="shared" ca="1" si="3"/>
        <v>45536</v>
      </c>
      <c r="L8" s="209">
        <f t="shared" ca="1" si="3"/>
        <v>45536</v>
      </c>
      <c r="M8" s="209">
        <f t="shared" ca="1" si="3"/>
        <v>45536</v>
      </c>
      <c r="N8" s="209">
        <f t="shared" ca="1" si="3"/>
        <v>45536</v>
      </c>
      <c r="O8" s="209">
        <f t="shared" ca="1" si="3"/>
        <v>45536</v>
      </c>
      <c r="P8" s="209">
        <f t="shared" ca="1" si="3"/>
        <v>45536</v>
      </c>
    </row>
    <row r="9" spans="1:21" hidden="1" outlineLevel="1">
      <c r="A9" s="47"/>
      <c r="B9" s="56"/>
      <c r="C9" s="101"/>
      <c r="D9" s="60"/>
      <c r="E9" s="47"/>
      <c r="F9" s="47"/>
      <c r="G9" s="47"/>
      <c r="H9" s="47"/>
      <c r="I9" s="47"/>
      <c r="J9" s="47"/>
      <c r="K9" s="47"/>
      <c r="L9" s="47"/>
      <c r="M9" s="47"/>
      <c r="N9" s="55"/>
      <c r="O9" s="55"/>
      <c r="P9" s="55"/>
    </row>
    <row r="10" spans="1:21" hidden="1" outlineLevel="1">
      <c r="A10" s="47"/>
      <c r="B10" s="56"/>
      <c r="C10" s="101"/>
      <c r="D10" s="60"/>
      <c r="E10" s="47"/>
      <c r="F10" s="47"/>
      <c r="G10" s="47"/>
      <c r="H10" s="47"/>
      <c r="I10" s="47"/>
      <c r="J10" s="47"/>
      <c r="K10" s="47"/>
      <c r="L10" s="47"/>
      <c r="M10" s="47"/>
      <c r="N10" s="55"/>
      <c r="O10" s="55"/>
      <c r="P10" s="55"/>
    </row>
    <row r="11" spans="1:21" hidden="1" outlineLevel="1">
      <c r="A11" s="47"/>
      <c r="B11" s="56"/>
      <c r="C11" s="61" t="s">
        <v>322</v>
      </c>
      <c r="D11" s="59"/>
      <c r="E11" s="47" t="s">
        <v>2289</v>
      </c>
      <c r="F11" s="47" t="s">
        <v>2289</v>
      </c>
      <c r="G11" s="47" t="s">
        <v>2289</v>
      </c>
      <c r="H11" s="47" t="s">
        <v>2289</v>
      </c>
      <c r="I11" s="47" t="s">
        <v>2289</v>
      </c>
      <c r="J11" s="47" t="s">
        <v>2289</v>
      </c>
      <c r="K11" s="47" t="s">
        <v>2289</v>
      </c>
      <c r="L11" s="47" t="s">
        <v>2289</v>
      </c>
      <c r="M11" s="47" t="s">
        <v>2289</v>
      </c>
      <c r="N11" s="55" t="s">
        <v>2289</v>
      </c>
      <c r="O11" s="55" t="s">
        <v>2289</v>
      </c>
      <c r="P11" s="55" t="s">
        <v>2289</v>
      </c>
    </row>
    <row r="12" spans="1:21" hidden="1" outlineLevel="1">
      <c r="A12" s="47"/>
      <c r="B12" s="56"/>
      <c r="C12" s="61" t="s">
        <v>323</v>
      </c>
      <c r="D12" s="59"/>
      <c r="E12" s="47" t="s">
        <v>2290</v>
      </c>
      <c r="F12" s="47" t="s">
        <v>2290</v>
      </c>
      <c r="G12" s="47" t="s">
        <v>2290</v>
      </c>
      <c r="H12" s="47" t="s">
        <v>2290</v>
      </c>
      <c r="I12" s="47" t="s">
        <v>2290</v>
      </c>
      <c r="J12" s="47" t="s">
        <v>2290</v>
      </c>
      <c r="K12" s="47" t="s">
        <v>2290</v>
      </c>
      <c r="L12" s="47" t="s">
        <v>2290</v>
      </c>
      <c r="M12" s="47" t="s">
        <v>2290</v>
      </c>
      <c r="N12" s="55" t="s">
        <v>2290</v>
      </c>
      <c r="O12" s="55" t="s">
        <v>2290</v>
      </c>
      <c r="P12" s="55" t="s">
        <v>2290</v>
      </c>
    </row>
    <row r="13" spans="1:21" ht="18" customHeight="1" collapsed="1">
      <c r="A13" s="47"/>
      <c r="B13" s="62" t="s">
        <v>325</v>
      </c>
      <c r="C13" s="61" t="s">
        <v>326</v>
      </c>
      <c r="D13" s="59"/>
      <c r="E13" s="162">
        <v>44469</v>
      </c>
      <c r="F13" s="162">
        <v>44561</v>
      </c>
      <c r="G13" s="162">
        <v>44651</v>
      </c>
      <c r="H13" s="162">
        <v>44742</v>
      </c>
      <c r="I13" s="162">
        <v>44834</v>
      </c>
      <c r="J13" s="162">
        <v>44926</v>
      </c>
      <c r="K13" s="162">
        <v>45016</v>
      </c>
      <c r="L13" s="162">
        <v>45107</v>
      </c>
      <c r="M13" s="162">
        <v>45199</v>
      </c>
      <c r="N13" s="162">
        <v>45291</v>
      </c>
      <c r="O13" s="162">
        <v>45382</v>
      </c>
      <c r="P13" s="162">
        <v>45473</v>
      </c>
    </row>
    <row r="14" spans="1:21">
      <c r="C14" s="61"/>
      <c r="D14" s="59"/>
      <c r="E14" s="15"/>
      <c r="F14" s="15"/>
      <c r="G14" s="15"/>
      <c r="H14" s="15"/>
      <c r="I14" s="15"/>
      <c r="J14" s="15"/>
      <c r="K14" s="15"/>
      <c r="L14" s="15"/>
      <c r="M14" s="15"/>
      <c r="N14" s="15"/>
      <c r="O14" s="15"/>
      <c r="P14" s="15"/>
      <c r="U14" t="s">
        <v>2274</v>
      </c>
    </row>
    <row r="15" spans="1:21">
      <c r="B15" s="1" t="s">
        <v>1154</v>
      </c>
      <c r="C15" s="61"/>
      <c r="D15" s="59"/>
      <c r="E15" s="15"/>
      <c r="F15" s="15"/>
      <c r="G15" s="15"/>
      <c r="H15" s="15"/>
      <c r="I15" s="15"/>
      <c r="J15" s="15"/>
      <c r="K15" s="15"/>
      <c r="L15" s="15"/>
      <c r="M15" s="15"/>
      <c r="N15" s="15"/>
      <c r="O15" s="15"/>
      <c r="P15" s="15"/>
    </row>
    <row r="16" spans="1:21">
      <c r="B16" s="47" t="s">
        <v>327</v>
      </c>
      <c r="C16" s="61" t="s">
        <v>328</v>
      </c>
      <c r="D16" s="59"/>
      <c r="E16" s="63">
        <v>1194</v>
      </c>
      <c r="F16" s="63">
        <v>1413.6000000000001</v>
      </c>
      <c r="G16" s="63">
        <v>1350.8</v>
      </c>
      <c r="H16" s="63">
        <v>1452.3</v>
      </c>
      <c r="I16" s="63">
        <v>1377.2</v>
      </c>
      <c r="J16" s="63">
        <v>1622</v>
      </c>
      <c r="K16" s="63">
        <v>1344.3</v>
      </c>
      <c r="L16" s="63">
        <v>1014.5</v>
      </c>
      <c r="M16" s="63">
        <v>981.9</v>
      </c>
      <c r="N16" s="63">
        <v>1146.1000000000001</v>
      </c>
      <c r="O16" s="63">
        <v>918</v>
      </c>
      <c r="P16" s="63">
        <v>1038.4000000000001</v>
      </c>
      <c r="U16" s="218">
        <f>IF(COUNT(E16:P16)&lt;&gt;0,1,"")</f>
        <v>1</v>
      </c>
    </row>
    <row r="17" spans="2:21">
      <c r="B17" s="47" t="s">
        <v>329</v>
      </c>
      <c r="C17" s="61" t="s">
        <v>330</v>
      </c>
      <c r="D17" s="59"/>
      <c r="E17" s="63" t="s">
        <v>301</v>
      </c>
      <c r="F17" s="63" t="s">
        <v>301</v>
      </c>
      <c r="G17" s="63" t="s">
        <v>301</v>
      </c>
      <c r="H17" s="63" t="s">
        <v>301</v>
      </c>
      <c r="I17" s="63" t="s">
        <v>301</v>
      </c>
      <c r="J17" s="63" t="s">
        <v>301</v>
      </c>
      <c r="K17" s="63" t="s">
        <v>301</v>
      </c>
      <c r="L17" s="63" t="s">
        <v>301</v>
      </c>
      <c r="M17" s="63" t="s">
        <v>301</v>
      </c>
      <c r="N17" s="63" t="s">
        <v>301</v>
      </c>
      <c r="O17" s="63" t="s">
        <v>301</v>
      </c>
      <c r="P17" s="63" t="s">
        <v>301</v>
      </c>
      <c r="U17" s="218" t="str">
        <f t="shared" ref="U17:U22" si="4">IF(COUNT(E17:P17)&lt;&gt;0,1,"")</f>
        <v/>
      </c>
    </row>
    <row r="18" spans="2:21">
      <c r="B18" s="47" t="s">
        <v>331</v>
      </c>
      <c r="C18" s="61" t="s">
        <v>332</v>
      </c>
      <c r="D18" s="59"/>
      <c r="E18" s="63" t="s">
        <v>301</v>
      </c>
      <c r="F18" s="63" t="s">
        <v>301</v>
      </c>
      <c r="G18" s="63" t="s">
        <v>301</v>
      </c>
      <c r="H18" s="63" t="s">
        <v>301</v>
      </c>
      <c r="I18" s="63" t="s">
        <v>301</v>
      </c>
      <c r="J18" s="63" t="s">
        <v>301</v>
      </c>
      <c r="K18" s="63" t="s">
        <v>301</v>
      </c>
      <c r="L18" s="63" t="s">
        <v>301</v>
      </c>
      <c r="M18" s="63" t="s">
        <v>301</v>
      </c>
      <c r="N18" s="63" t="s">
        <v>301</v>
      </c>
      <c r="O18" s="63" t="s">
        <v>301</v>
      </c>
      <c r="P18" s="63" t="s">
        <v>301</v>
      </c>
      <c r="U18" s="218" t="str">
        <f t="shared" si="4"/>
        <v/>
      </c>
    </row>
    <row r="19" spans="2:21">
      <c r="B19" s="47" t="s">
        <v>333</v>
      </c>
      <c r="C19" s="61" t="s">
        <v>334</v>
      </c>
      <c r="D19" s="59"/>
      <c r="E19" s="63" t="s">
        <v>301</v>
      </c>
      <c r="F19" s="63" t="s">
        <v>301</v>
      </c>
      <c r="G19" s="63" t="s">
        <v>301</v>
      </c>
      <c r="H19" s="63" t="s">
        <v>301</v>
      </c>
      <c r="I19" s="63" t="s">
        <v>301</v>
      </c>
      <c r="J19" s="63" t="s">
        <v>301</v>
      </c>
      <c r="K19" s="63" t="s">
        <v>301</v>
      </c>
      <c r="L19" s="63" t="s">
        <v>301</v>
      </c>
      <c r="M19" s="63" t="s">
        <v>301</v>
      </c>
      <c r="N19" s="63" t="s">
        <v>301</v>
      </c>
      <c r="O19" s="63" t="s">
        <v>301</v>
      </c>
      <c r="P19" s="63" t="s">
        <v>301</v>
      </c>
      <c r="U19" s="218" t="str">
        <f t="shared" si="4"/>
        <v/>
      </c>
    </row>
    <row r="20" spans="2:21">
      <c r="B20" s="47" t="s">
        <v>335</v>
      </c>
      <c r="C20" s="61" t="s">
        <v>336</v>
      </c>
      <c r="D20" s="59"/>
      <c r="E20" s="63" t="s">
        <v>301</v>
      </c>
      <c r="F20" s="63" t="s">
        <v>301</v>
      </c>
      <c r="G20" s="63" t="s">
        <v>301</v>
      </c>
      <c r="H20" s="63" t="s">
        <v>301</v>
      </c>
      <c r="I20" s="63" t="s">
        <v>301</v>
      </c>
      <c r="J20" s="63" t="s">
        <v>301</v>
      </c>
      <c r="K20" s="63" t="s">
        <v>301</v>
      </c>
      <c r="L20" s="63" t="s">
        <v>301</v>
      </c>
      <c r="M20" s="63" t="s">
        <v>301</v>
      </c>
      <c r="N20" s="63" t="s">
        <v>301</v>
      </c>
      <c r="O20" s="63" t="s">
        <v>301</v>
      </c>
      <c r="P20" s="63" t="s">
        <v>301</v>
      </c>
      <c r="U20" s="218" t="str">
        <f t="shared" si="4"/>
        <v/>
      </c>
    </row>
    <row r="21" spans="2:21">
      <c r="B21" s="47" t="s">
        <v>337</v>
      </c>
      <c r="C21" s="61" t="s">
        <v>338</v>
      </c>
      <c r="D21" s="59"/>
      <c r="E21" s="63" t="s">
        <v>301</v>
      </c>
      <c r="F21" s="63" t="s">
        <v>301</v>
      </c>
      <c r="G21" s="63" t="s">
        <v>301</v>
      </c>
      <c r="H21" s="63" t="s">
        <v>301</v>
      </c>
      <c r="I21" s="63" t="s">
        <v>301</v>
      </c>
      <c r="J21" s="63" t="s">
        <v>301</v>
      </c>
      <c r="K21" s="63" t="s">
        <v>301</v>
      </c>
      <c r="L21" s="63" t="s">
        <v>301</v>
      </c>
      <c r="M21" s="63" t="s">
        <v>301</v>
      </c>
      <c r="N21" s="63" t="s">
        <v>301</v>
      </c>
      <c r="O21" s="63" t="s">
        <v>301</v>
      </c>
      <c r="P21" s="63" t="s">
        <v>301</v>
      </c>
      <c r="U21" s="218" t="str">
        <f t="shared" si="4"/>
        <v/>
      </c>
    </row>
    <row r="22" spans="2:21">
      <c r="B22" s="47" t="s">
        <v>339</v>
      </c>
      <c r="C22" s="61" t="s">
        <v>340</v>
      </c>
      <c r="D22" s="59"/>
      <c r="E22" s="63" t="s">
        <v>301</v>
      </c>
      <c r="F22" s="63" t="s">
        <v>301</v>
      </c>
      <c r="G22" s="63" t="s">
        <v>301</v>
      </c>
      <c r="H22" s="63" t="s">
        <v>301</v>
      </c>
      <c r="I22" s="63" t="s">
        <v>301</v>
      </c>
      <c r="J22" s="63" t="s">
        <v>301</v>
      </c>
      <c r="K22" s="63" t="s">
        <v>301</v>
      </c>
      <c r="L22" s="63" t="s">
        <v>301</v>
      </c>
      <c r="M22" s="63" t="s">
        <v>301</v>
      </c>
      <c r="N22" s="63" t="s">
        <v>301</v>
      </c>
      <c r="O22" s="63" t="s">
        <v>301</v>
      </c>
      <c r="P22" s="63" t="s">
        <v>301</v>
      </c>
      <c r="U22" s="218" t="str">
        <f t="shared" si="4"/>
        <v/>
      </c>
    </row>
    <row r="23" spans="2:21">
      <c r="B23" s="64" t="s">
        <v>0</v>
      </c>
      <c r="C23" s="61" t="s">
        <v>20</v>
      </c>
      <c r="D23" s="65"/>
      <c r="E23" s="165">
        <v>1194</v>
      </c>
      <c r="F23" s="165">
        <v>1413.6000000000001</v>
      </c>
      <c r="G23" s="165">
        <v>1350.8</v>
      </c>
      <c r="H23" s="165">
        <v>1452.3</v>
      </c>
      <c r="I23" s="165">
        <v>1377.2</v>
      </c>
      <c r="J23" s="165">
        <v>1622</v>
      </c>
      <c r="K23" s="165">
        <v>1344.3</v>
      </c>
      <c r="L23" s="165">
        <v>1014.5</v>
      </c>
      <c r="M23" s="165">
        <v>981.9</v>
      </c>
      <c r="N23" s="165">
        <v>1146.1000000000001</v>
      </c>
      <c r="O23" s="165">
        <v>918</v>
      </c>
      <c r="P23" s="165">
        <v>1038.4000000000001</v>
      </c>
      <c r="U23" s="217">
        <v>1</v>
      </c>
    </row>
    <row r="24" spans="2:21">
      <c r="B24" s="66"/>
      <c r="C24" s="61" t="s">
        <v>272</v>
      </c>
      <c r="D24" s="59"/>
      <c r="E24" s="63"/>
      <c r="F24" s="63"/>
      <c r="G24" s="63"/>
      <c r="H24" s="63"/>
      <c r="I24" s="63"/>
      <c r="J24" s="63"/>
      <c r="K24" s="63"/>
      <c r="L24" s="63"/>
      <c r="M24" s="63"/>
      <c r="N24" s="63"/>
      <c r="O24" s="63"/>
      <c r="P24" s="63"/>
      <c r="U24" s="217">
        <v>1</v>
      </c>
    </row>
    <row r="25" spans="2:21">
      <c r="B25" s="47" t="s">
        <v>351</v>
      </c>
      <c r="C25" s="61" t="s">
        <v>352</v>
      </c>
      <c r="D25" s="59"/>
      <c r="E25" s="63">
        <v>682.5</v>
      </c>
      <c r="F25" s="63">
        <v>805.5</v>
      </c>
      <c r="G25" s="63">
        <v>778.1</v>
      </c>
      <c r="H25" s="63">
        <v>861.30000000000007</v>
      </c>
      <c r="I25" s="63">
        <v>899.7</v>
      </c>
      <c r="J25" s="63">
        <v>936.4</v>
      </c>
      <c r="K25" s="63">
        <v>763</v>
      </c>
      <c r="L25" s="63">
        <v>581.70000000000005</v>
      </c>
      <c r="M25" s="63">
        <v>600.70000000000005</v>
      </c>
      <c r="N25" s="63">
        <v>710.4</v>
      </c>
      <c r="O25" s="63">
        <v>578.30000000000007</v>
      </c>
      <c r="P25" s="63">
        <v>640.30000000000007</v>
      </c>
      <c r="U25" s="218">
        <f t="shared" ref="U25:U28" si="5">IF(COUNT(E25:P25)&lt;&gt;0,1,"")</f>
        <v>1</v>
      </c>
    </row>
    <row r="26" spans="2:21">
      <c r="B26" s="47" t="s">
        <v>353</v>
      </c>
      <c r="C26" s="61" t="s">
        <v>354</v>
      </c>
      <c r="D26" s="59"/>
      <c r="E26" s="63" t="s">
        <v>301</v>
      </c>
      <c r="F26" s="63" t="s">
        <v>301</v>
      </c>
      <c r="G26" s="63" t="s">
        <v>301</v>
      </c>
      <c r="H26" s="63" t="s">
        <v>301</v>
      </c>
      <c r="I26" s="63" t="s">
        <v>301</v>
      </c>
      <c r="J26" s="63" t="s">
        <v>301</v>
      </c>
      <c r="K26" s="63" t="s">
        <v>301</v>
      </c>
      <c r="L26" s="63" t="s">
        <v>301</v>
      </c>
      <c r="M26" s="63" t="s">
        <v>301</v>
      </c>
      <c r="N26" s="63" t="s">
        <v>301</v>
      </c>
      <c r="O26" s="63" t="s">
        <v>301</v>
      </c>
      <c r="P26" s="63" t="s">
        <v>301</v>
      </c>
      <c r="U26" s="218" t="str">
        <f t="shared" si="5"/>
        <v/>
      </c>
    </row>
    <row r="27" spans="2:21">
      <c r="B27" s="47" t="s">
        <v>355</v>
      </c>
      <c r="C27" s="61" t="s">
        <v>356</v>
      </c>
      <c r="D27" s="59"/>
      <c r="E27" s="63" t="s">
        <v>301</v>
      </c>
      <c r="F27" s="63" t="s">
        <v>301</v>
      </c>
      <c r="G27" s="63" t="s">
        <v>301</v>
      </c>
      <c r="H27" s="63" t="s">
        <v>301</v>
      </c>
      <c r="I27" s="63" t="s">
        <v>301</v>
      </c>
      <c r="J27" s="63" t="s">
        <v>301</v>
      </c>
      <c r="K27" s="63" t="s">
        <v>301</v>
      </c>
      <c r="L27" s="63" t="s">
        <v>301</v>
      </c>
      <c r="M27" s="63" t="s">
        <v>301</v>
      </c>
      <c r="N27" s="63" t="s">
        <v>301</v>
      </c>
      <c r="O27" s="63" t="s">
        <v>301</v>
      </c>
      <c r="P27" s="63" t="s">
        <v>301</v>
      </c>
      <c r="U27" s="218" t="str">
        <f t="shared" si="5"/>
        <v/>
      </c>
    </row>
    <row r="28" spans="2:21">
      <c r="B28" s="47" t="s">
        <v>357</v>
      </c>
      <c r="C28" s="61" t="s">
        <v>358</v>
      </c>
      <c r="D28" s="59"/>
      <c r="E28" s="63" t="s">
        <v>301</v>
      </c>
      <c r="F28" s="63" t="s">
        <v>301</v>
      </c>
      <c r="G28" s="63" t="s">
        <v>301</v>
      </c>
      <c r="H28" s="63" t="s">
        <v>301</v>
      </c>
      <c r="I28" s="63" t="s">
        <v>301</v>
      </c>
      <c r="J28" s="63" t="s">
        <v>301</v>
      </c>
      <c r="K28" s="63" t="s">
        <v>301</v>
      </c>
      <c r="L28" s="63" t="s">
        <v>301</v>
      </c>
      <c r="M28" s="63" t="s">
        <v>301</v>
      </c>
      <c r="N28" s="63" t="s">
        <v>301</v>
      </c>
      <c r="O28" s="63" t="s">
        <v>301</v>
      </c>
      <c r="P28" s="63" t="s">
        <v>301</v>
      </c>
      <c r="U28" s="218" t="str">
        <f t="shared" si="5"/>
        <v/>
      </c>
    </row>
    <row r="29" spans="2:21">
      <c r="B29" s="64" t="s">
        <v>1</v>
      </c>
      <c r="C29" s="61" t="s">
        <v>21</v>
      </c>
      <c r="D29" s="65"/>
      <c r="E29" s="165">
        <v>511.5</v>
      </c>
      <c r="F29" s="165">
        <v>608.1</v>
      </c>
      <c r="G29" s="165">
        <v>572.70000000000005</v>
      </c>
      <c r="H29" s="165">
        <v>591</v>
      </c>
      <c r="I29" s="165">
        <v>477.5</v>
      </c>
      <c r="J29" s="165">
        <v>685.6</v>
      </c>
      <c r="K29" s="165">
        <v>581.30000000000007</v>
      </c>
      <c r="L29" s="165">
        <v>432.8</v>
      </c>
      <c r="M29" s="165">
        <v>381.2</v>
      </c>
      <c r="N29" s="165">
        <v>435.7</v>
      </c>
      <c r="O29" s="165">
        <v>339.7</v>
      </c>
      <c r="P29" s="165">
        <v>398.1</v>
      </c>
      <c r="U29" s="217">
        <v>1</v>
      </c>
    </row>
    <row r="30" spans="2:21">
      <c r="B30" s="66"/>
      <c r="C30" s="61" t="s">
        <v>272</v>
      </c>
      <c r="D30" s="59"/>
      <c r="E30" s="63"/>
      <c r="F30" s="63"/>
      <c r="G30" s="63"/>
      <c r="H30" s="63"/>
      <c r="I30" s="63"/>
      <c r="J30" s="63"/>
      <c r="K30" s="63"/>
      <c r="L30" s="63"/>
      <c r="M30" s="63"/>
      <c r="N30" s="63"/>
      <c r="O30" s="63"/>
      <c r="P30" s="63"/>
      <c r="U30" s="217">
        <v>1</v>
      </c>
    </row>
    <row r="31" spans="2:21">
      <c r="B31" s="47" t="s">
        <v>359</v>
      </c>
      <c r="C31" s="61" t="s">
        <v>341</v>
      </c>
      <c r="D31" s="59"/>
      <c r="E31" s="63">
        <v>183.5</v>
      </c>
      <c r="F31" s="63">
        <v>195.1</v>
      </c>
      <c r="G31" s="63">
        <v>188.5</v>
      </c>
      <c r="H31" s="63">
        <v>194.8</v>
      </c>
      <c r="I31" s="63">
        <v>179.4</v>
      </c>
      <c r="J31" s="63">
        <v>212.5</v>
      </c>
      <c r="K31" s="63">
        <v>185.9</v>
      </c>
      <c r="L31" s="63">
        <v>205.6</v>
      </c>
      <c r="M31" s="63">
        <v>171.3</v>
      </c>
      <c r="N31" s="63">
        <v>171.5</v>
      </c>
      <c r="O31" s="63">
        <v>163.9</v>
      </c>
      <c r="P31" s="63">
        <v>164.8</v>
      </c>
      <c r="U31" s="218">
        <f t="shared" ref="U31:U40" si="6">IF(COUNT(E31:P31)&lt;&gt;0,1,"")</f>
        <v>1</v>
      </c>
    </row>
    <row r="32" spans="2:21">
      <c r="B32" s="47" t="s">
        <v>360</v>
      </c>
      <c r="C32" s="61" t="s">
        <v>342</v>
      </c>
      <c r="D32" s="59"/>
      <c r="E32" s="63" t="s">
        <v>301</v>
      </c>
      <c r="F32" s="63" t="s">
        <v>301</v>
      </c>
      <c r="G32" s="63" t="s">
        <v>301</v>
      </c>
      <c r="H32" s="63" t="s">
        <v>301</v>
      </c>
      <c r="I32" s="63" t="s">
        <v>301</v>
      </c>
      <c r="J32" s="63" t="s">
        <v>301</v>
      </c>
      <c r="K32" s="63" t="s">
        <v>301</v>
      </c>
      <c r="L32" s="63" t="s">
        <v>301</v>
      </c>
      <c r="M32" s="63" t="s">
        <v>301</v>
      </c>
      <c r="N32" s="63" t="s">
        <v>301</v>
      </c>
      <c r="O32" s="63" t="s">
        <v>301</v>
      </c>
      <c r="P32" s="63" t="s">
        <v>301</v>
      </c>
      <c r="U32" s="218" t="str">
        <f t="shared" si="6"/>
        <v/>
      </c>
    </row>
    <row r="33" spans="2:21">
      <c r="B33" s="47" t="s">
        <v>361</v>
      </c>
      <c r="C33" s="61" t="s">
        <v>343</v>
      </c>
      <c r="D33" s="59"/>
      <c r="E33" s="63" t="s">
        <v>301</v>
      </c>
      <c r="F33" s="63" t="s">
        <v>301</v>
      </c>
      <c r="G33" s="63" t="s">
        <v>301</v>
      </c>
      <c r="H33" s="63" t="s">
        <v>301</v>
      </c>
      <c r="I33" s="63" t="s">
        <v>301</v>
      </c>
      <c r="J33" s="63" t="s">
        <v>301</v>
      </c>
      <c r="K33" s="63" t="s">
        <v>301</v>
      </c>
      <c r="L33" s="63" t="s">
        <v>301</v>
      </c>
      <c r="M33" s="63" t="s">
        <v>301</v>
      </c>
      <c r="N33" s="63" t="s">
        <v>301</v>
      </c>
      <c r="O33" s="63" t="s">
        <v>301</v>
      </c>
      <c r="P33" s="63" t="s">
        <v>301</v>
      </c>
      <c r="U33" s="218" t="str">
        <f t="shared" si="6"/>
        <v/>
      </c>
    </row>
    <row r="34" spans="2:21">
      <c r="B34" s="47" t="s">
        <v>362</v>
      </c>
      <c r="C34" s="61" t="s">
        <v>344</v>
      </c>
      <c r="D34" s="59"/>
      <c r="E34" s="63" t="s">
        <v>301</v>
      </c>
      <c r="F34" s="63" t="s">
        <v>301</v>
      </c>
      <c r="G34" s="63" t="s">
        <v>301</v>
      </c>
      <c r="H34" s="63" t="s">
        <v>301</v>
      </c>
      <c r="I34" s="63" t="s">
        <v>301</v>
      </c>
      <c r="J34" s="63" t="s">
        <v>301</v>
      </c>
      <c r="K34" s="63" t="s">
        <v>301</v>
      </c>
      <c r="L34" s="63" t="s">
        <v>301</v>
      </c>
      <c r="M34" s="63" t="s">
        <v>301</v>
      </c>
      <c r="N34" s="63" t="s">
        <v>301</v>
      </c>
      <c r="O34" s="63" t="s">
        <v>301</v>
      </c>
      <c r="P34" s="63" t="s">
        <v>301</v>
      </c>
      <c r="U34" s="218" t="str">
        <f t="shared" si="6"/>
        <v/>
      </c>
    </row>
    <row r="35" spans="2:21">
      <c r="B35" s="47" t="s">
        <v>363</v>
      </c>
      <c r="C35" s="61" t="s">
        <v>345</v>
      </c>
      <c r="D35" s="59"/>
      <c r="E35" s="63" t="s">
        <v>301</v>
      </c>
      <c r="F35" s="63" t="s">
        <v>301</v>
      </c>
      <c r="G35" s="63" t="s">
        <v>301</v>
      </c>
      <c r="H35" s="63" t="s">
        <v>301</v>
      </c>
      <c r="I35" s="63" t="s">
        <v>301</v>
      </c>
      <c r="J35" s="63" t="s">
        <v>301</v>
      </c>
      <c r="K35" s="63" t="s">
        <v>301</v>
      </c>
      <c r="L35" s="63" t="s">
        <v>301</v>
      </c>
      <c r="M35" s="63" t="s">
        <v>301</v>
      </c>
      <c r="N35" s="63" t="s">
        <v>301</v>
      </c>
      <c r="O35" s="63" t="s">
        <v>301</v>
      </c>
      <c r="P35" s="63" t="s">
        <v>301</v>
      </c>
      <c r="U35" s="218" t="str">
        <f t="shared" si="6"/>
        <v/>
      </c>
    </row>
    <row r="36" spans="2:21">
      <c r="B36" s="47" t="s">
        <v>364</v>
      </c>
      <c r="C36" s="61" t="s">
        <v>346</v>
      </c>
      <c r="D36" s="59"/>
      <c r="E36" s="63">
        <v>79.5</v>
      </c>
      <c r="F36" s="63">
        <v>85.3</v>
      </c>
      <c r="G36" s="63">
        <v>71.8</v>
      </c>
      <c r="H36" s="63">
        <v>79.5</v>
      </c>
      <c r="I36" s="63">
        <v>78.5</v>
      </c>
      <c r="J36" s="63">
        <v>84.4</v>
      </c>
      <c r="K36" s="63">
        <v>78.400000000000006</v>
      </c>
      <c r="L36" s="63">
        <v>87.7</v>
      </c>
      <c r="M36" s="63">
        <v>80.900000000000006</v>
      </c>
      <c r="N36" s="63">
        <v>81.8</v>
      </c>
      <c r="O36" s="63">
        <v>60.9</v>
      </c>
      <c r="P36" s="63">
        <v>75.900000000000006</v>
      </c>
      <c r="U36" s="218">
        <f t="shared" si="6"/>
        <v>1</v>
      </c>
    </row>
    <row r="37" spans="2:21">
      <c r="B37" s="47" t="s">
        <v>365</v>
      </c>
      <c r="C37" s="61" t="s">
        <v>347</v>
      </c>
      <c r="D37" s="59"/>
      <c r="E37" s="63" t="s">
        <v>301</v>
      </c>
      <c r="F37" s="63" t="s">
        <v>301</v>
      </c>
      <c r="G37" s="63" t="s">
        <v>301</v>
      </c>
      <c r="H37" s="63" t="s">
        <v>301</v>
      </c>
      <c r="I37" s="63" t="s">
        <v>301</v>
      </c>
      <c r="J37" s="63" t="s">
        <v>301</v>
      </c>
      <c r="K37" s="63" t="s">
        <v>301</v>
      </c>
      <c r="L37" s="63" t="s">
        <v>301</v>
      </c>
      <c r="M37" s="63" t="s">
        <v>301</v>
      </c>
      <c r="N37" s="63" t="s">
        <v>301</v>
      </c>
      <c r="O37" s="63" t="s">
        <v>301</v>
      </c>
      <c r="P37" s="63" t="s">
        <v>301</v>
      </c>
      <c r="U37" s="218" t="str">
        <f t="shared" si="6"/>
        <v/>
      </c>
    </row>
    <row r="38" spans="2:21">
      <c r="B38" s="47" t="s">
        <v>366</v>
      </c>
      <c r="C38" s="61" t="s">
        <v>348</v>
      </c>
      <c r="D38" s="59"/>
      <c r="E38" s="63" t="s">
        <v>301</v>
      </c>
      <c r="F38" s="63" t="s">
        <v>301</v>
      </c>
      <c r="G38" s="63" t="s">
        <v>301</v>
      </c>
      <c r="H38" s="63" t="s">
        <v>301</v>
      </c>
      <c r="I38" s="63" t="s">
        <v>301</v>
      </c>
      <c r="J38" s="63" t="s">
        <v>301</v>
      </c>
      <c r="K38" s="63" t="s">
        <v>301</v>
      </c>
      <c r="L38" s="63" t="s">
        <v>301</v>
      </c>
      <c r="M38" s="63" t="s">
        <v>301</v>
      </c>
      <c r="N38" s="63" t="s">
        <v>301</v>
      </c>
      <c r="O38" s="63" t="s">
        <v>301</v>
      </c>
      <c r="P38" s="63" t="s">
        <v>301</v>
      </c>
      <c r="U38" s="218" t="str">
        <f t="shared" si="6"/>
        <v/>
      </c>
    </row>
    <row r="39" spans="2:21">
      <c r="B39" s="47" t="s">
        <v>367</v>
      </c>
      <c r="C39" s="61" t="s">
        <v>349</v>
      </c>
      <c r="D39" s="59"/>
      <c r="E39" s="63" t="s">
        <v>301</v>
      </c>
      <c r="F39" s="63" t="s">
        <v>301</v>
      </c>
      <c r="G39" s="63" t="s">
        <v>301</v>
      </c>
      <c r="H39" s="63" t="s">
        <v>301</v>
      </c>
      <c r="I39" s="63" t="s">
        <v>301</v>
      </c>
      <c r="J39" s="63" t="s">
        <v>301</v>
      </c>
      <c r="K39" s="63" t="s">
        <v>301</v>
      </c>
      <c r="L39" s="63" t="s">
        <v>301</v>
      </c>
      <c r="M39" s="63" t="s">
        <v>301</v>
      </c>
      <c r="N39" s="63" t="s">
        <v>301</v>
      </c>
      <c r="O39" s="63" t="s">
        <v>301</v>
      </c>
      <c r="P39" s="63" t="s">
        <v>301</v>
      </c>
      <c r="U39" s="218" t="str">
        <f t="shared" si="6"/>
        <v/>
      </c>
    </row>
    <row r="40" spans="2:21">
      <c r="B40" s="47" t="s">
        <v>368</v>
      </c>
      <c r="C40" s="61" t="s">
        <v>350</v>
      </c>
      <c r="D40" s="59"/>
      <c r="E40" s="63" t="s">
        <v>301</v>
      </c>
      <c r="F40" s="63" t="s">
        <v>301</v>
      </c>
      <c r="G40" s="63" t="s">
        <v>301</v>
      </c>
      <c r="H40" s="63" t="s">
        <v>301</v>
      </c>
      <c r="I40" s="63" t="s">
        <v>301</v>
      </c>
      <c r="J40" s="63" t="s">
        <v>301</v>
      </c>
      <c r="K40" s="63" t="s">
        <v>301</v>
      </c>
      <c r="L40" s="63" t="s">
        <v>301</v>
      </c>
      <c r="M40" s="63" t="s">
        <v>301</v>
      </c>
      <c r="N40" s="63">
        <v>88.7</v>
      </c>
      <c r="O40" s="63" t="s">
        <v>301</v>
      </c>
      <c r="P40" s="63" t="s">
        <v>301</v>
      </c>
      <c r="U40" s="218">
        <f t="shared" si="6"/>
        <v>1</v>
      </c>
    </row>
    <row r="41" spans="2:21">
      <c r="B41" s="64" t="s">
        <v>369</v>
      </c>
      <c r="C41" s="61" t="s">
        <v>370</v>
      </c>
      <c r="D41" s="65"/>
      <c r="E41" s="165">
        <v>263</v>
      </c>
      <c r="F41" s="165">
        <v>280.40000000000003</v>
      </c>
      <c r="G41" s="165">
        <v>260.3</v>
      </c>
      <c r="H41" s="165">
        <v>274.3</v>
      </c>
      <c r="I41" s="165">
        <v>257.89999999999998</v>
      </c>
      <c r="J41" s="165">
        <v>296.90000000000003</v>
      </c>
      <c r="K41" s="165">
        <v>264.3</v>
      </c>
      <c r="L41" s="165">
        <v>293.3</v>
      </c>
      <c r="M41" s="165">
        <v>252.20000000000002</v>
      </c>
      <c r="N41" s="165">
        <v>342</v>
      </c>
      <c r="O41" s="165">
        <v>224.8</v>
      </c>
      <c r="P41" s="165">
        <v>240.70000000000002</v>
      </c>
      <c r="U41" s="217">
        <v>1</v>
      </c>
    </row>
    <row r="42" spans="2:21">
      <c r="B42" s="66"/>
      <c r="C42" s="61" t="s">
        <v>272</v>
      </c>
      <c r="D42" s="59"/>
      <c r="E42" s="166"/>
      <c r="F42" s="166"/>
      <c r="G42" s="166"/>
      <c r="H42" s="166"/>
      <c r="I42" s="166"/>
      <c r="J42" s="166"/>
      <c r="K42" s="166"/>
      <c r="L42" s="166"/>
      <c r="M42" s="166"/>
      <c r="N42" s="166"/>
      <c r="O42" s="166"/>
      <c r="P42" s="166"/>
      <c r="U42" s="217">
        <v>1</v>
      </c>
    </row>
    <row r="43" spans="2:21" ht="10.8" thickBot="1">
      <c r="B43" s="64" t="s">
        <v>371</v>
      </c>
      <c r="C43" s="61" t="s">
        <v>372</v>
      </c>
      <c r="D43" s="65"/>
      <c r="E43" s="164">
        <v>248.5</v>
      </c>
      <c r="F43" s="164">
        <v>327.7</v>
      </c>
      <c r="G43" s="164">
        <v>312.40000000000003</v>
      </c>
      <c r="H43" s="164">
        <v>316.7</v>
      </c>
      <c r="I43" s="164">
        <v>219.6</v>
      </c>
      <c r="J43" s="164">
        <v>388.7</v>
      </c>
      <c r="K43" s="164">
        <v>317</v>
      </c>
      <c r="L43" s="164">
        <v>139.5</v>
      </c>
      <c r="M43" s="164">
        <v>129</v>
      </c>
      <c r="N43" s="164">
        <v>93.7</v>
      </c>
      <c r="O43" s="164">
        <v>114.9</v>
      </c>
      <c r="P43" s="164">
        <v>157.4</v>
      </c>
      <c r="U43" s="217">
        <v>1</v>
      </c>
    </row>
    <row r="44" spans="2:21" ht="10.8" thickTop="1">
      <c r="B44" s="66"/>
      <c r="C44" s="61" t="s">
        <v>272</v>
      </c>
      <c r="D44" s="59"/>
      <c r="E44" s="63"/>
      <c r="F44" s="63"/>
      <c r="G44" s="63"/>
      <c r="H44" s="63"/>
      <c r="I44" s="63"/>
      <c r="J44" s="63"/>
      <c r="K44" s="63"/>
      <c r="L44" s="63"/>
      <c r="M44" s="63"/>
      <c r="N44" s="63"/>
      <c r="O44" s="63"/>
      <c r="P44" s="63"/>
      <c r="U44" s="217">
        <v>1</v>
      </c>
    </row>
    <row r="45" spans="2:21">
      <c r="B45" s="47" t="s">
        <v>373</v>
      </c>
      <c r="C45" s="61" t="s">
        <v>374</v>
      </c>
      <c r="D45" s="59"/>
      <c r="E45" s="63">
        <v>-33.1</v>
      </c>
      <c r="F45" s="63">
        <v>-33</v>
      </c>
      <c r="G45" s="63">
        <v>-29.900000000000002</v>
      </c>
      <c r="H45" s="63">
        <v>-35.300000000000004</v>
      </c>
      <c r="I45" s="63">
        <v>-41.800000000000004</v>
      </c>
      <c r="J45" s="63">
        <v>-44.800000000000004</v>
      </c>
      <c r="K45" s="63">
        <v>-51.4</v>
      </c>
      <c r="L45" s="63">
        <v>-64.5</v>
      </c>
      <c r="M45" s="63">
        <v>-64.599999999999994</v>
      </c>
      <c r="N45" s="63">
        <v>-56.7</v>
      </c>
      <c r="O45" s="63">
        <v>-61.7</v>
      </c>
      <c r="P45" s="63">
        <v>-63.6</v>
      </c>
      <c r="U45" s="218">
        <f t="shared" ref="U45:U46" si="7">IF(COUNT(E45:P45)&lt;&gt;0,1,"")</f>
        <v>1</v>
      </c>
    </row>
    <row r="46" spans="2:21">
      <c r="B46" s="47" t="s">
        <v>375</v>
      </c>
      <c r="C46" s="61" t="s">
        <v>376</v>
      </c>
      <c r="D46" s="59"/>
      <c r="E46" s="63" t="s">
        <v>301</v>
      </c>
      <c r="F46" s="63" t="s">
        <v>301</v>
      </c>
      <c r="G46" s="63" t="s">
        <v>301</v>
      </c>
      <c r="H46" s="63" t="s">
        <v>301</v>
      </c>
      <c r="I46" s="63" t="s">
        <v>301</v>
      </c>
      <c r="J46" s="63" t="s">
        <v>301</v>
      </c>
      <c r="K46" s="63" t="s">
        <v>301</v>
      </c>
      <c r="L46" s="63" t="s">
        <v>301</v>
      </c>
      <c r="M46" s="63" t="s">
        <v>301</v>
      </c>
      <c r="N46" s="63" t="s">
        <v>301</v>
      </c>
      <c r="O46" s="63" t="s">
        <v>301</v>
      </c>
      <c r="P46" s="63" t="s">
        <v>301</v>
      </c>
      <c r="U46" s="218" t="str">
        <f t="shared" si="7"/>
        <v/>
      </c>
    </row>
    <row r="47" spans="2:21">
      <c r="B47" s="64" t="s">
        <v>377</v>
      </c>
      <c r="C47" s="61" t="s">
        <v>378</v>
      </c>
      <c r="D47" s="65"/>
      <c r="E47" s="165">
        <v>-33.1</v>
      </c>
      <c r="F47" s="165">
        <v>-33</v>
      </c>
      <c r="G47" s="165">
        <v>-29.900000000000002</v>
      </c>
      <c r="H47" s="165">
        <v>-35.300000000000004</v>
      </c>
      <c r="I47" s="165">
        <v>-41.800000000000004</v>
      </c>
      <c r="J47" s="165">
        <v>-44.800000000000004</v>
      </c>
      <c r="K47" s="165">
        <v>-51.4</v>
      </c>
      <c r="L47" s="165">
        <v>-64.5</v>
      </c>
      <c r="M47" s="165">
        <v>-64.599999999999994</v>
      </c>
      <c r="N47" s="165">
        <v>-56.7</v>
      </c>
      <c r="O47" s="165">
        <v>-61.7</v>
      </c>
      <c r="P47" s="165">
        <v>-63.6</v>
      </c>
      <c r="U47" s="217">
        <v>1</v>
      </c>
    </row>
    <row r="48" spans="2:21">
      <c r="B48" s="66"/>
      <c r="C48" s="61" t="s">
        <v>272</v>
      </c>
      <c r="D48" s="59"/>
      <c r="E48" s="63"/>
      <c r="F48" s="63"/>
      <c r="G48" s="63"/>
      <c r="H48" s="63"/>
      <c r="I48" s="63"/>
      <c r="J48" s="63"/>
      <c r="K48" s="63"/>
      <c r="L48" s="63"/>
      <c r="M48" s="63"/>
      <c r="N48" s="63"/>
      <c r="O48" s="63"/>
      <c r="P48" s="63"/>
      <c r="U48" s="217">
        <v>1</v>
      </c>
    </row>
    <row r="49" spans="2:21">
      <c r="B49" s="47" t="s">
        <v>379</v>
      </c>
      <c r="C49" s="61" t="s">
        <v>380</v>
      </c>
      <c r="D49" s="59"/>
      <c r="E49" s="63" t="s">
        <v>301</v>
      </c>
      <c r="F49" s="63" t="s">
        <v>301</v>
      </c>
      <c r="G49" s="63" t="s">
        <v>301</v>
      </c>
      <c r="H49" s="63" t="s">
        <v>301</v>
      </c>
      <c r="I49" s="63" t="s">
        <v>301</v>
      </c>
      <c r="J49" s="63" t="s">
        <v>301</v>
      </c>
      <c r="K49" s="63" t="s">
        <v>301</v>
      </c>
      <c r="L49" s="63" t="s">
        <v>301</v>
      </c>
      <c r="M49" s="63" t="s">
        <v>301</v>
      </c>
      <c r="N49" s="63" t="s">
        <v>301</v>
      </c>
      <c r="O49" s="63" t="s">
        <v>301</v>
      </c>
      <c r="P49" s="63" t="s">
        <v>301</v>
      </c>
      <c r="U49" s="218" t="str">
        <f t="shared" ref="U49:U51" si="8">IF(COUNT(E49:P49)&lt;&gt;0,1,"")</f>
        <v/>
      </c>
    </row>
    <row r="50" spans="2:21">
      <c r="B50" s="47" t="s">
        <v>381</v>
      </c>
      <c r="C50" s="61" t="s">
        <v>382</v>
      </c>
      <c r="D50" s="59"/>
      <c r="E50" s="63" t="s">
        <v>301</v>
      </c>
      <c r="F50" s="63" t="s">
        <v>301</v>
      </c>
      <c r="G50" s="63" t="s">
        <v>301</v>
      </c>
      <c r="H50" s="63" t="s">
        <v>301</v>
      </c>
      <c r="I50" s="63" t="s">
        <v>301</v>
      </c>
      <c r="J50" s="63" t="s">
        <v>301</v>
      </c>
      <c r="K50" s="63" t="s">
        <v>301</v>
      </c>
      <c r="L50" s="63" t="s">
        <v>301</v>
      </c>
      <c r="M50" s="63" t="s">
        <v>301</v>
      </c>
      <c r="N50" s="63">
        <v>-75.2</v>
      </c>
      <c r="O50" s="63" t="s">
        <v>301</v>
      </c>
      <c r="P50" s="63" t="s">
        <v>301</v>
      </c>
      <c r="U50" s="218">
        <f t="shared" si="8"/>
        <v>1</v>
      </c>
    </row>
    <row r="51" spans="2:21">
      <c r="B51" s="47" t="s">
        <v>383</v>
      </c>
      <c r="C51" s="61" t="s">
        <v>384</v>
      </c>
      <c r="D51" s="59"/>
      <c r="E51" s="63" t="s">
        <v>301</v>
      </c>
      <c r="F51" s="63" t="s">
        <v>301</v>
      </c>
      <c r="G51" s="63" t="s">
        <v>301</v>
      </c>
      <c r="H51" s="63" t="s">
        <v>301</v>
      </c>
      <c r="I51" s="63" t="s">
        <v>301</v>
      </c>
      <c r="J51" s="63" t="s">
        <v>301</v>
      </c>
      <c r="K51" s="63" t="s">
        <v>301</v>
      </c>
      <c r="L51" s="63" t="s">
        <v>301</v>
      </c>
      <c r="M51" s="63" t="s">
        <v>301</v>
      </c>
      <c r="N51" s="63" t="s">
        <v>301</v>
      </c>
      <c r="O51" s="63" t="s">
        <v>301</v>
      </c>
      <c r="P51" s="63" t="s">
        <v>301</v>
      </c>
      <c r="U51" s="218" t="str">
        <f t="shared" si="8"/>
        <v/>
      </c>
    </row>
    <row r="52" spans="2:21">
      <c r="B52" s="64" t="s">
        <v>385</v>
      </c>
      <c r="C52" s="61" t="s">
        <v>386</v>
      </c>
      <c r="D52" s="65"/>
      <c r="E52" s="165">
        <v>215.4</v>
      </c>
      <c r="F52" s="165">
        <v>294.7</v>
      </c>
      <c r="G52" s="165">
        <v>282.5</v>
      </c>
      <c r="H52" s="165">
        <v>281.40000000000003</v>
      </c>
      <c r="I52" s="165">
        <v>177.8</v>
      </c>
      <c r="J52" s="165">
        <v>343.90000000000003</v>
      </c>
      <c r="K52" s="165">
        <v>265.60000000000002</v>
      </c>
      <c r="L52" s="165">
        <v>75</v>
      </c>
      <c r="M52" s="165">
        <v>64.400000000000006</v>
      </c>
      <c r="N52" s="165">
        <v>-38.200000000000003</v>
      </c>
      <c r="O52" s="165">
        <v>53.2</v>
      </c>
      <c r="P52" s="165">
        <v>93.8</v>
      </c>
      <c r="U52" s="217">
        <v>1</v>
      </c>
    </row>
    <row r="53" spans="2:21">
      <c r="B53" s="66"/>
      <c r="C53" s="61" t="s">
        <v>272</v>
      </c>
      <c r="D53" s="59"/>
      <c r="E53" s="63"/>
      <c r="F53" s="63"/>
      <c r="G53" s="63"/>
      <c r="H53" s="63"/>
      <c r="I53" s="63"/>
      <c r="J53" s="63"/>
      <c r="K53" s="63"/>
      <c r="L53" s="63"/>
      <c r="M53" s="63"/>
      <c r="N53" s="63"/>
      <c r="O53" s="63"/>
      <c r="P53" s="63"/>
      <c r="U53" s="217">
        <v>1</v>
      </c>
    </row>
    <row r="54" spans="2:21">
      <c r="B54" s="47" t="s">
        <v>387</v>
      </c>
      <c r="C54" s="61" t="s">
        <v>388</v>
      </c>
      <c r="D54" s="59"/>
      <c r="E54" s="63">
        <v>-1.3</v>
      </c>
      <c r="F54" s="63">
        <v>-11.3</v>
      </c>
      <c r="G54" s="63">
        <v>-10.9</v>
      </c>
      <c r="H54" s="63">
        <v>-79.5</v>
      </c>
      <c r="I54" s="63">
        <v>-2</v>
      </c>
      <c r="J54" s="63">
        <v>42</v>
      </c>
      <c r="K54" s="63">
        <v>-0.5</v>
      </c>
      <c r="L54" s="63">
        <v>0.9</v>
      </c>
      <c r="M54" s="63">
        <v>-2.9</v>
      </c>
      <c r="N54" s="63">
        <v>-45.5</v>
      </c>
      <c r="O54" s="63">
        <v>-0.3</v>
      </c>
      <c r="P54" s="63">
        <v>-83.8</v>
      </c>
      <c r="U54" s="218">
        <f t="shared" ref="U54:U63" si="9">IF(COUNT(E54:P54)&lt;&gt;0,1,"")</f>
        <v>1</v>
      </c>
    </row>
    <row r="55" spans="2:21">
      <c r="B55" s="47" t="s">
        <v>389</v>
      </c>
      <c r="C55" s="61" t="s">
        <v>390</v>
      </c>
      <c r="D55" s="59"/>
      <c r="E55" s="63">
        <v>-0.8</v>
      </c>
      <c r="F55" s="63">
        <v>-10.9</v>
      </c>
      <c r="G55" s="63">
        <v>-0.3</v>
      </c>
      <c r="H55" s="63" t="s">
        <v>301</v>
      </c>
      <c r="I55" s="63" t="s">
        <v>301</v>
      </c>
      <c r="J55" s="63" t="s">
        <v>301</v>
      </c>
      <c r="K55" s="63">
        <v>-0.4</v>
      </c>
      <c r="L55" s="63" t="s">
        <v>301</v>
      </c>
      <c r="M55" s="63" t="s">
        <v>301</v>
      </c>
      <c r="N55" s="63" t="s">
        <v>301</v>
      </c>
      <c r="O55" s="63">
        <v>-33.4</v>
      </c>
      <c r="P55" s="63" t="s">
        <v>301</v>
      </c>
      <c r="U55" s="218">
        <f t="shared" si="9"/>
        <v>1</v>
      </c>
    </row>
    <row r="56" spans="2:21">
      <c r="B56" s="47" t="s">
        <v>391</v>
      </c>
      <c r="C56" s="61" t="s">
        <v>392</v>
      </c>
      <c r="D56" s="59"/>
      <c r="E56" s="63" t="s">
        <v>301</v>
      </c>
      <c r="F56" s="63" t="s">
        <v>301</v>
      </c>
      <c r="G56" s="63" t="s">
        <v>301</v>
      </c>
      <c r="H56" s="63" t="s">
        <v>301</v>
      </c>
      <c r="I56" s="63" t="s">
        <v>301</v>
      </c>
      <c r="J56" s="63" t="s">
        <v>301</v>
      </c>
      <c r="K56" s="63" t="s">
        <v>301</v>
      </c>
      <c r="L56" s="63" t="s">
        <v>301</v>
      </c>
      <c r="M56" s="63" t="s">
        <v>301</v>
      </c>
      <c r="N56" s="63" t="s">
        <v>301</v>
      </c>
      <c r="O56" s="63" t="s">
        <v>301</v>
      </c>
      <c r="P56" s="63" t="s">
        <v>301</v>
      </c>
      <c r="U56" s="218" t="str">
        <f t="shared" si="9"/>
        <v/>
      </c>
    </row>
    <row r="57" spans="2:21">
      <c r="B57" s="47" t="s">
        <v>393</v>
      </c>
      <c r="C57" s="61" t="s">
        <v>394</v>
      </c>
      <c r="D57" s="59"/>
      <c r="E57" s="63" t="s">
        <v>301</v>
      </c>
      <c r="F57" s="63" t="s">
        <v>301</v>
      </c>
      <c r="G57" s="63" t="s">
        <v>301</v>
      </c>
      <c r="H57" s="63" t="s">
        <v>301</v>
      </c>
      <c r="I57" s="63" t="s">
        <v>301</v>
      </c>
      <c r="J57" s="63" t="s">
        <v>301</v>
      </c>
      <c r="K57" s="63" t="s">
        <v>301</v>
      </c>
      <c r="L57" s="63" t="s">
        <v>301</v>
      </c>
      <c r="M57" s="63" t="s">
        <v>301</v>
      </c>
      <c r="N57" s="63" t="s">
        <v>301</v>
      </c>
      <c r="O57" s="63" t="s">
        <v>301</v>
      </c>
      <c r="P57" s="63" t="s">
        <v>301</v>
      </c>
      <c r="U57" s="218" t="str">
        <f t="shared" si="9"/>
        <v/>
      </c>
    </row>
    <row r="58" spans="2:21">
      <c r="B58" s="47" t="s">
        <v>395</v>
      </c>
      <c r="C58" s="61" t="s">
        <v>396</v>
      </c>
      <c r="D58" s="59"/>
      <c r="E58" s="63" t="s">
        <v>301</v>
      </c>
      <c r="F58" s="63" t="s">
        <v>301</v>
      </c>
      <c r="G58" s="63" t="s">
        <v>301</v>
      </c>
      <c r="H58" s="63" t="s">
        <v>301</v>
      </c>
      <c r="I58" s="63" t="s">
        <v>301</v>
      </c>
      <c r="J58" s="63" t="s">
        <v>301</v>
      </c>
      <c r="K58" s="63" t="s">
        <v>301</v>
      </c>
      <c r="L58" s="63" t="s">
        <v>301</v>
      </c>
      <c r="M58" s="63" t="s">
        <v>301</v>
      </c>
      <c r="N58" s="63" t="s">
        <v>301</v>
      </c>
      <c r="O58" s="63" t="s">
        <v>301</v>
      </c>
      <c r="P58" s="63" t="s">
        <v>301</v>
      </c>
      <c r="U58" s="218" t="str">
        <f t="shared" si="9"/>
        <v/>
      </c>
    </row>
    <row r="59" spans="2:21">
      <c r="B59" s="47" t="s">
        <v>397</v>
      </c>
      <c r="C59" s="61" t="s">
        <v>398</v>
      </c>
      <c r="D59" s="59"/>
      <c r="E59" s="63" t="s">
        <v>301</v>
      </c>
      <c r="F59" s="63" t="s">
        <v>301</v>
      </c>
      <c r="G59" s="63" t="s">
        <v>301</v>
      </c>
      <c r="H59" s="63" t="s">
        <v>301</v>
      </c>
      <c r="I59" s="63" t="s">
        <v>301</v>
      </c>
      <c r="J59" s="63" t="s">
        <v>301</v>
      </c>
      <c r="K59" s="63" t="s">
        <v>301</v>
      </c>
      <c r="L59" s="63" t="s">
        <v>301</v>
      </c>
      <c r="M59" s="63" t="s">
        <v>301</v>
      </c>
      <c r="N59" s="63" t="s">
        <v>301</v>
      </c>
      <c r="O59" s="63" t="s">
        <v>301</v>
      </c>
      <c r="P59" s="63" t="s">
        <v>301</v>
      </c>
      <c r="U59" s="218" t="str">
        <f t="shared" si="9"/>
        <v/>
      </c>
    </row>
    <row r="60" spans="2:21">
      <c r="B60" s="47" t="s">
        <v>399</v>
      </c>
      <c r="C60" s="61" t="s">
        <v>400</v>
      </c>
      <c r="D60" s="59"/>
      <c r="E60" s="63" t="s">
        <v>301</v>
      </c>
      <c r="F60" s="63" t="s">
        <v>301</v>
      </c>
      <c r="G60" s="63" t="s">
        <v>301</v>
      </c>
      <c r="H60" s="63" t="s">
        <v>301</v>
      </c>
      <c r="I60" s="63" t="s">
        <v>301</v>
      </c>
      <c r="J60" s="63" t="s">
        <v>301</v>
      </c>
      <c r="K60" s="63" t="s">
        <v>301</v>
      </c>
      <c r="L60" s="63" t="s">
        <v>301</v>
      </c>
      <c r="M60" s="63" t="s">
        <v>301</v>
      </c>
      <c r="N60" s="63" t="s">
        <v>301</v>
      </c>
      <c r="O60" s="63" t="s">
        <v>301</v>
      </c>
      <c r="P60" s="63" t="s">
        <v>301</v>
      </c>
      <c r="U60" s="218" t="str">
        <f t="shared" si="9"/>
        <v/>
      </c>
    </row>
    <row r="61" spans="2:21">
      <c r="B61" s="47" t="s">
        <v>401</v>
      </c>
      <c r="C61" s="61" t="s">
        <v>402</v>
      </c>
      <c r="D61" s="59"/>
      <c r="E61" s="63" t="s">
        <v>301</v>
      </c>
      <c r="F61" s="63" t="s">
        <v>301</v>
      </c>
      <c r="G61" s="63" t="s">
        <v>301</v>
      </c>
      <c r="H61" s="63" t="s">
        <v>301</v>
      </c>
      <c r="I61" s="63" t="s">
        <v>301</v>
      </c>
      <c r="J61" s="63" t="s">
        <v>301</v>
      </c>
      <c r="K61" s="63" t="s">
        <v>301</v>
      </c>
      <c r="L61" s="63" t="s">
        <v>301</v>
      </c>
      <c r="M61" s="63" t="s">
        <v>301</v>
      </c>
      <c r="N61" s="63" t="s">
        <v>301</v>
      </c>
      <c r="O61" s="63" t="s">
        <v>301</v>
      </c>
      <c r="P61" s="63" t="s">
        <v>301</v>
      </c>
      <c r="U61" s="218" t="str">
        <f t="shared" si="9"/>
        <v/>
      </c>
    </row>
    <row r="62" spans="2:21">
      <c r="B62" s="47" t="s">
        <v>403</v>
      </c>
      <c r="C62" s="61" t="s">
        <v>404</v>
      </c>
      <c r="D62" s="59"/>
      <c r="E62" s="63" t="s">
        <v>301</v>
      </c>
      <c r="F62" s="63" t="s">
        <v>301</v>
      </c>
      <c r="G62" s="63" t="s">
        <v>301</v>
      </c>
      <c r="H62" s="63" t="s">
        <v>301</v>
      </c>
      <c r="I62" s="63" t="s">
        <v>301</v>
      </c>
      <c r="J62" s="63" t="s">
        <v>301</v>
      </c>
      <c r="K62" s="63" t="s">
        <v>301</v>
      </c>
      <c r="L62" s="63" t="s">
        <v>301</v>
      </c>
      <c r="M62" s="63" t="s">
        <v>301</v>
      </c>
      <c r="N62" s="63" t="s">
        <v>301</v>
      </c>
      <c r="O62" s="63" t="s">
        <v>301</v>
      </c>
      <c r="P62" s="63" t="s">
        <v>301</v>
      </c>
      <c r="U62" s="218" t="str">
        <f t="shared" si="9"/>
        <v/>
      </c>
    </row>
    <row r="63" spans="2:21">
      <c r="B63" s="47" t="s">
        <v>405</v>
      </c>
      <c r="C63" s="61" t="s">
        <v>406</v>
      </c>
      <c r="D63" s="59"/>
      <c r="E63" s="63">
        <v>-32.200000000000003</v>
      </c>
      <c r="F63" s="63">
        <v>-35.200000000000003</v>
      </c>
      <c r="G63" s="63">
        <v>-2.2000000000000002</v>
      </c>
      <c r="H63" s="63">
        <v>-5.2</v>
      </c>
      <c r="I63" s="63">
        <v>-5.3</v>
      </c>
      <c r="J63" s="63">
        <v>-38.300000000000004</v>
      </c>
      <c r="K63" s="63">
        <v>-16.2</v>
      </c>
      <c r="L63" s="63">
        <v>-12.8</v>
      </c>
      <c r="M63" s="63">
        <v>-29.5</v>
      </c>
      <c r="N63" s="63">
        <v>40.300000000000004</v>
      </c>
      <c r="O63" s="63">
        <v>-11.5</v>
      </c>
      <c r="P63" s="63">
        <v>-15.5</v>
      </c>
      <c r="U63" s="218">
        <f t="shared" si="9"/>
        <v>1</v>
      </c>
    </row>
    <row r="64" spans="2:21">
      <c r="B64" s="64" t="s">
        <v>407</v>
      </c>
      <c r="C64" s="61" t="s">
        <v>408</v>
      </c>
      <c r="D64" s="65"/>
      <c r="E64" s="165">
        <v>181.1</v>
      </c>
      <c r="F64" s="165">
        <v>237.3</v>
      </c>
      <c r="G64" s="165">
        <v>269.10000000000002</v>
      </c>
      <c r="H64" s="165">
        <v>196.70000000000002</v>
      </c>
      <c r="I64" s="165">
        <v>170.5</v>
      </c>
      <c r="J64" s="165">
        <v>347.6</v>
      </c>
      <c r="K64" s="165">
        <v>248.5</v>
      </c>
      <c r="L64" s="165">
        <v>63.1</v>
      </c>
      <c r="M64" s="165">
        <v>32</v>
      </c>
      <c r="N64" s="165">
        <v>-43.4</v>
      </c>
      <c r="O64" s="165">
        <v>8</v>
      </c>
      <c r="P64" s="165">
        <v>-5.5</v>
      </c>
      <c r="U64" s="217">
        <v>1</v>
      </c>
    </row>
    <row r="65" spans="2:21">
      <c r="B65" s="66"/>
      <c r="C65" s="61" t="s">
        <v>272</v>
      </c>
      <c r="D65" s="59"/>
      <c r="E65" s="63"/>
      <c r="F65" s="63"/>
      <c r="G65" s="63"/>
      <c r="H65" s="63"/>
      <c r="I65" s="63"/>
      <c r="J65" s="63"/>
      <c r="K65" s="63"/>
      <c r="L65" s="63"/>
      <c r="M65" s="63"/>
      <c r="N65" s="63"/>
      <c r="O65" s="63"/>
      <c r="P65" s="63"/>
      <c r="U65" s="217">
        <v>1</v>
      </c>
    </row>
    <row r="66" spans="2:21">
      <c r="B66" s="47" t="s">
        <v>409</v>
      </c>
      <c r="C66" s="61" t="s">
        <v>410</v>
      </c>
      <c r="D66" s="65"/>
      <c r="E66" s="63">
        <v>9.2000000000000011</v>
      </c>
      <c r="F66" s="63">
        <v>16.7</v>
      </c>
      <c r="G66" s="63">
        <v>42.300000000000004</v>
      </c>
      <c r="H66" s="63">
        <v>54.7</v>
      </c>
      <c r="I66" s="63">
        <v>36</v>
      </c>
      <c r="J66" s="63">
        <v>12.200000000000001</v>
      </c>
      <c r="K66" s="63">
        <v>41.1</v>
      </c>
      <c r="L66" s="63">
        <v>9.2000000000000011</v>
      </c>
      <c r="M66" s="63">
        <v>27.400000000000002</v>
      </c>
      <c r="N66" s="63">
        <v>-1197</v>
      </c>
      <c r="O66" s="63">
        <v>-1.4000000000000001</v>
      </c>
      <c r="P66" s="63">
        <v>-303.5</v>
      </c>
      <c r="U66" s="218">
        <f t="shared" ref="U66" si="10">IF(COUNT(E66:P66)&lt;&gt;0,1,"")</f>
        <v>1</v>
      </c>
    </row>
    <row r="67" spans="2:21">
      <c r="B67" s="64" t="s">
        <v>5</v>
      </c>
      <c r="C67" s="61" t="s">
        <v>24</v>
      </c>
      <c r="D67" s="65"/>
      <c r="E67" s="165">
        <v>171.9</v>
      </c>
      <c r="F67" s="165">
        <v>220.6</v>
      </c>
      <c r="G67" s="165">
        <v>226.8</v>
      </c>
      <c r="H67" s="165">
        <v>142</v>
      </c>
      <c r="I67" s="165">
        <v>134.5</v>
      </c>
      <c r="J67" s="165">
        <v>335.40000000000003</v>
      </c>
      <c r="K67" s="165">
        <v>207.4</v>
      </c>
      <c r="L67" s="165">
        <v>53.9</v>
      </c>
      <c r="M67" s="165">
        <v>4.6000000000000005</v>
      </c>
      <c r="N67" s="165">
        <v>1153.6000000000001</v>
      </c>
      <c r="O67" s="165">
        <v>9.4</v>
      </c>
      <c r="P67" s="165">
        <v>298</v>
      </c>
      <c r="U67" s="217">
        <v>1</v>
      </c>
    </row>
    <row r="68" spans="2:21">
      <c r="B68" s="66"/>
      <c r="C68" s="61" t="s">
        <v>272</v>
      </c>
      <c r="D68" s="59"/>
      <c r="E68" s="63"/>
      <c r="F68" s="63"/>
      <c r="G68" s="63"/>
      <c r="H68" s="63"/>
      <c r="I68" s="63"/>
      <c r="J68" s="63"/>
      <c r="K68" s="63"/>
      <c r="L68" s="63"/>
      <c r="M68" s="63"/>
      <c r="N68" s="63"/>
      <c r="O68" s="63"/>
      <c r="P68" s="63"/>
      <c r="U68" s="217">
        <v>1</v>
      </c>
    </row>
    <row r="69" spans="2:21">
      <c r="B69" s="47" t="s">
        <v>411</v>
      </c>
      <c r="C69" s="61" t="s">
        <v>412</v>
      </c>
      <c r="D69" s="59"/>
      <c r="E69" s="63">
        <v>-9.7000000000000011</v>
      </c>
      <c r="F69" s="63">
        <v>-35.800000000000004</v>
      </c>
      <c r="G69" s="63">
        <v>-15.200000000000001</v>
      </c>
      <c r="H69" s="63">
        <v>-10.8</v>
      </c>
      <c r="I69" s="63">
        <v>-16.2</v>
      </c>
      <c r="J69" s="63">
        <v>-55</v>
      </c>
      <c r="K69" s="63">
        <v>-11.5</v>
      </c>
      <c r="L69" s="63">
        <v>-21.5</v>
      </c>
      <c r="M69" s="63">
        <v>-8.3000000000000007</v>
      </c>
      <c r="N69" s="63">
        <v>-57.2</v>
      </c>
      <c r="O69" s="63">
        <v>-12.5</v>
      </c>
      <c r="P69" s="63">
        <v>-2.8000000000000003</v>
      </c>
      <c r="U69" s="218">
        <f t="shared" ref="U69:U70" si="11">IF(COUNT(E69:P69)&lt;&gt;0,1,"")</f>
        <v>1</v>
      </c>
    </row>
    <row r="70" spans="2:21">
      <c r="B70" s="47" t="s">
        <v>413</v>
      </c>
      <c r="C70" s="61" t="s">
        <v>414</v>
      </c>
      <c r="D70" s="59"/>
      <c r="E70" s="63" t="s">
        <v>301</v>
      </c>
      <c r="F70" s="63" t="s">
        <v>301</v>
      </c>
      <c r="G70" s="63" t="s">
        <v>301</v>
      </c>
      <c r="H70" s="63" t="s">
        <v>301</v>
      </c>
      <c r="I70" s="63" t="s">
        <v>301</v>
      </c>
      <c r="J70" s="63" t="s">
        <v>301</v>
      </c>
      <c r="K70" s="63" t="s">
        <v>301</v>
      </c>
      <c r="L70" s="63" t="s">
        <v>301</v>
      </c>
      <c r="M70" s="63" t="s">
        <v>301</v>
      </c>
      <c r="N70" s="63" t="s">
        <v>301</v>
      </c>
      <c r="O70" s="63" t="s">
        <v>301</v>
      </c>
      <c r="P70" s="63" t="s">
        <v>301</v>
      </c>
      <c r="U70" s="218" t="str">
        <f t="shared" si="11"/>
        <v/>
      </c>
    </row>
    <row r="71" spans="2:21">
      <c r="B71" s="64" t="s">
        <v>415</v>
      </c>
      <c r="C71" s="61" t="s">
        <v>416</v>
      </c>
      <c r="D71" s="65"/>
      <c r="E71" s="165">
        <v>162.20000000000002</v>
      </c>
      <c r="F71" s="165">
        <v>184.8</v>
      </c>
      <c r="G71" s="165">
        <v>211.6</v>
      </c>
      <c r="H71" s="165">
        <v>131.19999999999999</v>
      </c>
      <c r="I71" s="165">
        <v>118.3</v>
      </c>
      <c r="J71" s="165">
        <v>280.40000000000003</v>
      </c>
      <c r="K71" s="165">
        <v>195.9</v>
      </c>
      <c r="L71" s="165">
        <v>32.4</v>
      </c>
      <c r="M71" s="165">
        <v>-3.7</v>
      </c>
      <c r="N71" s="165">
        <v>1096.4000000000001</v>
      </c>
      <c r="O71" s="165">
        <v>-3.1</v>
      </c>
      <c r="P71" s="165">
        <v>295.2</v>
      </c>
      <c r="U71" s="217">
        <v>1</v>
      </c>
    </row>
    <row r="72" spans="2:21">
      <c r="B72" s="64"/>
      <c r="C72" s="61" t="s">
        <v>272</v>
      </c>
      <c r="D72" s="67"/>
      <c r="E72" s="73"/>
      <c r="F72" s="73"/>
      <c r="G72" s="73"/>
      <c r="H72" s="73"/>
      <c r="I72" s="73"/>
      <c r="J72" s="73"/>
      <c r="K72" s="73"/>
      <c r="L72" s="73"/>
      <c r="M72" s="73"/>
      <c r="N72" s="73"/>
      <c r="O72" s="73"/>
      <c r="P72" s="73"/>
      <c r="U72" s="217">
        <v>1</v>
      </c>
    </row>
    <row r="73" spans="2:21">
      <c r="B73" s="47" t="s">
        <v>417</v>
      </c>
      <c r="C73" s="61" t="s">
        <v>418</v>
      </c>
      <c r="D73" s="59"/>
      <c r="E73" s="63">
        <v>-2.5</v>
      </c>
      <c r="F73" s="63">
        <v>5.9</v>
      </c>
      <c r="G73" s="63">
        <v>-4.2</v>
      </c>
      <c r="H73" s="63">
        <v>3</v>
      </c>
      <c r="I73" s="63">
        <v>2.7</v>
      </c>
      <c r="J73" s="63">
        <v>-6.5</v>
      </c>
      <c r="K73" s="63">
        <v>0.1</v>
      </c>
      <c r="L73" s="63">
        <v>-1.9000000000000001</v>
      </c>
      <c r="M73" s="63">
        <v>0.2</v>
      </c>
      <c r="N73" s="63">
        <v>2.1</v>
      </c>
      <c r="O73" s="63">
        <v>0.4</v>
      </c>
      <c r="P73" s="63">
        <v>-0.1</v>
      </c>
      <c r="U73" s="218">
        <f t="shared" ref="U73" si="12">IF(COUNT(E73:P73)&lt;&gt;0,1,"")</f>
        <v>1</v>
      </c>
    </row>
    <row r="74" spans="2:21" ht="10.8" thickBot="1">
      <c r="B74" s="64" t="s">
        <v>419</v>
      </c>
      <c r="C74" s="61" t="s">
        <v>420</v>
      </c>
      <c r="D74" s="59"/>
      <c r="E74" s="164">
        <v>159.70000000000002</v>
      </c>
      <c r="F74" s="164">
        <v>190.70000000000002</v>
      </c>
      <c r="G74" s="164">
        <v>207.4</v>
      </c>
      <c r="H74" s="164">
        <v>134.19999999999999</v>
      </c>
      <c r="I74" s="164">
        <v>121</v>
      </c>
      <c r="J74" s="164">
        <v>273.90000000000003</v>
      </c>
      <c r="K74" s="164">
        <v>196</v>
      </c>
      <c r="L74" s="164">
        <v>30.5</v>
      </c>
      <c r="M74" s="164">
        <v>-3.5</v>
      </c>
      <c r="N74" s="164">
        <v>1098.5</v>
      </c>
      <c r="O74" s="164">
        <v>-2.7</v>
      </c>
      <c r="P74" s="164">
        <v>295.10000000000002</v>
      </c>
      <c r="U74" s="217">
        <v>1</v>
      </c>
    </row>
    <row r="75" spans="2:21" ht="10.8" thickTop="1">
      <c r="B75" s="66"/>
      <c r="C75" s="61" t="s">
        <v>272</v>
      </c>
      <c r="D75" s="59"/>
      <c r="E75" s="63"/>
      <c r="F75" s="63"/>
      <c r="G75" s="63"/>
      <c r="H75" s="63"/>
      <c r="I75" s="63"/>
      <c r="J75" s="63"/>
      <c r="K75" s="63"/>
      <c r="L75" s="63"/>
      <c r="M75" s="63"/>
      <c r="N75" s="63"/>
      <c r="O75" s="63"/>
      <c r="P75" s="63"/>
      <c r="U75" s="217">
        <v>1</v>
      </c>
    </row>
    <row r="76" spans="2:21">
      <c r="B76" s="47" t="s">
        <v>421</v>
      </c>
      <c r="C76" s="61" t="s">
        <v>422</v>
      </c>
      <c r="D76" s="59"/>
      <c r="E76" s="63">
        <v>0.4</v>
      </c>
      <c r="F76" s="63">
        <v>0.5</v>
      </c>
      <c r="G76" s="63">
        <v>0.4</v>
      </c>
      <c r="H76" s="63">
        <v>0.3</v>
      </c>
      <c r="I76" s="63">
        <v>0.3</v>
      </c>
      <c r="J76" s="63">
        <v>0.6</v>
      </c>
      <c r="K76" s="63">
        <v>0.4</v>
      </c>
      <c r="L76" s="63">
        <v>0.1</v>
      </c>
      <c r="M76" s="63" t="s">
        <v>301</v>
      </c>
      <c r="N76" s="63">
        <v>3</v>
      </c>
      <c r="O76" s="63" t="s">
        <v>301</v>
      </c>
      <c r="P76" s="63">
        <v>0.9</v>
      </c>
      <c r="U76" s="218">
        <f t="shared" ref="U76:U79" si="13">IF(COUNT(E76:P76)&lt;&gt;0,1,"")</f>
        <v>1</v>
      </c>
    </row>
    <row r="77" spans="2:21">
      <c r="B77" s="66"/>
      <c r="C77" s="61" t="s">
        <v>272</v>
      </c>
      <c r="D77" s="59"/>
      <c r="E77" s="63"/>
      <c r="F77" s="63"/>
      <c r="G77" s="63"/>
      <c r="H77" s="63"/>
      <c r="I77" s="63"/>
      <c r="J77" s="63"/>
      <c r="K77" s="63"/>
      <c r="L77" s="63"/>
      <c r="M77" s="63"/>
      <c r="N77" s="63"/>
      <c r="O77" s="63"/>
      <c r="P77" s="63"/>
      <c r="U77" s="217">
        <v>1</v>
      </c>
    </row>
    <row r="78" spans="2:21">
      <c r="B78" s="64" t="s">
        <v>423</v>
      </c>
      <c r="C78" s="61" t="s">
        <v>424</v>
      </c>
      <c r="D78" s="65"/>
      <c r="E78" s="73">
        <v>159.30000000000001</v>
      </c>
      <c r="F78" s="73">
        <v>190.20000000000002</v>
      </c>
      <c r="G78" s="73">
        <v>207</v>
      </c>
      <c r="H78" s="73">
        <v>133.9</v>
      </c>
      <c r="I78" s="73">
        <v>120.7</v>
      </c>
      <c r="J78" s="73">
        <v>273.3</v>
      </c>
      <c r="K78" s="73">
        <v>195.6</v>
      </c>
      <c r="L78" s="73">
        <v>30.400000000000002</v>
      </c>
      <c r="M78" s="73">
        <v>-3.5</v>
      </c>
      <c r="N78" s="73">
        <v>1095.5</v>
      </c>
      <c r="O78" s="73">
        <v>-2.7</v>
      </c>
      <c r="P78" s="73">
        <v>294.2</v>
      </c>
      <c r="U78" s="218">
        <f t="shared" si="13"/>
        <v>1</v>
      </c>
    </row>
    <row r="79" spans="2:21">
      <c r="B79" s="64" t="s">
        <v>425</v>
      </c>
      <c r="C79" s="61" t="s">
        <v>426</v>
      </c>
      <c r="D79" s="65"/>
      <c r="E79" s="73">
        <v>169</v>
      </c>
      <c r="F79" s="73">
        <v>226</v>
      </c>
      <c r="G79" s="73">
        <v>222.20000000000002</v>
      </c>
      <c r="H79" s="73">
        <v>144.70000000000002</v>
      </c>
      <c r="I79" s="73">
        <v>136.9</v>
      </c>
      <c r="J79" s="73">
        <v>328.3</v>
      </c>
      <c r="K79" s="73">
        <v>207.1</v>
      </c>
      <c r="L79" s="73">
        <v>51.9</v>
      </c>
      <c r="M79" s="73">
        <v>4.8</v>
      </c>
      <c r="N79" s="73">
        <v>1152.7</v>
      </c>
      <c r="O79" s="73">
        <v>9.8000000000000007</v>
      </c>
      <c r="P79" s="73">
        <v>297</v>
      </c>
      <c r="U79" s="218">
        <f t="shared" si="13"/>
        <v>1</v>
      </c>
    </row>
    <row r="80" spans="2:21">
      <c r="B80" s="66"/>
      <c r="C80" s="61" t="s">
        <v>272</v>
      </c>
      <c r="D80" s="59"/>
      <c r="E80" s="66"/>
      <c r="F80" s="66"/>
      <c r="G80" s="66"/>
      <c r="H80" s="66"/>
      <c r="I80" s="66"/>
      <c r="J80" s="66"/>
      <c r="K80" s="66"/>
      <c r="L80" s="66"/>
      <c r="M80" s="66"/>
      <c r="N80" s="66"/>
      <c r="O80" s="66"/>
      <c r="P80" s="66"/>
      <c r="U80" s="217">
        <v>1</v>
      </c>
    </row>
    <row r="81" spans="2:21">
      <c r="B81" s="68"/>
      <c r="C81" s="61" t="s">
        <v>272</v>
      </c>
      <c r="D81" s="59"/>
      <c r="E81" s="163"/>
      <c r="F81" s="163"/>
      <c r="G81" s="230"/>
      <c r="H81" s="230"/>
      <c r="I81" s="230"/>
      <c r="J81" s="230"/>
      <c r="K81" s="230"/>
      <c r="L81" s="230"/>
      <c r="M81" s="230"/>
      <c r="N81" s="230"/>
      <c r="O81" s="230"/>
      <c r="P81" s="230"/>
      <c r="U81" s="217">
        <v>1</v>
      </c>
    </row>
    <row r="82" spans="2:21">
      <c r="B82" s="47" t="s">
        <v>1607</v>
      </c>
      <c r="C82" s="61" t="s">
        <v>427</v>
      </c>
      <c r="D82" s="59"/>
      <c r="E82" s="74">
        <v>1.2410000000000001</v>
      </c>
      <c r="F82" s="74">
        <v>1.502</v>
      </c>
      <c r="G82" s="74">
        <v>1.6419999999999999</v>
      </c>
      <c r="H82" s="74">
        <v>1.0609999999999999</v>
      </c>
      <c r="I82" s="74">
        <v>0.95599999999999996</v>
      </c>
      <c r="J82" s="74">
        <v>2.1760000000000002</v>
      </c>
      <c r="K82" s="74">
        <v>1.5609999999999999</v>
      </c>
      <c r="L82" s="74">
        <v>0.24299999999999999</v>
      </c>
      <c r="M82" s="74">
        <v>-2.8000000000000001E-2</v>
      </c>
      <c r="N82" s="74">
        <v>8.7710000000000008</v>
      </c>
      <c r="O82" s="74">
        <v>-2.1999999999999999E-2</v>
      </c>
      <c r="P82" s="74">
        <v>2.3530000000000002</v>
      </c>
      <c r="U82" s="218">
        <f t="shared" ref="U82:U100" si="14">IF(COUNT(E82:P82)&lt;&gt;0,1,"")</f>
        <v>1</v>
      </c>
    </row>
    <row r="83" spans="2:21">
      <c r="B83" s="47" t="s">
        <v>1608</v>
      </c>
      <c r="C83" s="61" t="s">
        <v>428</v>
      </c>
      <c r="D83" s="59"/>
      <c r="E83" s="74">
        <v>1.3169999999999999</v>
      </c>
      <c r="F83" s="74">
        <v>1.7849999999999999</v>
      </c>
      <c r="G83" s="74">
        <v>1.7629999999999999</v>
      </c>
      <c r="H83" s="74">
        <v>1.147</v>
      </c>
      <c r="I83" s="74">
        <v>1.085</v>
      </c>
      <c r="J83" s="74">
        <v>2.6139999999999999</v>
      </c>
      <c r="K83" s="74">
        <v>1.6519999999999999</v>
      </c>
      <c r="L83" s="74">
        <v>0.41499999999999998</v>
      </c>
      <c r="M83" s="74">
        <v>3.7999999999999999E-2</v>
      </c>
      <c r="N83" s="74">
        <v>9.2289999999999992</v>
      </c>
      <c r="O83" s="74">
        <v>7.8E-2</v>
      </c>
      <c r="P83" s="74">
        <v>2.3759999999999999</v>
      </c>
      <c r="U83" s="218">
        <f t="shared" si="14"/>
        <v>1</v>
      </c>
    </row>
    <row r="84" spans="2:21">
      <c r="B84" s="47" t="s">
        <v>429</v>
      </c>
      <c r="C84" s="61" t="s">
        <v>430</v>
      </c>
      <c r="D84" s="59"/>
      <c r="E84" s="75">
        <v>128313000</v>
      </c>
      <c r="F84" s="75">
        <v>126600000</v>
      </c>
      <c r="G84" s="75">
        <v>126064000</v>
      </c>
      <c r="H84" s="75">
        <v>126204000</v>
      </c>
      <c r="I84" s="75">
        <v>126224000</v>
      </c>
      <c r="J84" s="75">
        <v>125600000</v>
      </c>
      <c r="K84" s="75">
        <v>125341000</v>
      </c>
      <c r="L84" s="75">
        <v>125085000</v>
      </c>
      <c r="M84" s="75">
        <v>124887000</v>
      </c>
      <c r="N84" s="75">
        <v>124900000</v>
      </c>
      <c r="O84" s="75">
        <v>124945000</v>
      </c>
      <c r="P84" s="75">
        <v>125009000</v>
      </c>
      <c r="U84" s="218">
        <f t="shared" si="14"/>
        <v>1</v>
      </c>
    </row>
    <row r="85" spans="2:21">
      <c r="B85" s="47"/>
      <c r="C85" s="61" t="s">
        <v>272</v>
      </c>
      <c r="D85" s="59"/>
      <c r="E85" s="76"/>
      <c r="F85" s="76"/>
      <c r="G85" s="76"/>
      <c r="H85" s="76"/>
      <c r="I85" s="76"/>
      <c r="J85" s="76"/>
      <c r="K85" s="76"/>
      <c r="L85" s="76"/>
      <c r="M85" s="76"/>
      <c r="N85" s="76"/>
      <c r="O85" s="76"/>
      <c r="P85" s="76"/>
      <c r="U85" s="217">
        <v>1</v>
      </c>
    </row>
    <row r="86" spans="2:21">
      <c r="B86" s="47" t="s">
        <v>1609</v>
      </c>
      <c r="C86" s="61" t="s">
        <v>431</v>
      </c>
      <c r="D86" s="59"/>
      <c r="E86" s="74">
        <v>1.2410000000000001</v>
      </c>
      <c r="F86" s="74">
        <v>1.484</v>
      </c>
      <c r="G86" s="74">
        <v>1.6319999999999999</v>
      </c>
      <c r="H86" s="74">
        <v>1.0609999999999999</v>
      </c>
      <c r="I86" s="74">
        <v>0.95199999999999996</v>
      </c>
      <c r="J86" s="74">
        <v>2.149</v>
      </c>
      <c r="K86" s="74">
        <v>1.5489999999999999</v>
      </c>
      <c r="L86" s="74">
        <v>0.23899999999999999</v>
      </c>
      <c r="M86" s="74">
        <v>-2.8000000000000001E-2</v>
      </c>
      <c r="N86" s="74">
        <v>8.7550000000000008</v>
      </c>
      <c r="O86" s="74">
        <v>-2.1999999999999999E-2</v>
      </c>
      <c r="P86" s="74">
        <v>2.3479999999999999</v>
      </c>
      <c r="U86" s="218">
        <f t="shared" si="14"/>
        <v>1</v>
      </c>
    </row>
    <row r="87" spans="2:21">
      <c r="B87" s="47" t="s">
        <v>1610</v>
      </c>
      <c r="C87" s="61" t="s">
        <v>25</v>
      </c>
      <c r="D87" s="59"/>
      <c r="E87" s="74">
        <v>1.3169999999999999</v>
      </c>
      <c r="F87" s="74">
        <v>1.7649999999999999</v>
      </c>
      <c r="G87" s="74">
        <v>1.752</v>
      </c>
      <c r="H87" s="74">
        <v>1.147</v>
      </c>
      <c r="I87" s="74">
        <v>1.08</v>
      </c>
      <c r="J87" s="74">
        <v>2.585</v>
      </c>
      <c r="K87" s="74">
        <v>1.64</v>
      </c>
      <c r="L87" s="74">
        <v>0.41</v>
      </c>
      <c r="M87" s="74">
        <v>3.7999999999999999E-2</v>
      </c>
      <c r="N87" s="74">
        <v>9.2119999999999997</v>
      </c>
      <c r="O87" s="74">
        <v>7.8E-2</v>
      </c>
      <c r="P87" s="74">
        <v>2.37</v>
      </c>
      <c r="U87" s="218">
        <f t="shared" si="14"/>
        <v>1</v>
      </c>
    </row>
    <row r="88" spans="2:21">
      <c r="B88" s="47" t="s">
        <v>432</v>
      </c>
      <c r="C88" s="61" t="s">
        <v>433</v>
      </c>
      <c r="D88" s="59"/>
      <c r="E88" s="75">
        <v>128991000</v>
      </c>
      <c r="F88" s="75">
        <v>127400000</v>
      </c>
      <c r="G88" s="75">
        <v>126839000</v>
      </c>
      <c r="H88" s="75">
        <v>126946000</v>
      </c>
      <c r="I88" s="75">
        <v>126891000</v>
      </c>
      <c r="J88" s="75">
        <v>126400000</v>
      </c>
      <c r="K88" s="75">
        <v>126131000</v>
      </c>
      <c r="L88" s="75">
        <v>125664000</v>
      </c>
      <c r="M88" s="75">
        <v>125260000</v>
      </c>
      <c r="N88" s="75">
        <v>125200000</v>
      </c>
      <c r="O88" s="75">
        <v>125242000</v>
      </c>
      <c r="P88" s="75">
        <v>125352000</v>
      </c>
      <c r="U88" s="218">
        <f t="shared" si="14"/>
        <v>1</v>
      </c>
    </row>
    <row r="89" spans="2:21">
      <c r="B89" s="47"/>
      <c r="C89" s="61" t="s">
        <v>272</v>
      </c>
      <c r="D89" s="59"/>
      <c r="E89" s="77"/>
      <c r="F89" s="77"/>
      <c r="G89" s="77"/>
      <c r="H89" s="77"/>
      <c r="I89" s="77"/>
      <c r="J89" s="77"/>
      <c r="K89" s="77"/>
      <c r="L89" s="77"/>
      <c r="M89" s="77"/>
      <c r="N89" s="77"/>
      <c r="O89" s="77"/>
      <c r="P89" s="77"/>
      <c r="U89" s="217">
        <v>1</v>
      </c>
    </row>
    <row r="90" spans="2:21">
      <c r="B90" s="47" t="s">
        <v>1611</v>
      </c>
      <c r="C90" s="61" t="s">
        <v>434</v>
      </c>
      <c r="D90" s="59"/>
      <c r="E90" s="74">
        <v>1.03</v>
      </c>
      <c r="F90" s="74">
        <v>1.5009999999999999</v>
      </c>
      <c r="G90" s="74">
        <v>1.367</v>
      </c>
      <c r="H90" s="74">
        <v>1.417</v>
      </c>
      <c r="I90" s="74">
        <v>0.90200000000000002</v>
      </c>
      <c r="J90" s="74">
        <v>1.66</v>
      </c>
      <c r="K90" s="74">
        <v>1.325</v>
      </c>
      <c r="L90" s="74">
        <v>0.36</v>
      </c>
      <c r="M90" s="74">
        <v>0.32400000000000001</v>
      </c>
      <c r="N90" s="74">
        <v>-0.17399999999999999</v>
      </c>
      <c r="O90" s="74">
        <v>0.26900000000000002</v>
      </c>
      <c r="P90" s="74">
        <v>0.46800000000000003</v>
      </c>
      <c r="U90" s="218">
        <f t="shared" si="14"/>
        <v>1</v>
      </c>
    </row>
    <row r="91" spans="2:21">
      <c r="B91" s="47" t="s">
        <v>1612</v>
      </c>
      <c r="C91" s="61" t="s">
        <v>435</v>
      </c>
      <c r="D91" s="59"/>
      <c r="E91" s="74">
        <v>1.024</v>
      </c>
      <c r="F91" s="74">
        <v>1.492</v>
      </c>
      <c r="G91" s="74">
        <v>1.359</v>
      </c>
      <c r="H91" s="74">
        <v>1.409</v>
      </c>
      <c r="I91" s="74">
        <v>0.89700000000000002</v>
      </c>
      <c r="J91" s="74">
        <v>1.649</v>
      </c>
      <c r="K91" s="74">
        <v>1.3169999999999999</v>
      </c>
      <c r="L91" s="74">
        <v>0.35799999999999998</v>
      </c>
      <c r="M91" s="74">
        <v>0.32300000000000001</v>
      </c>
      <c r="N91" s="74">
        <v>-0.17399999999999999</v>
      </c>
      <c r="O91" s="74">
        <v>0.26900000000000002</v>
      </c>
      <c r="P91" s="74">
        <v>0.46700000000000003</v>
      </c>
      <c r="U91" s="218">
        <f t="shared" si="14"/>
        <v>1</v>
      </c>
    </row>
    <row r="92" spans="2:21">
      <c r="B92" s="47"/>
      <c r="C92" s="61" t="s">
        <v>272</v>
      </c>
      <c r="D92" s="59"/>
      <c r="E92" s="78"/>
      <c r="F92" s="78"/>
      <c r="G92" s="78"/>
      <c r="H92" s="78"/>
      <c r="I92" s="78"/>
      <c r="J92" s="78"/>
      <c r="K92" s="78"/>
      <c r="L92" s="78"/>
      <c r="M92" s="78"/>
      <c r="N92" s="78"/>
      <c r="O92" s="78"/>
      <c r="P92" s="78"/>
      <c r="U92" s="217">
        <v>1</v>
      </c>
    </row>
    <row r="93" spans="2:21">
      <c r="B93" s="47" t="s">
        <v>1613</v>
      </c>
      <c r="C93" s="61" t="s">
        <v>436</v>
      </c>
      <c r="D93" s="59"/>
      <c r="E93" s="74" t="s">
        <v>301</v>
      </c>
      <c r="F93" s="74" t="s">
        <v>301</v>
      </c>
      <c r="G93" s="74" t="s">
        <v>301</v>
      </c>
      <c r="H93" s="74" t="s">
        <v>301</v>
      </c>
      <c r="I93" s="74" t="s">
        <v>301</v>
      </c>
      <c r="J93" s="74" t="s">
        <v>301</v>
      </c>
      <c r="K93" s="74" t="s">
        <v>301</v>
      </c>
      <c r="L93" s="74" t="s">
        <v>301</v>
      </c>
      <c r="M93" s="74" t="s">
        <v>301</v>
      </c>
      <c r="N93" s="74" t="s">
        <v>301</v>
      </c>
      <c r="O93" s="74" t="s">
        <v>301</v>
      </c>
      <c r="P93" s="74" t="s">
        <v>301</v>
      </c>
      <c r="U93" s="218" t="str">
        <f t="shared" si="14"/>
        <v/>
      </c>
    </row>
    <row r="94" spans="2:21">
      <c r="B94" s="47" t="s">
        <v>1620</v>
      </c>
      <c r="C94" s="61" t="s">
        <v>1621</v>
      </c>
      <c r="D94" s="59"/>
      <c r="E94" s="74" t="s">
        <v>301</v>
      </c>
      <c r="F94" s="74" t="s">
        <v>301</v>
      </c>
      <c r="G94" s="74" t="s">
        <v>301</v>
      </c>
      <c r="H94" s="74" t="s">
        <v>301</v>
      </c>
      <c r="I94" s="74" t="s">
        <v>301</v>
      </c>
      <c r="J94" s="74" t="s">
        <v>301</v>
      </c>
      <c r="K94" s="74" t="s">
        <v>301</v>
      </c>
      <c r="L94" s="74" t="s">
        <v>301</v>
      </c>
      <c r="M94" s="74" t="s">
        <v>301</v>
      </c>
      <c r="N94" s="74" t="s">
        <v>301</v>
      </c>
      <c r="O94" s="74" t="s">
        <v>301</v>
      </c>
      <c r="P94" s="74" t="s">
        <v>301</v>
      </c>
      <c r="U94" s="218" t="str">
        <f t="shared" si="14"/>
        <v/>
      </c>
    </row>
    <row r="95" spans="2:21">
      <c r="B95" s="47" t="s">
        <v>437</v>
      </c>
      <c r="C95" s="61" t="s">
        <v>438</v>
      </c>
      <c r="D95" s="59"/>
      <c r="E95" s="79" t="s">
        <v>301</v>
      </c>
      <c r="F95" s="79" t="s">
        <v>301</v>
      </c>
      <c r="G95" s="79" t="s">
        <v>301</v>
      </c>
      <c r="H95" s="79" t="s">
        <v>301</v>
      </c>
      <c r="I95" s="79" t="s">
        <v>301</v>
      </c>
      <c r="J95" s="79" t="s">
        <v>301</v>
      </c>
      <c r="K95" s="79" t="s">
        <v>301</v>
      </c>
      <c r="L95" s="79" t="s">
        <v>301</v>
      </c>
      <c r="M95" s="79" t="s">
        <v>301</v>
      </c>
      <c r="N95" s="79" t="s">
        <v>301</v>
      </c>
      <c r="O95" s="79" t="s">
        <v>301</v>
      </c>
      <c r="P95" s="79" t="s">
        <v>301</v>
      </c>
      <c r="U95" s="218" t="str">
        <f t="shared" si="14"/>
        <v/>
      </c>
    </row>
    <row r="96" spans="2:21">
      <c r="B96" s="47" t="s">
        <v>439</v>
      </c>
      <c r="C96" s="61" t="s">
        <v>440</v>
      </c>
      <c r="D96" s="59"/>
      <c r="E96" s="79" t="s">
        <v>301</v>
      </c>
      <c r="F96" s="79" t="s">
        <v>301</v>
      </c>
      <c r="G96" s="79" t="s">
        <v>301</v>
      </c>
      <c r="H96" s="79" t="s">
        <v>301</v>
      </c>
      <c r="I96" s="79" t="s">
        <v>301</v>
      </c>
      <c r="J96" s="79" t="s">
        <v>301</v>
      </c>
      <c r="K96" s="79" t="s">
        <v>301</v>
      </c>
      <c r="L96" s="79" t="s">
        <v>301</v>
      </c>
      <c r="M96" s="79" t="s">
        <v>301</v>
      </c>
      <c r="N96" s="79" t="s">
        <v>301</v>
      </c>
      <c r="O96" s="79" t="s">
        <v>301</v>
      </c>
      <c r="P96" s="79" t="s">
        <v>301</v>
      </c>
      <c r="U96" s="218" t="str">
        <f t="shared" si="14"/>
        <v/>
      </c>
    </row>
    <row r="97" spans="2:21">
      <c r="B97" s="47"/>
      <c r="C97" s="61" t="s">
        <v>272</v>
      </c>
      <c r="D97" s="59"/>
      <c r="E97" s="188"/>
      <c r="F97" s="188"/>
      <c r="G97" s="188"/>
      <c r="H97" s="188"/>
      <c r="I97" s="188"/>
      <c r="J97" s="188"/>
      <c r="K97" s="188"/>
      <c r="L97" s="188"/>
      <c r="M97" s="188"/>
      <c r="N97" s="188"/>
      <c r="O97" s="188"/>
      <c r="P97" s="188"/>
      <c r="U97" s="217">
        <v>1</v>
      </c>
    </row>
    <row r="98" spans="2:21">
      <c r="B98" s="47" t="s">
        <v>1614</v>
      </c>
      <c r="C98" s="61" t="s">
        <v>441</v>
      </c>
      <c r="D98" s="59"/>
      <c r="E98" s="74">
        <v>0.48</v>
      </c>
      <c r="F98" s="74">
        <v>0.53</v>
      </c>
      <c r="G98" s="74">
        <v>0.53</v>
      </c>
      <c r="H98" s="74">
        <v>0.53</v>
      </c>
      <c r="I98" s="74">
        <v>0.53</v>
      </c>
      <c r="J98" s="74">
        <v>0.57999999999999996</v>
      </c>
      <c r="K98" s="74">
        <v>0.57999999999999996</v>
      </c>
      <c r="L98" s="74">
        <v>0.57999999999999996</v>
      </c>
      <c r="M98" s="74">
        <v>0.57999999999999996</v>
      </c>
      <c r="N98" s="74">
        <v>0.57999999999999996</v>
      </c>
      <c r="O98" s="74">
        <v>0.57999999999999996</v>
      </c>
      <c r="P98" s="74">
        <v>0.57999999999999996</v>
      </c>
      <c r="U98" s="218">
        <f t="shared" si="14"/>
        <v>1</v>
      </c>
    </row>
    <row r="99" spans="2:21">
      <c r="B99" s="47" t="s">
        <v>442</v>
      </c>
      <c r="C99" s="61" t="s">
        <v>443</v>
      </c>
      <c r="D99" s="59"/>
      <c r="E99" s="74" t="s">
        <v>301</v>
      </c>
      <c r="F99" s="74" t="s">
        <v>301</v>
      </c>
      <c r="G99" s="74" t="s">
        <v>301</v>
      </c>
      <c r="H99" s="74" t="s">
        <v>301</v>
      </c>
      <c r="I99" s="74" t="s">
        <v>301</v>
      </c>
      <c r="J99" s="74" t="s">
        <v>301</v>
      </c>
      <c r="K99" s="74" t="s">
        <v>301</v>
      </c>
      <c r="L99" s="74" t="s">
        <v>301</v>
      </c>
      <c r="M99" s="74" t="s">
        <v>301</v>
      </c>
      <c r="N99" s="74" t="s">
        <v>301</v>
      </c>
      <c r="O99" s="74" t="s">
        <v>301</v>
      </c>
      <c r="P99" s="74" t="s">
        <v>301</v>
      </c>
      <c r="U99" s="218" t="str">
        <f t="shared" si="14"/>
        <v/>
      </c>
    </row>
    <row r="100" spans="2:21">
      <c r="B100" s="47" t="s">
        <v>1613</v>
      </c>
      <c r="C100" s="61" t="s">
        <v>436</v>
      </c>
      <c r="D100" s="59"/>
      <c r="E100" s="74" t="s">
        <v>301</v>
      </c>
      <c r="F100" s="74" t="s">
        <v>301</v>
      </c>
      <c r="G100" s="74" t="s">
        <v>301</v>
      </c>
      <c r="H100" s="74" t="s">
        <v>301</v>
      </c>
      <c r="I100" s="74" t="s">
        <v>301</v>
      </c>
      <c r="J100" s="74" t="s">
        <v>301</v>
      </c>
      <c r="K100" s="74" t="s">
        <v>301</v>
      </c>
      <c r="L100" s="74" t="s">
        <v>301</v>
      </c>
      <c r="M100" s="74" t="s">
        <v>301</v>
      </c>
      <c r="N100" s="74" t="s">
        <v>301</v>
      </c>
      <c r="O100" s="74" t="s">
        <v>301</v>
      </c>
      <c r="P100" s="74" t="s">
        <v>301</v>
      </c>
      <c r="U100" s="218" t="str">
        <f t="shared" si="14"/>
        <v/>
      </c>
    </row>
    <row r="101" spans="2:21">
      <c r="B101" s="69"/>
      <c r="C101" s="61" t="s">
        <v>272</v>
      </c>
      <c r="D101" s="59"/>
      <c r="E101" s="80"/>
      <c r="F101" s="80"/>
      <c r="G101" s="80"/>
      <c r="H101" s="80"/>
      <c r="I101" s="80"/>
      <c r="J101" s="80"/>
      <c r="K101" s="80"/>
      <c r="L101" s="80"/>
      <c r="M101" s="80"/>
      <c r="N101" s="80"/>
      <c r="O101" s="80"/>
      <c r="P101" s="80"/>
      <c r="U101" s="217">
        <v>1</v>
      </c>
    </row>
    <row r="102" spans="2:21">
      <c r="B102" s="62" t="s">
        <v>444</v>
      </c>
      <c r="C102" s="61" t="s">
        <v>272</v>
      </c>
      <c r="D102" s="59"/>
      <c r="E102" s="183"/>
      <c r="F102" s="183"/>
      <c r="G102" s="188"/>
      <c r="H102" s="188"/>
      <c r="I102" s="188"/>
      <c r="J102" s="188"/>
      <c r="K102" s="188"/>
      <c r="L102" s="188"/>
      <c r="M102" s="188"/>
      <c r="N102" s="188"/>
      <c r="O102" s="188"/>
      <c r="P102" s="183"/>
      <c r="U102" s="217">
        <v>1</v>
      </c>
    </row>
    <row r="103" spans="2:21">
      <c r="B103" s="62" t="s">
        <v>325</v>
      </c>
      <c r="C103" s="61" t="s">
        <v>326</v>
      </c>
      <c r="D103" s="59"/>
      <c r="E103" s="162">
        <v>44469</v>
      </c>
      <c r="F103" s="162">
        <v>44561</v>
      </c>
      <c r="G103" s="162">
        <v>44651</v>
      </c>
      <c r="H103" s="162">
        <v>44742</v>
      </c>
      <c r="I103" s="162">
        <v>44834</v>
      </c>
      <c r="J103" s="162">
        <v>44926</v>
      </c>
      <c r="K103" s="162">
        <v>45016</v>
      </c>
      <c r="L103" s="162">
        <v>45107</v>
      </c>
      <c r="M103" s="162">
        <v>45199</v>
      </c>
      <c r="N103" s="162">
        <v>45291</v>
      </c>
      <c r="O103" s="162">
        <v>45382</v>
      </c>
      <c r="P103" s="162">
        <v>45473</v>
      </c>
      <c r="U103" s="217">
        <v>1</v>
      </c>
    </row>
    <row r="104" spans="2:21">
      <c r="B104" s="62" t="s">
        <v>445</v>
      </c>
      <c r="C104" s="61" t="s">
        <v>272</v>
      </c>
      <c r="D104" s="59"/>
      <c r="E104" s="72"/>
      <c r="F104" s="72"/>
      <c r="G104" s="183"/>
      <c r="H104" s="183"/>
      <c r="I104" s="183"/>
      <c r="J104" s="183"/>
      <c r="K104" s="183"/>
      <c r="L104" s="183"/>
      <c r="M104" s="183"/>
      <c r="N104" s="183"/>
      <c r="O104" s="183"/>
      <c r="P104" s="183"/>
      <c r="U104" s="217">
        <v>1</v>
      </c>
    </row>
    <row r="105" spans="2:21">
      <c r="B105" s="47" t="s">
        <v>3</v>
      </c>
      <c r="C105" s="61" t="s">
        <v>22</v>
      </c>
      <c r="D105" s="59"/>
      <c r="E105" s="63">
        <v>291.90000000000003</v>
      </c>
      <c r="F105" s="63">
        <v>370.1</v>
      </c>
      <c r="G105" s="63">
        <v>354.8</v>
      </c>
      <c r="H105" s="63">
        <v>359.5</v>
      </c>
      <c r="I105" s="63">
        <v>261</v>
      </c>
      <c r="J105" s="63">
        <v>431.5</v>
      </c>
      <c r="K105" s="63">
        <v>361.7</v>
      </c>
      <c r="L105" s="63">
        <v>187.6</v>
      </c>
      <c r="M105" s="63">
        <v>174.6</v>
      </c>
      <c r="N105" s="188">
        <v>139.6</v>
      </c>
      <c r="O105" s="188">
        <v>160.6</v>
      </c>
      <c r="P105" s="188">
        <v>201.70000000000002</v>
      </c>
      <c r="U105" s="218">
        <f t="shared" ref="U105:U133" si="15">IF(COUNT(E105:P105)&lt;&gt;0,1,"")</f>
        <v>1</v>
      </c>
    </row>
    <row r="106" spans="2:21">
      <c r="B106" s="47" t="s">
        <v>4</v>
      </c>
      <c r="C106" s="61" t="s">
        <v>23</v>
      </c>
      <c r="D106" s="59"/>
      <c r="E106" s="63">
        <v>248.5</v>
      </c>
      <c r="F106" s="63">
        <v>327.7</v>
      </c>
      <c r="G106" s="63">
        <v>312.40000000000003</v>
      </c>
      <c r="H106" s="63">
        <v>316.7</v>
      </c>
      <c r="I106" s="63">
        <v>219.6</v>
      </c>
      <c r="J106" s="63">
        <v>388.7</v>
      </c>
      <c r="K106" s="63">
        <v>317</v>
      </c>
      <c r="L106" s="63">
        <v>139.5</v>
      </c>
      <c r="M106" s="63">
        <v>129</v>
      </c>
      <c r="N106" s="188">
        <v>93.7</v>
      </c>
      <c r="O106" s="188">
        <v>114.9</v>
      </c>
      <c r="P106" s="188">
        <v>157.4</v>
      </c>
      <c r="U106" s="218">
        <f t="shared" si="15"/>
        <v>1</v>
      </c>
    </row>
    <row r="107" spans="2:21">
      <c r="B107" s="47" t="s">
        <v>446</v>
      </c>
      <c r="C107" s="61" t="s">
        <v>447</v>
      </c>
      <c r="D107" s="59"/>
      <c r="E107" s="63">
        <v>264.2</v>
      </c>
      <c r="F107" s="63">
        <v>343.2</v>
      </c>
      <c r="G107" s="63">
        <v>327.8</v>
      </c>
      <c r="H107" s="63">
        <v>332</v>
      </c>
      <c r="I107" s="63">
        <v>234.6</v>
      </c>
      <c r="J107" s="63">
        <v>403.6</v>
      </c>
      <c r="K107" s="63">
        <v>333</v>
      </c>
      <c r="L107" s="63">
        <v>155.6</v>
      </c>
      <c r="M107" s="63">
        <v>145.20000000000002</v>
      </c>
      <c r="N107" s="188">
        <v>109.7</v>
      </c>
      <c r="O107" s="188">
        <v>131.30000000000001</v>
      </c>
      <c r="P107" s="188">
        <v>173.8</v>
      </c>
      <c r="U107" s="218">
        <f t="shared" si="15"/>
        <v>1</v>
      </c>
    </row>
    <row r="108" spans="2:21">
      <c r="B108" s="47" t="s">
        <v>448</v>
      </c>
      <c r="C108" s="61" t="s">
        <v>449</v>
      </c>
      <c r="D108" s="59"/>
      <c r="E108" s="63">
        <v>301.40000000000003</v>
      </c>
      <c r="F108" s="63" t="s">
        <v>301</v>
      </c>
      <c r="G108" s="63">
        <v>365</v>
      </c>
      <c r="H108" s="63">
        <v>368.7</v>
      </c>
      <c r="I108" s="63">
        <v>271.3</v>
      </c>
      <c r="J108" s="63" t="s">
        <v>301</v>
      </c>
      <c r="K108" s="63">
        <v>372.5</v>
      </c>
      <c r="L108" s="63">
        <v>198.5</v>
      </c>
      <c r="M108" s="63">
        <v>186.8</v>
      </c>
      <c r="N108" s="188" t="s">
        <v>301</v>
      </c>
      <c r="O108" s="188">
        <v>172.70000000000002</v>
      </c>
      <c r="P108" s="188">
        <v>213.20000000000002</v>
      </c>
      <c r="U108" s="218">
        <f t="shared" si="15"/>
        <v>1</v>
      </c>
    </row>
    <row r="109" spans="2:21">
      <c r="B109" s="47" t="s">
        <v>1770</v>
      </c>
      <c r="C109" s="61">
        <v>274367</v>
      </c>
      <c r="D109" s="59"/>
      <c r="E109" s="63" t="s">
        <v>301</v>
      </c>
      <c r="F109" s="63" t="s">
        <v>301</v>
      </c>
      <c r="G109" s="63" t="s">
        <v>301</v>
      </c>
      <c r="H109" s="63" t="s">
        <v>301</v>
      </c>
      <c r="I109" s="63" t="s">
        <v>301</v>
      </c>
      <c r="J109" s="63" t="s">
        <v>301</v>
      </c>
      <c r="K109" s="63" t="s">
        <v>301</v>
      </c>
      <c r="L109" s="63" t="s">
        <v>301</v>
      </c>
      <c r="M109" s="63" t="s">
        <v>301</v>
      </c>
      <c r="N109" s="189" t="s">
        <v>301</v>
      </c>
      <c r="O109" s="189" t="s">
        <v>301</v>
      </c>
      <c r="P109" s="189" t="s">
        <v>301</v>
      </c>
      <c r="U109" s="218" t="str">
        <f t="shared" si="15"/>
        <v/>
      </c>
    </row>
    <row r="110" spans="2:21">
      <c r="B110" s="47" t="s">
        <v>450</v>
      </c>
      <c r="C110" s="61" t="s">
        <v>451</v>
      </c>
      <c r="D110" s="59"/>
      <c r="E110" s="63" t="s">
        <v>301</v>
      </c>
      <c r="F110" s="63" t="s">
        <v>301</v>
      </c>
      <c r="G110" s="63" t="s">
        <v>301</v>
      </c>
      <c r="H110" s="63" t="s">
        <v>301</v>
      </c>
      <c r="I110" s="63" t="s">
        <v>301</v>
      </c>
      <c r="J110" s="63" t="s">
        <v>301</v>
      </c>
      <c r="K110" s="63" t="s">
        <v>301</v>
      </c>
      <c r="L110" s="63" t="s">
        <v>301</v>
      </c>
      <c r="M110" s="63" t="s">
        <v>301</v>
      </c>
      <c r="N110" s="188" t="s">
        <v>301</v>
      </c>
      <c r="O110" s="188" t="s">
        <v>301</v>
      </c>
      <c r="P110" s="188" t="s">
        <v>301</v>
      </c>
      <c r="U110" s="218" t="str">
        <f t="shared" si="15"/>
        <v/>
      </c>
    </row>
    <row r="111" spans="2:21">
      <c r="B111" s="47" t="s">
        <v>452</v>
      </c>
      <c r="C111" s="61" t="s">
        <v>453</v>
      </c>
      <c r="D111" s="59"/>
      <c r="E111" s="63" t="s">
        <v>301</v>
      </c>
      <c r="F111" s="63" t="s">
        <v>301</v>
      </c>
      <c r="G111" s="63" t="s">
        <v>301</v>
      </c>
      <c r="H111" s="63" t="s">
        <v>301</v>
      </c>
      <c r="I111" s="63" t="s">
        <v>301</v>
      </c>
      <c r="J111" s="63" t="s">
        <v>301</v>
      </c>
      <c r="K111" s="63" t="s">
        <v>301</v>
      </c>
      <c r="L111" s="63" t="s">
        <v>301</v>
      </c>
      <c r="M111" s="63" t="s">
        <v>301</v>
      </c>
      <c r="N111" s="188" t="s">
        <v>301</v>
      </c>
      <c r="O111" s="188" t="s">
        <v>301</v>
      </c>
      <c r="P111" s="188" t="s">
        <v>301</v>
      </c>
      <c r="U111" s="218" t="str">
        <f t="shared" si="15"/>
        <v/>
      </c>
    </row>
    <row r="112" spans="2:21">
      <c r="B112" s="47" t="s">
        <v>1615</v>
      </c>
      <c r="C112" s="61" t="s">
        <v>1616</v>
      </c>
      <c r="D112" s="59"/>
      <c r="E112" s="187">
        <v>5.08</v>
      </c>
      <c r="F112" s="187">
        <v>7.0380000000000003</v>
      </c>
      <c r="G112" s="187">
        <v>15.718999999999999</v>
      </c>
      <c r="H112" s="187">
        <v>27.809000000000001</v>
      </c>
      <c r="I112" s="187">
        <v>21.114000000000001</v>
      </c>
      <c r="J112" s="187">
        <v>3.51</v>
      </c>
      <c r="K112" s="187">
        <v>16.539000000000001</v>
      </c>
      <c r="L112" s="187">
        <v>14.58</v>
      </c>
      <c r="M112" s="187">
        <v>85.625</v>
      </c>
      <c r="N112" s="187">
        <v>2758.0650000000001</v>
      </c>
      <c r="O112" s="187" t="s">
        <v>321</v>
      </c>
      <c r="P112" s="187">
        <v>5518.1819999999998</v>
      </c>
      <c r="U112" s="218">
        <f t="shared" si="15"/>
        <v>1</v>
      </c>
    </row>
    <row r="113" spans="2:21">
      <c r="B113" s="47" t="s">
        <v>1617</v>
      </c>
      <c r="C113" s="61" t="s">
        <v>1618</v>
      </c>
      <c r="D113" s="59"/>
      <c r="E113" s="187">
        <v>38.76</v>
      </c>
      <c r="F113" s="187">
        <v>31.986999999999998</v>
      </c>
      <c r="G113" s="187">
        <v>32.207999999999998</v>
      </c>
      <c r="H113" s="187">
        <v>49.850999999999999</v>
      </c>
      <c r="I113" s="187">
        <v>55.289000000000001</v>
      </c>
      <c r="J113" s="187">
        <v>24.425000000000001</v>
      </c>
      <c r="K113" s="187">
        <v>37.091999999999999</v>
      </c>
      <c r="L113" s="187">
        <v>238.36099999999999</v>
      </c>
      <c r="M113" s="187" t="s">
        <v>321</v>
      </c>
      <c r="N113" s="187">
        <v>6.609</v>
      </c>
      <c r="O113" s="187" t="s">
        <v>321</v>
      </c>
      <c r="P113" s="187">
        <v>24.635999999999999</v>
      </c>
      <c r="U113" s="218">
        <f t="shared" si="15"/>
        <v>1</v>
      </c>
    </row>
    <row r="114" spans="2:21">
      <c r="B114" s="47" t="s">
        <v>454</v>
      </c>
      <c r="C114" s="61" t="s">
        <v>455</v>
      </c>
      <c r="D114" s="59"/>
      <c r="E114" s="63" t="s">
        <v>301</v>
      </c>
      <c r="F114" s="63">
        <v>-14.700000000000001</v>
      </c>
      <c r="G114" s="63" t="s">
        <v>301</v>
      </c>
      <c r="H114" s="63" t="s">
        <v>301</v>
      </c>
      <c r="I114" s="63" t="s">
        <v>301</v>
      </c>
      <c r="J114" s="63">
        <v>45.800000000000004</v>
      </c>
      <c r="K114" s="63" t="s">
        <v>301</v>
      </c>
      <c r="L114" s="63" t="s">
        <v>301</v>
      </c>
      <c r="M114" s="63" t="s">
        <v>301</v>
      </c>
      <c r="N114" s="188">
        <v>59.6</v>
      </c>
      <c r="O114" s="188" t="s">
        <v>301</v>
      </c>
      <c r="P114" s="188" t="s">
        <v>301</v>
      </c>
      <c r="U114" s="218">
        <f t="shared" si="15"/>
        <v>1</v>
      </c>
    </row>
    <row r="115" spans="2:21">
      <c r="B115" s="47" t="s">
        <v>456</v>
      </c>
      <c r="C115" s="61" t="s">
        <v>457</v>
      </c>
      <c r="D115" s="59"/>
      <c r="E115" s="63" t="s">
        <v>301</v>
      </c>
      <c r="F115" s="63">
        <v>96.600000000000009</v>
      </c>
      <c r="G115" s="63" t="s">
        <v>301</v>
      </c>
      <c r="H115" s="63" t="s">
        <v>301</v>
      </c>
      <c r="I115" s="63" t="s">
        <v>301</v>
      </c>
      <c r="J115" s="63">
        <v>152.1</v>
      </c>
      <c r="K115" s="63" t="s">
        <v>301</v>
      </c>
      <c r="L115" s="63" t="s">
        <v>301</v>
      </c>
      <c r="M115" s="63" t="s">
        <v>301</v>
      </c>
      <c r="N115" s="188">
        <v>113.9</v>
      </c>
      <c r="O115" s="188" t="s">
        <v>301</v>
      </c>
      <c r="P115" s="188" t="s">
        <v>301</v>
      </c>
      <c r="U115" s="218">
        <f t="shared" si="15"/>
        <v>1</v>
      </c>
    </row>
    <row r="116" spans="2:21">
      <c r="B116" s="47" t="s">
        <v>458</v>
      </c>
      <c r="C116" s="61" t="s">
        <v>459</v>
      </c>
      <c r="D116" s="59"/>
      <c r="E116" s="63" t="s">
        <v>301</v>
      </c>
      <c r="F116" s="63">
        <v>81.900000000000006</v>
      </c>
      <c r="G116" s="63" t="s">
        <v>301</v>
      </c>
      <c r="H116" s="63" t="s">
        <v>301</v>
      </c>
      <c r="I116" s="63" t="s">
        <v>301</v>
      </c>
      <c r="J116" s="63">
        <v>197.9</v>
      </c>
      <c r="K116" s="63" t="s">
        <v>301</v>
      </c>
      <c r="L116" s="63" t="s">
        <v>301</v>
      </c>
      <c r="M116" s="63" t="s">
        <v>301</v>
      </c>
      <c r="N116" s="188">
        <v>173.5</v>
      </c>
      <c r="O116" s="188" t="s">
        <v>301</v>
      </c>
      <c r="P116" s="188" t="s">
        <v>301</v>
      </c>
      <c r="U116" s="218">
        <f t="shared" si="15"/>
        <v>1</v>
      </c>
    </row>
    <row r="117" spans="2:21">
      <c r="B117" s="47" t="s">
        <v>460</v>
      </c>
      <c r="C117" s="61" t="s">
        <v>461</v>
      </c>
      <c r="D117" s="59"/>
      <c r="E117" s="63" t="s">
        <v>301</v>
      </c>
      <c r="F117" s="63">
        <v>17.7</v>
      </c>
      <c r="G117" s="63" t="s">
        <v>301</v>
      </c>
      <c r="H117" s="63" t="s">
        <v>301</v>
      </c>
      <c r="I117" s="63" t="s">
        <v>301</v>
      </c>
      <c r="J117" s="63">
        <v>-25.3</v>
      </c>
      <c r="K117" s="63" t="s">
        <v>301</v>
      </c>
      <c r="L117" s="63" t="s">
        <v>301</v>
      </c>
      <c r="M117" s="63" t="s">
        <v>301</v>
      </c>
      <c r="N117" s="188">
        <v>-80.8</v>
      </c>
      <c r="O117" s="188" t="s">
        <v>301</v>
      </c>
      <c r="P117" s="188" t="s">
        <v>301</v>
      </c>
      <c r="U117" s="218">
        <f t="shared" si="15"/>
        <v>1</v>
      </c>
    </row>
    <row r="118" spans="2:21">
      <c r="B118" s="47" t="s">
        <v>462</v>
      </c>
      <c r="C118" s="61" t="s">
        <v>463</v>
      </c>
      <c r="D118" s="59"/>
      <c r="E118" s="63" t="s">
        <v>301</v>
      </c>
      <c r="F118" s="63">
        <v>-7.1000000000000005</v>
      </c>
      <c r="G118" s="63" t="s">
        <v>301</v>
      </c>
      <c r="H118" s="63" t="s">
        <v>301</v>
      </c>
      <c r="I118" s="63" t="s">
        <v>301</v>
      </c>
      <c r="J118" s="63">
        <v>-27.400000000000002</v>
      </c>
      <c r="K118" s="63" t="s">
        <v>301</v>
      </c>
      <c r="L118" s="63" t="s">
        <v>301</v>
      </c>
      <c r="M118" s="63" t="s">
        <v>301</v>
      </c>
      <c r="N118" s="188">
        <v>-1212</v>
      </c>
      <c r="O118" s="188" t="s">
        <v>301</v>
      </c>
      <c r="P118" s="188" t="s">
        <v>301</v>
      </c>
      <c r="U118" s="218">
        <f t="shared" si="15"/>
        <v>1</v>
      </c>
    </row>
    <row r="119" spans="2:21">
      <c r="B119" s="47" t="s">
        <v>464</v>
      </c>
      <c r="C119" s="61" t="s">
        <v>465</v>
      </c>
      <c r="D119" s="59"/>
      <c r="E119" s="63" t="s">
        <v>301</v>
      </c>
      <c r="F119" s="63">
        <v>10.6</v>
      </c>
      <c r="G119" s="63" t="s">
        <v>301</v>
      </c>
      <c r="H119" s="63" t="s">
        <v>301</v>
      </c>
      <c r="I119" s="63" t="s">
        <v>301</v>
      </c>
      <c r="J119" s="63">
        <v>-52.7</v>
      </c>
      <c r="K119" s="63" t="s">
        <v>301</v>
      </c>
      <c r="L119" s="63" t="s">
        <v>301</v>
      </c>
      <c r="M119" s="63" t="s">
        <v>301</v>
      </c>
      <c r="N119" s="188">
        <v>-1292.8</v>
      </c>
      <c r="O119" s="188" t="s">
        <v>301</v>
      </c>
      <c r="P119" s="188" t="s">
        <v>301</v>
      </c>
      <c r="U119" s="218">
        <f t="shared" si="15"/>
        <v>1</v>
      </c>
    </row>
    <row r="120" spans="2:21">
      <c r="B120" s="47" t="s">
        <v>1619</v>
      </c>
      <c r="C120" s="61" t="s">
        <v>2266</v>
      </c>
      <c r="D120" s="59"/>
      <c r="E120" s="63" t="s">
        <v>301</v>
      </c>
      <c r="F120" s="63" t="s">
        <v>301</v>
      </c>
      <c r="G120" s="63" t="s">
        <v>301</v>
      </c>
      <c r="H120" s="63" t="s">
        <v>301</v>
      </c>
      <c r="I120" s="63" t="s">
        <v>301</v>
      </c>
      <c r="J120" s="63" t="s">
        <v>301</v>
      </c>
      <c r="K120" s="63" t="s">
        <v>301</v>
      </c>
      <c r="L120" s="63" t="s">
        <v>301</v>
      </c>
      <c r="M120" s="63" t="s">
        <v>301</v>
      </c>
      <c r="N120" s="188" t="s">
        <v>301</v>
      </c>
      <c r="O120" s="188" t="s">
        <v>301</v>
      </c>
      <c r="P120" s="188" t="s">
        <v>301</v>
      </c>
      <c r="U120" s="218" t="str">
        <f t="shared" si="15"/>
        <v/>
      </c>
    </row>
    <row r="121" spans="2:21">
      <c r="B121" s="47" t="s">
        <v>466</v>
      </c>
      <c r="C121" s="61" t="s">
        <v>467</v>
      </c>
      <c r="D121" s="59"/>
      <c r="E121" s="63">
        <v>132.125</v>
      </c>
      <c r="F121" s="63">
        <v>190.08750000000001</v>
      </c>
      <c r="G121" s="63">
        <v>172.36250000000001</v>
      </c>
      <c r="H121" s="63">
        <v>178.875</v>
      </c>
      <c r="I121" s="63">
        <v>113.825</v>
      </c>
      <c r="J121" s="63">
        <v>208.4375</v>
      </c>
      <c r="K121" s="63">
        <v>166.1</v>
      </c>
      <c r="L121" s="63">
        <v>44.975000000000001</v>
      </c>
      <c r="M121" s="63">
        <v>40.450000000000003</v>
      </c>
      <c r="N121" s="188">
        <v>-21.775000000000002</v>
      </c>
      <c r="O121" s="188">
        <v>33.65</v>
      </c>
      <c r="P121" s="188">
        <v>58.524999999999999</v>
      </c>
      <c r="U121" s="218">
        <f t="shared" si="15"/>
        <v>1</v>
      </c>
    </row>
    <row r="122" spans="2:21">
      <c r="B122" s="47" t="s">
        <v>1771</v>
      </c>
      <c r="C122" s="61" t="s">
        <v>1772</v>
      </c>
      <c r="D122" s="59"/>
      <c r="E122" s="63" t="s">
        <v>301</v>
      </c>
      <c r="F122" s="63" t="s">
        <v>301</v>
      </c>
      <c r="G122" s="63" t="s">
        <v>301</v>
      </c>
      <c r="H122" s="63" t="s">
        <v>301</v>
      </c>
      <c r="I122" s="63" t="s">
        <v>301</v>
      </c>
      <c r="J122" s="63" t="s">
        <v>301</v>
      </c>
      <c r="K122" s="63" t="s">
        <v>301</v>
      </c>
      <c r="L122" s="63" t="s">
        <v>301</v>
      </c>
      <c r="M122" s="63" t="s">
        <v>301</v>
      </c>
      <c r="N122" s="188" t="s">
        <v>301</v>
      </c>
      <c r="O122" s="188" t="s">
        <v>301</v>
      </c>
      <c r="P122" s="188" t="s">
        <v>301</v>
      </c>
      <c r="U122" s="218" t="str">
        <f t="shared" si="15"/>
        <v/>
      </c>
    </row>
    <row r="123" spans="2:21">
      <c r="B123" s="47" t="s">
        <v>468</v>
      </c>
      <c r="C123" s="61" t="s">
        <v>469</v>
      </c>
      <c r="D123" s="59"/>
      <c r="E123" s="63" t="s">
        <v>301</v>
      </c>
      <c r="F123" s="63" t="s">
        <v>301</v>
      </c>
      <c r="G123" s="63" t="s">
        <v>301</v>
      </c>
      <c r="H123" s="63" t="s">
        <v>301</v>
      </c>
      <c r="I123" s="63" t="s">
        <v>301</v>
      </c>
      <c r="J123" s="63" t="s">
        <v>301</v>
      </c>
      <c r="K123" s="63" t="s">
        <v>301</v>
      </c>
      <c r="L123" s="63" t="s">
        <v>301</v>
      </c>
      <c r="M123" s="63" t="s">
        <v>301</v>
      </c>
      <c r="N123" s="188" t="s">
        <v>301</v>
      </c>
      <c r="O123" s="188" t="s">
        <v>301</v>
      </c>
      <c r="P123" s="188" t="s">
        <v>301</v>
      </c>
      <c r="U123" s="218" t="str">
        <f t="shared" si="15"/>
        <v/>
      </c>
    </row>
    <row r="124" spans="2:21">
      <c r="B124" s="47" t="s">
        <v>470</v>
      </c>
      <c r="C124" s="61" t="s">
        <v>471</v>
      </c>
      <c r="D124" s="59"/>
      <c r="E124" s="63" t="s">
        <v>301</v>
      </c>
      <c r="F124" s="63" t="s">
        <v>301</v>
      </c>
      <c r="G124" s="63" t="s">
        <v>301</v>
      </c>
      <c r="H124" s="63" t="s">
        <v>301</v>
      </c>
      <c r="I124" s="63" t="s">
        <v>301</v>
      </c>
      <c r="J124" s="63" t="s">
        <v>301</v>
      </c>
      <c r="K124" s="63" t="s">
        <v>301</v>
      </c>
      <c r="L124" s="63" t="s">
        <v>301</v>
      </c>
      <c r="M124" s="63" t="s">
        <v>301</v>
      </c>
      <c r="N124" s="188" t="s">
        <v>301</v>
      </c>
      <c r="O124" s="188" t="s">
        <v>301</v>
      </c>
      <c r="P124" s="188" t="s">
        <v>301</v>
      </c>
      <c r="U124" s="218" t="str">
        <f t="shared" si="15"/>
        <v/>
      </c>
    </row>
    <row r="125" spans="2:21">
      <c r="B125" s="47" t="s">
        <v>472</v>
      </c>
      <c r="C125" s="61" t="s">
        <v>473</v>
      </c>
      <c r="D125" s="59"/>
      <c r="E125" s="63">
        <v>1.7</v>
      </c>
      <c r="F125" s="63" t="s">
        <v>301</v>
      </c>
      <c r="G125" s="63">
        <v>4.4000000000000004</v>
      </c>
      <c r="H125" s="63">
        <v>4.0999999999999996</v>
      </c>
      <c r="I125" s="63">
        <v>-1.5</v>
      </c>
      <c r="J125" s="63" t="s">
        <v>301</v>
      </c>
      <c r="K125" s="63">
        <v>4.7</v>
      </c>
      <c r="L125" s="63">
        <v>4.6000000000000005</v>
      </c>
      <c r="M125" s="63">
        <v>4.5</v>
      </c>
      <c r="N125" s="188" t="s">
        <v>301</v>
      </c>
      <c r="O125" s="188">
        <v>4.3</v>
      </c>
      <c r="P125" s="188">
        <v>4.3</v>
      </c>
      <c r="U125" s="218">
        <f t="shared" si="15"/>
        <v>1</v>
      </c>
    </row>
    <row r="126" spans="2:21">
      <c r="B126" s="47" t="s">
        <v>474</v>
      </c>
      <c r="C126" s="61" t="s">
        <v>475</v>
      </c>
      <c r="D126" s="59"/>
      <c r="E126" s="63" t="s">
        <v>301</v>
      </c>
      <c r="F126" s="63" t="s">
        <v>301</v>
      </c>
      <c r="G126" s="63" t="s">
        <v>301</v>
      </c>
      <c r="H126" s="63" t="s">
        <v>301</v>
      </c>
      <c r="I126" s="63" t="s">
        <v>301</v>
      </c>
      <c r="J126" s="63" t="s">
        <v>301</v>
      </c>
      <c r="K126" s="63" t="s">
        <v>301</v>
      </c>
      <c r="L126" s="63" t="s">
        <v>301</v>
      </c>
      <c r="M126" s="63" t="s">
        <v>301</v>
      </c>
      <c r="N126" s="188" t="s">
        <v>301</v>
      </c>
      <c r="O126" s="188" t="s">
        <v>301</v>
      </c>
      <c r="P126" s="188" t="s">
        <v>301</v>
      </c>
      <c r="U126" s="218" t="str">
        <f t="shared" si="15"/>
        <v/>
      </c>
    </row>
    <row r="127" spans="2:21">
      <c r="B127" s="47" t="s">
        <v>1773</v>
      </c>
      <c r="C127" s="61" t="s">
        <v>1621</v>
      </c>
      <c r="D127" s="59"/>
      <c r="E127" s="63" t="s">
        <v>301</v>
      </c>
      <c r="F127" s="63" t="s">
        <v>301</v>
      </c>
      <c r="G127" s="63" t="s">
        <v>301</v>
      </c>
      <c r="H127" s="63" t="s">
        <v>301</v>
      </c>
      <c r="I127" s="63" t="s">
        <v>301</v>
      </c>
      <c r="J127" s="63" t="s">
        <v>301</v>
      </c>
      <c r="K127" s="63" t="s">
        <v>301</v>
      </c>
      <c r="L127" s="63" t="s">
        <v>301</v>
      </c>
      <c r="M127" s="63" t="s">
        <v>301</v>
      </c>
      <c r="N127" s="188" t="s">
        <v>301</v>
      </c>
      <c r="O127" s="188" t="s">
        <v>301</v>
      </c>
      <c r="P127" s="188" t="s">
        <v>301</v>
      </c>
      <c r="U127" s="218" t="str">
        <f t="shared" si="15"/>
        <v/>
      </c>
    </row>
    <row r="128" spans="2:21">
      <c r="B128" s="47" t="s">
        <v>437</v>
      </c>
      <c r="C128" s="61" t="s">
        <v>438</v>
      </c>
      <c r="D128" s="59"/>
      <c r="E128" s="63" t="s">
        <v>301</v>
      </c>
      <c r="F128" s="63" t="s">
        <v>301</v>
      </c>
      <c r="G128" s="63" t="s">
        <v>301</v>
      </c>
      <c r="H128" s="63" t="s">
        <v>301</v>
      </c>
      <c r="I128" s="63" t="s">
        <v>301</v>
      </c>
      <c r="J128" s="63" t="s">
        <v>301</v>
      </c>
      <c r="K128" s="63" t="s">
        <v>301</v>
      </c>
      <c r="L128" s="63" t="s">
        <v>301</v>
      </c>
      <c r="M128" s="63" t="s">
        <v>301</v>
      </c>
      <c r="N128" s="188" t="s">
        <v>301</v>
      </c>
      <c r="O128" s="188" t="s">
        <v>301</v>
      </c>
      <c r="P128" s="188" t="s">
        <v>301</v>
      </c>
      <c r="U128" s="218" t="str">
        <f t="shared" si="15"/>
        <v/>
      </c>
    </row>
    <row r="129" spans="2:21">
      <c r="B129" s="47" t="s">
        <v>439</v>
      </c>
      <c r="C129" s="61" t="s">
        <v>440</v>
      </c>
      <c r="D129" s="59"/>
      <c r="E129" s="63" t="s">
        <v>301</v>
      </c>
      <c r="F129" s="63" t="s">
        <v>301</v>
      </c>
      <c r="G129" s="63" t="s">
        <v>301</v>
      </c>
      <c r="H129" s="63" t="s">
        <v>301</v>
      </c>
      <c r="I129" s="63" t="s">
        <v>301</v>
      </c>
      <c r="J129" s="63" t="s">
        <v>301</v>
      </c>
      <c r="K129" s="63" t="s">
        <v>301</v>
      </c>
      <c r="L129" s="63" t="s">
        <v>301</v>
      </c>
      <c r="M129" s="63" t="s">
        <v>301</v>
      </c>
      <c r="N129" s="188" t="s">
        <v>301</v>
      </c>
      <c r="O129" s="188" t="s">
        <v>301</v>
      </c>
      <c r="P129" s="188" t="s">
        <v>301</v>
      </c>
      <c r="U129" s="218" t="str">
        <f t="shared" si="15"/>
        <v/>
      </c>
    </row>
    <row r="130" spans="2:21" ht="20.399999999999999">
      <c r="B130" s="191" t="s">
        <v>1774</v>
      </c>
      <c r="C130" s="61" t="s">
        <v>1775</v>
      </c>
      <c r="D130" s="59"/>
      <c r="E130" s="63" t="s">
        <v>301</v>
      </c>
      <c r="F130" s="63" t="s">
        <v>301</v>
      </c>
      <c r="G130" s="63" t="s">
        <v>301</v>
      </c>
      <c r="H130" s="63" t="s">
        <v>301</v>
      </c>
      <c r="I130" s="63" t="s">
        <v>301</v>
      </c>
      <c r="J130" s="63" t="s">
        <v>301</v>
      </c>
      <c r="K130" s="63" t="s">
        <v>301</v>
      </c>
      <c r="L130" s="63" t="s">
        <v>301</v>
      </c>
      <c r="M130" s="63" t="s">
        <v>301</v>
      </c>
      <c r="N130" s="188" t="s">
        <v>301</v>
      </c>
      <c r="O130" s="188" t="s">
        <v>301</v>
      </c>
      <c r="P130" s="188" t="s">
        <v>301</v>
      </c>
      <c r="U130" s="218" t="str">
        <f t="shared" si="15"/>
        <v/>
      </c>
    </row>
    <row r="131" spans="2:21">
      <c r="B131" s="47" t="s">
        <v>1776</v>
      </c>
      <c r="C131" s="61" t="s">
        <v>441</v>
      </c>
      <c r="D131" s="59"/>
      <c r="E131" s="187">
        <v>0.48</v>
      </c>
      <c r="F131" s="187">
        <v>0.53</v>
      </c>
      <c r="G131" s="187">
        <v>0.53</v>
      </c>
      <c r="H131" s="187">
        <v>0.53</v>
      </c>
      <c r="I131" s="187">
        <v>0.53</v>
      </c>
      <c r="J131" s="187">
        <v>0.57999999999999996</v>
      </c>
      <c r="K131" s="187">
        <v>0.57999999999999996</v>
      </c>
      <c r="L131" s="187">
        <v>0.57999999999999996</v>
      </c>
      <c r="M131" s="187">
        <v>0.57999999999999996</v>
      </c>
      <c r="N131" s="187">
        <v>0.57999999999999996</v>
      </c>
      <c r="O131" s="187">
        <v>0.57999999999999996</v>
      </c>
      <c r="P131" s="187">
        <v>0.57999999999999996</v>
      </c>
      <c r="U131" s="218">
        <f t="shared" si="15"/>
        <v>1</v>
      </c>
    </row>
    <row r="132" spans="2:21">
      <c r="B132" s="47" t="s">
        <v>1615</v>
      </c>
      <c r="C132" s="61" t="s">
        <v>1616</v>
      </c>
      <c r="D132" s="59"/>
      <c r="E132" s="187">
        <v>5.08</v>
      </c>
      <c r="F132" s="187">
        <v>7.0380000000000003</v>
      </c>
      <c r="G132" s="187">
        <v>15.718999999999999</v>
      </c>
      <c r="H132" s="187">
        <v>27.809000000000001</v>
      </c>
      <c r="I132" s="187">
        <v>21.114000000000001</v>
      </c>
      <c r="J132" s="187">
        <v>3.51</v>
      </c>
      <c r="K132" s="187">
        <v>16.539000000000001</v>
      </c>
      <c r="L132" s="187">
        <v>14.58</v>
      </c>
      <c r="M132" s="187">
        <v>85.625</v>
      </c>
      <c r="N132" s="187">
        <v>2758.0650000000001</v>
      </c>
      <c r="O132" s="187" t="s">
        <v>321</v>
      </c>
      <c r="P132" s="187">
        <v>5518.1819999999998</v>
      </c>
      <c r="U132" s="218">
        <f t="shared" si="15"/>
        <v>1</v>
      </c>
    </row>
    <row r="133" spans="2:21">
      <c r="B133" s="47" t="s">
        <v>1617</v>
      </c>
      <c r="C133" s="61" t="s">
        <v>1618</v>
      </c>
      <c r="D133" s="59"/>
      <c r="E133" s="187">
        <v>38.76</v>
      </c>
      <c r="F133" s="187">
        <v>31.986999999999998</v>
      </c>
      <c r="G133" s="187">
        <v>32.207999999999998</v>
      </c>
      <c r="H133" s="187">
        <v>49.850999999999999</v>
      </c>
      <c r="I133" s="187">
        <v>55.289000000000001</v>
      </c>
      <c r="J133" s="187">
        <v>24.425000000000001</v>
      </c>
      <c r="K133" s="187">
        <v>37.091999999999999</v>
      </c>
      <c r="L133" s="187">
        <v>238.36099999999999</v>
      </c>
      <c r="M133" s="187" t="s">
        <v>321</v>
      </c>
      <c r="N133" s="187">
        <v>6.609</v>
      </c>
      <c r="O133" s="187" t="s">
        <v>321</v>
      </c>
      <c r="P133" s="187">
        <v>24.635999999999999</v>
      </c>
      <c r="U133" s="218">
        <f t="shared" si="15"/>
        <v>1</v>
      </c>
    </row>
    <row r="134" spans="2:21">
      <c r="B134" s="47"/>
      <c r="C134" s="61"/>
      <c r="D134" s="59"/>
      <c r="E134" s="63"/>
      <c r="F134" s="63"/>
      <c r="G134" s="63"/>
      <c r="H134" s="63"/>
      <c r="I134" s="63"/>
      <c r="J134" s="63"/>
      <c r="K134" s="63"/>
      <c r="L134" s="63"/>
      <c r="M134" s="63"/>
      <c r="N134" s="183"/>
      <c r="O134" s="183"/>
      <c r="P134" s="183"/>
      <c r="U134" s="217">
        <v>1</v>
      </c>
    </row>
    <row r="135" spans="2:21">
      <c r="B135" s="62" t="s">
        <v>1777</v>
      </c>
      <c r="C135" s="61"/>
      <c r="D135" s="59"/>
      <c r="E135" s="72"/>
      <c r="F135" s="72"/>
      <c r="G135" s="183"/>
      <c r="H135" s="183"/>
      <c r="I135" s="183"/>
      <c r="J135" s="183"/>
      <c r="K135" s="183"/>
      <c r="L135" s="183"/>
      <c r="M135" s="183"/>
      <c r="N135" s="183"/>
      <c r="O135" s="183"/>
      <c r="P135" s="183"/>
      <c r="U135" s="217">
        <v>1</v>
      </c>
    </row>
    <row r="136" spans="2:21">
      <c r="B136" s="47" t="s">
        <v>482</v>
      </c>
      <c r="C136" s="61" t="s">
        <v>483</v>
      </c>
      <c r="D136" s="59"/>
      <c r="E136" s="63" t="s">
        <v>301</v>
      </c>
      <c r="F136" s="63" t="s">
        <v>301</v>
      </c>
      <c r="G136" s="63" t="s">
        <v>301</v>
      </c>
      <c r="H136" s="63" t="s">
        <v>301</v>
      </c>
      <c r="I136" s="63" t="s">
        <v>301</v>
      </c>
      <c r="J136" s="63" t="s">
        <v>301</v>
      </c>
      <c r="K136" s="63" t="s">
        <v>301</v>
      </c>
      <c r="L136" s="63" t="s">
        <v>301</v>
      </c>
      <c r="M136" s="63" t="s">
        <v>301</v>
      </c>
      <c r="N136" s="63" t="s">
        <v>301</v>
      </c>
      <c r="O136" s="63" t="s">
        <v>301</v>
      </c>
      <c r="P136" s="63" t="s">
        <v>301</v>
      </c>
      <c r="U136" s="218" t="str">
        <f t="shared" ref="U136:U173" si="16">IF(COUNT(E136:P136)&lt;&gt;0,1,"")</f>
        <v/>
      </c>
    </row>
    <row r="137" spans="2:21">
      <c r="B137" s="47" t="s">
        <v>484</v>
      </c>
      <c r="C137" s="61" t="s">
        <v>485</v>
      </c>
      <c r="D137" s="59"/>
      <c r="E137" s="63" t="s">
        <v>301</v>
      </c>
      <c r="F137" s="63" t="s">
        <v>301</v>
      </c>
      <c r="G137" s="63" t="s">
        <v>301</v>
      </c>
      <c r="H137" s="63" t="s">
        <v>301</v>
      </c>
      <c r="I137" s="63" t="s">
        <v>301</v>
      </c>
      <c r="J137" s="63" t="s">
        <v>301</v>
      </c>
      <c r="K137" s="63" t="s">
        <v>301</v>
      </c>
      <c r="L137" s="63" t="s">
        <v>301</v>
      </c>
      <c r="M137" s="63" t="s">
        <v>301</v>
      </c>
      <c r="N137" s="63" t="s">
        <v>301</v>
      </c>
      <c r="O137" s="63" t="s">
        <v>301</v>
      </c>
      <c r="P137" s="63" t="s">
        <v>301</v>
      </c>
      <c r="U137" s="218" t="str">
        <f t="shared" si="16"/>
        <v/>
      </c>
    </row>
    <row r="138" spans="2:21">
      <c r="B138" s="47" t="s">
        <v>1670</v>
      </c>
      <c r="C138" s="61" t="s">
        <v>486</v>
      </c>
      <c r="D138" s="59"/>
      <c r="E138" s="63" t="s">
        <v>301</v>
      </c>
      <c r="F138" s="63" t="s">
        <v>301</v>
      </c>
      <c r="G138" s="63" t="s">
        <v>301</v>
      </c>
      <c r="H138" s="63" t="s">
        <v>301</v>
      </c>
      <c r="I138" s="63" t="s">
        <v>301</v>
      </c>
      <c r="J138" s="63" t="s">
        <v>301</v>
      </c>
      <c r="K138" s="63" t="s">
        <v>301</v>
      </c>
      <c r="L138" s="63" t="s">
        <v>301</v>
      </c>
      <c r="M138" s="63" t="s">
        <v>301</v>
      </c>
      <c r="N138" s="63" t="s">
        <v>301</v>
      </c>
      <c r="O138" s="63" t="s">
        <v>301</v>
      </c>
      <c r="P138" s="63" t="s">
        <v>301</v>
      </c>
      <c r="U138" s="218" t="str">
        <f t="shared" si="16"/>
        <v/>
      </c>
    </row>
    <row r="139" spans="2:21">
      <c r="B139" s="47" t="s">
        <v>487</v>
      </c>
      <c r="C139" s="61" t="s">
        <v>488</v>
      </c>
      <c r="D139" s="59"/>
      <c r="E139" s="63" t="s">
        <v>301</v>
      </c>
      <c r="F139" s="63" t="s">
        <v>301</v>
      </c>
      <c r="G139" s="63" t="s">
        <v>301</v>
      </c>
      <c r="H139" s="63" t="s">
        <v>301</v>
      </c>
      <c r="I139" s="63" t="s">
        <v>301</v>
      </c>
      <c r="J139" s="63" t="s">
        <v>301</v>
      </c>
      <c r="K139" s="63" t="s">
        <v>301</v>
      </c>
      <c r="L139" s="63" t="s">
        <v>301</v>
      </c>
      <c r="M139" s="63" t="s">
        <v>301</v>
      </c>
      <c r="N139" s="63" t="s">
        <v>301</v>
      </c>
      <c r="O139" s="63" t="s">
        <v>301</v>
      </c>
      <c r="P139" s="63" t="s">
        <v>301</v>
      </c>
      <c r="U139" s="218" t="str">
        <f t="shared" si="16"/>
        <v/>
      </c>
    </row>
    <row r="140" spans="2:21">
      <c r="B140" s="47" t="s">
        <v>1671</v>
      </c>
      <c r="C140" s="61" t="s">
        <v>489</v>
      </c>
      <c r="D140" s="59"/>
      <c r="E140" s="63">
        <v>79.5</v>
      </c>
      <c r="F140" s="63">
        <v>85.3</v>
      </c>
      <c r="G140" s="63">
        <v>71.8</v>
      </c>
      <c r="H140" s="63">
        <v>79.5</v>
      </c>
      <c r="I140" s="63">
        <v>78.5</v>
      </c>
      <c r="J140" s="63">
        <v>84.4</v>
      </c>
      <c r="K140" s="63">
        <v>78.400000000000006</v>
      </c>
      <c r="L140" s="63">
        <v>87.7</v>
      </c>
      <c r="M140" s="63">
        <v>80.900000000000006</v>
      </c>
      <c r="N140" s="63">
        <v>81.8</v>
      </c>
      <c r="O140" s="63">
        <v>60.9</v>
      </c>
      <c r="P140" s="63">
        <v>75.900000000000006</v>
      </c>
      <c r="U140" s="218">
        <f t="shared" si="16"/>
        <v>1</v>
      </c>
    </row>
    <row r="141" spans="2:21">
      <c r="B141" s="47" t="s">
        <v>490</v>
      </c>
      <c r="C141" s="61" t="s">
        <v>491</v>
      </c>
      <c r="D141" s="59"/>
      <c r="E141" s="63">
        <v>9.5</v>
      </c>
      <c r="F141" s="63" t="s">
        <v>301</v>
      </c>
      <c r="G141" s="63">
        <v>10.200000000000001</v>
      </c>
      <c r="H141" s="63">
        <v>9.2000000000000011</v>
      </c>
      <c r="I141" s="63">
        <v>10.3</v>
      </c>
      <c r="J141" s="63" t="s">
        <v>301</v>
      </c>
      <c r="K141" s="63">
        <v>10.8</v>
      </c>
      <c r="L141" s="63">
        <v>10.9</v>
      </c>
      <c r="M141" s="63">
        <v>12.200000000000001</v>
      </c>
      <c r="N141" s="63" t="s">
        <v>301</v>
      </c>
      <c r="O141" s="63">
        <v>12.1</v>
      </c>
      <c r="P141" s="63">
        <v>11.5</v>
      </c>
      <c r="U141" s="218">
        <f t="shared" si="16"/>
        <v>1</v>
      </c>
    </row>
    <row r="142" spans="2:21">
      <c r="B142" s="47" t="s">
        <v>492</v>
      </c>
      <c r="C142" s="61" t="s">
        <v>493</v>
      </c>
      <c r="D142" s="59"/>
      <c r="E142" s="63" t="s">
        <v>301</v>
      </c>
      <c r="F142" s="63" t="s">
        <v>301</v>
      </c>
      <c r="G142" s="63" t="s">
        <v>301</v>
      </c>
      <c r="H142" s="63" t="s">
        <v>301</v>
      </c>
      <c r="I142" s="63" t="s">
        <v>301</v>
      </c>
      <c r="J142" s="63" t="s">
        <v>301</v>
      </c>
      <c r="K142" s="63" t="s">
        <v>301</v>
      </c>
      <c r="L142" s="63" t="s">
        <v>301</v>
      </c>
      <c r="M142" s="63" t="s">
        <v>301</v>
      </c>
      <c r="N142" s="63" t="s">
        <v>301</v>
      </c>
      <c r="O142" s="63" t="s">
        <v>301</v>
      </c>
      <c r="P142" s="63" t="s">
        <v>301</v>
      </c>
      <c r="U142" s="218" t="str">
        <f t="shared" si="16"/>
        <v/>
      </c>
    </row>
    <row r="143" spans="2:21">
      <c r="B143" s="47" t="s">
        <v>1672</v>
      </c>
      <c r="C143" s="61" t="s">
        <v>494</v>
      </c>
      <c r="D143" s="59"/>
      <c r="E143" s="63" t="s">
        <v>301</v>
      </c>
      <c r="F143" s="63" t="s">
        <v>301</v>
      </c>
      <c r="G143" s="63" t="s">
        <v>301</v>
      </c>
      <c r="H143" s="63" t="s">
        <v>301</v>
      </c>
      <c r="I143" s="63" t="s">
        <v>301</v>
      </c>
      <c r="J143" s="63" t="s">
        <v>301</v>
      </c>
      <c r="K143" s="63" t="s">
        <v>301</v>
      </c>
      <c r="L143" s="63" t="s">
        <v>301</v>
      </c>
      <c r="M143" s="63" t="s">
        <v>301</v>
      </c>
      <c r="N143" s="63" t="s">
        <v>301</v>
      </c>
      <c r="O143" s="63" t="s">
        <v>301</v>
      </c>
      <c r="P143" s="63" t="s">
        <v>301</v>
      </c>
      <c r="U143" s="218" t="str">
        <f t="shared" si="16"/>
        <v/>
      </c>
    </row>
    <row r="144" spans="2:21">
      <c r="B144" s="47" t="s">
        <v>495</v>
      </c>
      <c r="C144" s="61" t="s">
        <v>496</v>
      </c>
      <c r="D144" s="59"/>
      <c r="E144" s="63" t="s">
        <v>301</v>
      </c>
      <c r="F144" s="63" t="s">
        <v>301</v>
      </c>
      <c r="G144" s="63" t="s">
        <v>301</v>
      </c>
      <c r="H144" s="63" t="s">
        <v>301</v>
      </c>
      <c r="I144" s="63" t="s">
        <v>301</v>
      </c>
      <c r="J144" s="63" t="s">
        <v>301</v>
      </c>
      <c r="K144" s="63" t="s">
        <v>301</v>
      </c>
      <c r="L144" s="63" t="s">
        <v>301</v>
      </c>
      <c r="M144" s="63" t="s">
        <v>301</v>
      </c>
      <c r="N144" s="63" t="s">
        <v>301</v>
      </c>
      <c r="O144" s="63" t="s">
        <v>301</v>
      </c>
      <c r="P144" s="63" t="s">
        <v>301</v>
      </c>
      <c r="U144" s="218" t="str">
        <f t="shared" si="16"/>
        <v/>
      </c>
    </row>
    <row r="145" spans="2:21">
      <c r="B145" s="47" t="s">
        <v>1673</v>
      </c>
      <c r="C145" s="61">
        <v>275448</v>
      </c>
      <c r="D145" s="59"/>
      <c r="E145" s="63" t="s">
        <v>301</v>
      </c>
      <c r="F145" s="63" t="s">
        <v>301</v>
      </c>
      <c r="G145" s="63" t="s">
        <v>301</v>
      </c>
      <c r="H145" s="63" t="s">
        <v>301</v>
      </c>
      <c r="I145" s="63" t="s">
        <v>301</v>
      </c>
      <c r="J145" s="63" t="s">
        <v>301</v>
      </c>
      <c r="K145" s="63" t="s">
        <v>301</v>
      </c>
      <c r="L145" s="63" t="s">
        <v>301</v>
      </c>
      <c r="M145" s="63" t="s">
        <v>301</v>
      </c>
      <c r="N145" s="63" t="s">
        <v>301</v>
      </c>
      <c r="O145" s="63" t="s">
        <v>301</v>
      </c>
      <c r="P145" s="63" t="s">
        <v>301</v>
      </c>
      <c r="U145" s="218" t="str">
        <f t="shared" si="16"/>
        <v/>
      </c>
    </row>
    <row r="146" spans="2:21">
      <c r="B146" s="47" t="s">
        <v>389</v>
      </c>
      <c r="C146" s="61" t="s">
        <v>390</v>
      </c>
      <c r="D146" s="59"/>
      <c r="E146" s="63">
        <v>-0.8</v>
      </c>
      <c r="F146" s="63">
        <v>-10.9</v>
      </c>
      <c r="G146" s="63">
        <v>-0.3</v>
      </c>
      <c r="H146" s="63" t="s">
        <v>301</v>
      </c>
      <c r="I146" s="63" t="s">
        <v>301</v>
      </c>
      <c r="J146" s="63" t="s">
        <v>301</v>
      </c>
      <c r="K146" s="63">
        <v>-0.4</v>
      </c>
      <c r="L146" s="63" t="s">
        <v>301</v>
      </c>
      <c r="M146" s="63" t="s">
        <v>301</v>
      </c>
      <c r="N146" s="63" t="s">
        <v>301</v>
      </c>
      <c r="O146" s="63">
        <v>-33.4</v>
      </c>
      <c r="P146" s="63" t="s">
        <v>301</v>
      </c>
      <c r="U146" s="218">
        <f t="shared" si="16"/>
        <v>1</v>
      </c>
    </row>
    <row r="147" spans="2:21">
      <c r="B147" s="47" t="s">
        <v>391</v>
      </c>
      <c r="C147" s="61" t="s">
        <v>392</v>
      </c>
      <c r="D147" s="59"/>
      <c r="E147" s="63" t="s">
        <v>301</v>
      </c>
      <c r="F147" s="63" t="s">
        <v>301</v>
      </c>
      <c r="G147" s="63" t="s">
        <v>301</v>
      </c>
      <c r="H147" s="63" t="s">
        <v>301</v>
      </c>
      <c r="I147" s="63" t="s">
        <v>301</v>
      </c>
      <c r="J147" s="63" t="s">
        <v>301</v>
      </c>
      <c r="K147" s="63" t="s">
        <v>301</v>
      </c>
      <c r="L147" s="63" t="s">
        <v>301</v>
      </c>
      <c r="M147" s="63" t="s">
        <v>301</v>
      </c>
      <c r="N147" s="63" t="s">
        <v>301</v>
      </c>
      <c r="O147" s="63" t="s">
        <v>301</v>
      </c>
      <c r="P147" s="63" t="s">
        <v>301</v>
      </c>
      <c r="U147" s="218" t="str">
        <f t="shared" si="16"/>
        <v/>
      </c>
    </row>
    <row r="148" spans="2:21">
      <c r="B148" s="47" t="s">
        <v>397</v>
      </c>
      <c r="C148" s="61" t="s">
        <v>398</v>
      </c>
      <c r="D148" s="59"/>
      <c r="E148" s="63" t="s">
        <v>301</v>
      </c>
      <c r="F148" s="63" t="s">
        <v>301</v>
      </c>
      <c r="G148" s="63" t="s">
        <v>301</v>
      </c>
      <c r="H148" s="63" t="s">
        <v>301</v>
      </c>
      <c r="I148" s="63" t="s">
        <v>301</v>
      </c>
      <c r="J148" s="63" t="s">
        <v>301</v>
      </c>
      <c r="K148" s="63" t="s">
        <v>301</v>
      </c>
      <c r="L148" s="63" t="s">
        <v>301</v>
      </c>
      <c r="M148" s="63" t="s">
        <v>301</v>
      </c>
      <c r="N148" s="63" t="s">
        <v>301</v>
      </c>
      <c r="O148" s="63" t="s">
        <v>301</v>
      </c>
      <c r="P148" s="63" t="s">
        <v>301</v>
      </c>
      <c r="U148" s="218" t="str">
        <f t="shared" si="16"/>
        <v/>
      </c>
    </row>
    <row r="149" spans="2:21">
      <c r="B149" s="47" t="s">
        <v>399</v>
      </c>
      <c r="C149" s="61" t="s">
        <v>400</v>
      </c>
      <c r="D149" s="59"/>
      <c r="E149" s="63" t="s">
        <v>301</v>
      </c>
      <c r="F149" s="63" t="s">
        <v>301</v>
      </c>
      <c r="G149" s="63" t="s">
        <v>301</v>
      </c>
      <c r="H149" s="63" t="s">
        <v>301</v>
      </c>
      <c r="I149" s="63" t="s">
        <v>301</v>
      </c>
      <c r="J149" s="63" t="s">
        <v>301</v>
      </c>
      <c r="K149" s="63" t="s">
        <v>301</v>
      </c>
      <c r="L149" s="63" t="s">
        <v>301</v>
      </c>
      <c r="M149" s="63" t="s">
        <v>301</v>
      </c>
      <c r="N149" s="63" t="s">
        <v>301</v>
      </c>
      <c r="O149" s="63" t="s">
        <v>301</v>
      </c>
      <c r="P149" s="63" t="s">
        <v>301</v>
      </c>
      <c r="U149" s="218" t="str">
        <f t="shared" si="16"/>
        <v/>
      </c>
    </row>
    <row r="150" spans="2:21">
      <c r="B150" s="47" t="s">
        <v>401</v>
      </c>
      <c r="C150" s="61" t="s">
        <v>402</v>
      </c>
      <c r="D150" s="59"/>
      <c r="E150" s="63" t="s">
        <v>301</v>
      </c>
      <c r="F150" s="63" t="s">
        <v>301</v>
      </c>
      <c r="G150" s="63" t="s">
        <v>301</v>
      </c>
      <c r="H150" s="63" t="s">
        <v>301</v>
      </c>
      <c r="I150" s="63" t="s">
        <v>301</v>
      </c>
      <c r="J150" s="63" t="s">
        <v>301</v>
      </c>
      <c r="K150" s="63" t="s">
        <v>301</v>
      </c>
      <c r="L150" s="63" t="s">
        <v>301</v>
      </c>
      <c r="M150" s="63" t="s">
        <v>301</v>
      </c>
      <c r="N150" s="63" t="s">
        <v>301</v>
      </c>
      <c r="O150" s="63" t="s">
        <v>301</v>
      </c>
      <c r="P150" s="63" t="s">
        <v>301</v>
      </c>
      <c r="U150" s="218" t="str">
        <f t="shared" si="16"/>
        <v/>
      </c>
    </row>
    <row r="151" spans="2:21">
      <c r="B151" s="47" t="s">
        <v>403</v>
      </c>
      <c r="C151" s="61" t="s">
        <v>404</v>
      </c>
      <c r="D151" s="59"/>
      <c r="E151" s="63" t="s">
        <v>301</v>
      </c>
      <c r="F151" s="63" t="s">
        <v>301</v>
      </c>
      <c r="G151" s="63" t="s">
        <v>301</v>
      </c>
      <c r="H151" s="63" t="s">
        <v>301</v>
      </c>
      <c r="I151" s="63" t="s">
        <v>301</v>
      </c>
      <c r="J151" s="63" t="s">
        <v>301</v>
      </c>
      <c r="K151" s="63" t="s">
        <v>301</v>
      </c>
      <c r="L151" s="63" t="s">
        <v>301</v>
      </c>
      <c r="M151" s="63" t="s">
        <v>301</v>
      </c>
      <c r="N151" s="63" t="s">
        <v>301</v>
      </c>
      <c r="O151" s="63" t="s">
        <v>301</v>
      </c>
      <c r="P151" s="63" t="s">
        <v>301</v>
      </c>
      <c r="U151" s="218" t="str">
        <f t="shared" si="16"/>
        <v/>
      </c>
    </row>
    <row r="152" spans="2:21">
      <c r="B152" s="47" t="s">
        <v>405</v>
      </c>
      <c r="C152" s="61" t="s">
        <v>406</v>
      </c>
      <c r="D152" s="59"/>
      <c r="E152" s="63">
        <v>-32.200000000000003</v>
      </c>
      <c r="F152" s="63">
        <v>-35.200000000000003</v>
      </c>
      <c r="G152" s="63">
        <v>-2.2000000000000002</v>
      </c>
      <c r="H152" s="63">
        <v>-5.2</v>
      </c>
      <c r="I152" s="63">
        <v>-5.3</v>
      </c>
      <c r="J152" s="63">
        <v>-38.300000000000004</v>
      </c>
      <c r="K152" s="63">
        <v>-16.2</v>
      </c>
      <c r="L152" s="63">
        <v>-12.8</v>
      </c>
      <c r="M152" s="63">
        <v>-29.5</v>
      </c>
      <c r="N152" s="63">
        <v>40.300000000000004</v>
      </c>
      <c r="O152" s="63">
        <v>-11.5</v>
      </c>
      <c r="P152" s="63">
        <v>-15.5</v>
      </c>
      <c r="U152" s="218">
        <f t="shared" si="16"/>
        <v>1</v>
      </c>
    </row>
    <row r="153" spans="2:21">
      <c r="B153" s="47" t="s">
        <v>1674</v>
      </c>
      <c r="C153" s="61" t="s">
        <v>408</v>
      </c>
      <c r="D153" s="59"/>
      <c r="E153" s="63">
        <v>181.1</v>
      </c>
      <c r="F153" s="63">
        <v>237.3</v>
      </c>
      <c r="G153" s="63">
        <v>269.10000000000002</v>
      </c>
      <c r="H153" s="63">
        <v>196.70000000000002</v>
      </c>
      <c r="I153" s="63">
        <v>170.5</v>
      </c>
      <c r="J153" s="63">
        <v>347.6</v>
      </c>
      <c r="K153" s="63">
        <v>248.5</v>
      </c>
      <c r="L153" s="63">
        <v>63.1</v>
      </c>
      <c r="M153" s="63">
        <v>32</v>
      </c>
      <c r="N153" s="63">
        <v>-43.4</v>
      </c>
      <c r="O153" s="63">
        <v>8</v>
      </c>
      <c r="P153" s="63">
        <v>-5.5</v>
      </c>
      <c r="U153" s="218">
        <f t="shared" si="16"/>
        <v>1</v>
      </c>
    </row>
    <row r="154" spans="2:21">
      <c r="B154" s="47"/>
      <c r="C154" s="61"/>
      <c r="D154" s="59"/>
      <c r="E154" s="63"/>
      <c r="F154" s="63"/>
      <c r="G154" s="63"/>
      <c r="H154" s="63"/>
      <c r="I154" s="63"/>
      <c r="J154" s="63"/>
      <c r="K154" s="63"/>
      <c r="L154" s="63"/>
      <c r="M154" s="63"/>
      <c r="N154" s="63"/>
      <c r="O154" s="63"/>
      <c r="P154" s="63"/>
      <c r="U154" s="218">
        <v>1</v>
      </c>
    </row>
    <row r="155" spans="2:21">
      <c r="B155" s="47" t="s">
        <v>497</v>
      </c>
      <c r="C155" s="61" t="s">
        <v>498</v>
      </c>
      <c r="D155" s="59"/>
      <c r="E155" s="63" t="s">
        <v>301</v>
      </c>
      <c r="F155" s="63" t="s">
        <v>301</v>
      </c>
      <c r="G155" s="63" t="s">
        <v>301</v>
      </c>
      <c r="H155" s="63" t="s">
        <v>301</v>
      </c>
      <c r="I155" s="63" t="s">
        <v>301</v>
      </c>
      <c r="J155" s="63" t="s">
        <v>301</v>
      </c>
      <c r="K155" s="63" t="s">
        <v>301</v>
      </c>
      <c r="L155" s="63" t="s">
        <v>301</v>
      </c>
      <c r="M155" s="63" t="s">
        <v>301</v>
      </c>
      <c r="N155" s="63" t="s">
        <v>301</v>
      </c>
      <c r="O155" s="63" t="s">
        <v>301</v>
      </c>
      <c r="P155" s="63" t="s">
        <v>301</v>
      </c>
      <c r="U155" s="218" t="str">
        <f t="shared" si="16"/>
        <v/>
      </c>
    </row>
    <row r="156" spans="2:21">
      <c r="B156" s="47" t="s">
        <v>499</v>
      </c>
      <c r="C156" s="61" t="s">
        <v>500</v>
      </c>
      <c r="D156" s="59"/>
      <c r="E156" s="63" t="s">
        <v>301</v>
      </c>
      <c r="F156" s="63" t="s">
        <v>301</v>
      </c>
      <c r="G156" s="63" t="s">
        <v>301</v>
      </c>
      <c r="H156" s="63" t="s">
        <v>301</v>
      </c>
      <c r="I156" s="63" t="s">
        <v>301</v>
      </c>
      <c r="J156" s="63" t="s">
        <v>301</v>
      </c>
      <c r="K156" s="63" t="s">
        <v>301</v>
      </c>
      <c r="L156" s="63" t="s">
        <v>301</v>
      </c>
      <c r="M156" s="63" t="s">
        <v>301</v>
      </c>
      <c r="N156" s="63" t="s">
        <v>301</v>
      </c>
      <c r="O156" s="63" t="s">
        <v>301</v>
      </c>
      <c r="P156" s="63" t="s">
        <v>301</v>
      </c>
      <c r="U156" s="218" t="str">
        <f t="shared" si="16"/>
        <v/>
      </c>
    </row>
    <row r="157" spans="2:21">
      <c r="B157" s="47" t="s">
        <v>501</v>
      </c>
      <c r="C157" s="61" t="s">
        <v>502</v>
      </c>
      <c r="D157" s="59"/>
      <c r="E157" s="63" t="s">
        <v>301</v>
      </c>
      <c r="F157" s="63" t="s">
        <v>301</v>
      </c>
      <c r="G157" s="63" t="s">
        <v>301</v>
      </c>
      <c r="H157" s="63" t="s">
        <v>301</v>
      </c>
      <c r="I157" s="63" t="s">
        <v>301</v>
      </c>
      <c r="J157" s="63" t="s">
        <v>301</v>
      </c>
      <c r="K157" s="63" t="s">
        <v>301</v>
      </c>
      <c r="L157" s="63" t="s">
        <v>301</v>
      </c>
      <c r="M157" s="63" t="s">
        <v>301</v>
      </c>
      <c r="N157" s="63" t="s">
        <v>301</v>
      </c>
      <c r="O157" s="63" t="s">
        <v>301</v>
      </c>
      <c r="P157" s="63" t="s">
        <v>301</v>
      </c>
      <c r="U157" s="218" t="str">
        <f t="shared" si="16"/>
        <v/>
      </c>
    </row>
    <row r="158" spans="2:21">
      <c r="B158" s="47" t="s">
        <v>503</v>
      </c>
      <c r="C158" s="61" t="s">
        <v>504</v>
      </c>
      <c r="D158" s="59"/>
      <c r="E158" s="63" t="s">
        <v>301</v>
      </c>
      <c r="F158" s="63" t="s">
        <v>301</v>
      </c>
      <c r="G158" s="63" t="s">
        <v>301</v>
      </c>
      <c r="H158" s="63" t="s">
        <v>301</v>
      </c>
      <c r="I158" s="63" t="s">
        <v>301</v>
      </c>
      <c r="J158" s="63" t="s">
        <v>301</v>
      </c>
      <c r="K158" s="63" t="s">
        <v>301</v>
      </c>
      <c r="L158" s="63" t="s">
        <v>301</v>
      </c>
      <c r="M158" s="63" t="s">
        <v>301</v>
      </c>
      <c r="N158" s="63" t="s">
        <v>301</v>
      </c>
      <c r="O158" s="63" t="s">
        <v>301</v>
      </c>
      <c r="P158" s="63" t="s">
        <v>301</v>
      </c>
      <c r="U158" s="218" t="str">
        <f t="shared" si="16"/>
        <v/>
      </c>
    </row>
    <row r="159" spans="2:21">
      <c r="B159" s="47" t="s">
        <v>505</v>
      </c>
      <c r="C159" s="61" t="s">
        <v>506</v>
      </c>
      <c r="D159" s="59"/>
      <c r="E159" s="63" t="s">
        <v>301</v>
      </c>
      <c r="F159" s="63">
        <v>17.8</v>
      </c>
      <c r="G159" s="63" t="s">
        <v>301</v>
      </c>
      <c r="H159" s="63" t="s">
        <v>301</v>
      </c>
      <c r="I159" s="63" t="s">
        <v>301</v>
      </c>
      <c r="J159" s="63">
        <v>24.2</v>
      </c>
      <c r="K159" s="63" t="s">
        <v>301</v>
      </c>
      <c r="L159" s="63" t="s">
        <v>301</v>
      </c>
      <c r="M159" s="63" t="s">
        <v>301</v>
      </c>
      <c r="N159" s="63">
        <v>25.900000000000002</v>
      </c>
      <c r="O159" s="63" t="s">
        <v>301</v>
      </c>
      <c r="P159" s="63" t="s">
        <v>301</v>
      </c>
      <c r="U159" s="218">
        <f t="shared" si="16"/>
        <v>1</v>
      </c>
    </row>
    <row r="160" spans="2:21">
      <c r="B160" s="47" t="s">
        <v>507</v>
      </c>
      <c r="C160" s="61" t="s">
        <v>508</v>
      </c>
      <c r="D160" s="59"/>
      <c r="E160" s="63" t="s">
        <v>301</v>
      </c>
      <c r="F160" s="63" t="s">
        <v>301</v>
      </c>
      <c r="G160" s="63" t="s">
        <v>301</v>
      </c>
      <c r="H160" s="63" t="s">
        <v>301</v>
      </c>
      <c r="I160" s="63" t="s">
        <v>301</v>
      </c>
      <c r="J160" s="63" t="s">
        <v>301</v>
      </c>
      <c r="K160" s="63" t="s">
        <v>301</v>
      </c>
      <c r="L160" s="63" t="s">
        <v>301</v>
      </c>
      <c r="M160" s="63" t="s">
        <v>301</v>
      </c>
      <c r="N160" s="63" t="s">
        <v>301</v>
      </c>
      <c r="O160" s="63" t="s">
        <v>301</v>
      </c>
      <c r="P160" s="63" t="s">
        <v>301</v>
      </c>
      <c r="U160" s="218" t="str">
        <f t="shared" si="16"/>
        <v/>
      </c>
    </row>
    <row r="161" spans="2:21">
      <c r="B161" s="47" t="s">
        <v>509</v>
      </c>
      <c r="C161" s="61" t="s">
        <v>510</v>
      </c>
      <c r="D161" s="59"/>
      <c r="E161" s="63" t="s">
        <v>301</v>
      </c>
      <c r="F161" s="63">
        <v>-13.5</v>
      </c>
      <c r="G161" s="63">
        <v>7.3</v>
      </c>
      <c r="H161" s="63" t="s">
        <v>301</v>
      </c>
      <c r="I161" s="63" t="s">
        <v>301</v>
      </c>
      <c r="J161" s="63">
        <v>-18.900000000000002</v>
      </c>
      <c r="K161" s="63">
        <v>7.3</v>
      </c>
      <c r="L161" s="63" t="s">
        <v>301</v>
      </c>
      <c r="M161" s="63" t="s">
        <v>301</v>
      </c>
      <c r="N161" s="63">
        <v>-19.8</v>
      </c>
      <c r="O161" s="63">
        <v>7.5</v>
      </c>
      <c r="P161" s="63" t="s">
        <v>301</v>
      </c>
      <c r="U161" s="218">
        <f t="shared" si="16"/>
        <v>1</v>
      </c>
    </row>
    <row r="162" spans="2:21">
      <c r="B162" s="47" t="s">
        <v>511</v>
      </c>
      <c r="C162" s="61" t="s">
        <v>512</v>
      </c>
      <c r="D162" s="59"/>
      <c r="E162" s="63" t="s">
        <v>301</v>
      </c>
      <c r="F162" s="63" t="s">
        <v>301</v>
      </c>
      <c r="G162" s="63" t="s">
        <v>301</v>
      </c>
      <c r="H162" s="63" t="s">
        <v>301</v>
      </c>
      <c r="I162" s="63" t="s">
        <v>301</v>
      </c>
      <c r="J162" s="63" t="s">
        <v>301</v>
      </c>
      <c r="K162" s="63" t="s">
        <v>301</v>
      </c>
      <c r="L162" s="63" t="s">
        <v>301</v>
      </c>
      <c r="M162" s="63" t="s">
        <v>301</v>
      </c>
      <c r="N162" s="63" t="s">
        <v>301</v>
      </c>
      <c r="O162" s="63" t="s">
        <v>301</v>
      </c>
      <c r="P162" s="63" t="s">
        <v>301</v>
      </c>
      <c r="U162" s="218" t="str">
        <f t="shared" si="16"/>
        <v/>
      </c>
    </row>
    <row r="163" spans="2:21">
      <c r="B163" s="47" t="s">
        <v>513</v>
      </c>
      <c r="C163" s="61" t="s">
        <v>514</v>
      </c>
      <c r="D163" s="59"/>
      <c r="E163" s="63" t="s">
        <v>301</v>
      </c>
      <c r="F163" s="63">
        <v>4.3</v>
      </c>
      <c r="G163" s="63">
        <v>7.3</v>
      </c>
      <c r="H163" s="63" t="s">
        <v>301</v>
      </c>
      <c r="I163" s="63" t="s">
        <v>301</v>
      </c>
      <c r="J163" s="63">
        <v>5.3</v>
      </c>
      <c r="K163" s="63">
        <v>7.3</v>
      </c>
      <c r="L163" s="63" t="s">
        <v>301</v>
      </c>
      <c r="M163" s="63" t="s">
        <v>301</v>
      </c>
      <c r="N163" s="63">
        <v>6.1000000000000005</v>
      </c>
      <c r="O163" s="63">
        <v>7.5</v>
      </c>
      <c r="P163" s="63" t="s">
        <v>301</v>
      </c>
      <c r="U163" s="218">
        <f t="shared" si="16"/>
        <v>1</v>
      </c>
    </row>
    <row r="164" spans="2:21">
      <c r="B164" s="47" t="s">
        <v>515</v>
      </c>
      <c r="C164" s="61" t="s">
        <v>516</v>
      </c>
      <c r="D164" s="59"/>
      <c r="E164" s="63" t="s">
        <v>301</v>
      </c>
      <c r="F164" s="63" t="s">
        <v>301</v>
      </c>
      <c r="G164" s="63" t="s">
        <v>301</v>
      </c>
      <c r="H164" s="63" t="s">
        <v>301</v>
      </c>
      <c r="I164" s="63" t="s">
        <v>301</v>
      </c>
      <c r="J164" s="63" t="s">
        <v>301</v>
      </c>
      <c r="K164" s="63" t="s">
        <v>301</v>
      </c>
      <c r="L164" s="63" t="s">
        <v>301</v>
      </c>
      <c r="M164" s="63" t="s">
        <v>301</v>
      </c>
      <c r="N164" s="63" t="s">
        <v>301</v>
      </c>
      <c r="O164" s="63" t="s">
        <v>301</v>
      </c>
      <c r="P164" s="63" t="s">
        <v>301</v>
      </c>
      <c r="U164" s="218" t="str">
        <f t="shared" si="16"/>
        <v/>
      </c>
    </row>
    <row r="165" spans="2:21">
      <c r="B165" s="47" t="s">
        <v>517</v>
      </c>
      <c r="C165" s="61" t="s">
        <v>518</v>
      </c>
      <c r="D165" s="59"/>
      <c r="E165" s="63" t="s">
        <v>301</v>
      </c>
      <c r="F165" s="63">
        <v>-1.9000000000000001</v>
      </c>
      <c r="G165" s="63" t="s">
        <v>301</v>
      </c>
      <c r="H165" s="63" t="s">
        <v>301</v>
      </c>
      <c r="I165" s="63" t="s">
        <v>301</v>
      </c>
      <c r="J165" s="63">
        <v>-2.3000000000000003</v>
      </c>
      <c r="K165" s="63" t="s">
        <v>301</v>
      </c>
      <c r="L165" s="63" t="s">
        <v>301</v>
      </c>
      <c r="M165" s="63" t="s">
        <v>301</v>
      </c>
      <c r="N165" s="63">
        <v>-2.4</v>
      </c>
      <c r="O165" s="63" t="s">
        <v>301</v>
      </c>
      <c r="P165" s="63" t="s">
        <v>301</v>
      </c>
      <c r="U165" s="218">
        <f t="shared" si="16"/>
        <v>1</v>
      </c>
    </row>
    <row r="166" spans="2:21">
      <c r="B166" s="47" t="s">
        <v>519</v>
      </c>
      <c r="C166" s="61" t="s">
        <v>520</v>
      </c>
      <c r="D166" s="59"/>
      <c r="E166" s="63" t="s">
        <v>301</v>
      </c>
      <c r="F166" s="63">
        <v>7.2</v>
      </c>
      <c r="G166" s="63" t="s">
        <v>301</v>
      </c>
      <c r="H166" s="63" t="s">
        <v>301</v>
      </c>
      <c r="I166" s="63" t="s">
        <v>301</v>
      </c>
      <c r="J166" s="63">
        <v>8.5</v>
      </c>
      <c r="K166" s="63" t="s">
        <v>301</v>
      </c>
      <c r="L166" s="63" t="s">
        <v>301</v>
      </c>
      <c r="M166" s="63" t="s">
        <v>301</v>
      </c>
      <c r="N166" s="63">
        <v>9</v>
      </c>
      <c r="O166" s="63" t="s">
        <v>301</v>
      </c>
      <c r="P166" s="63" t="s">
        <v>301</v>
      </c>
      <c r="U166" s="218">
        <f t="shared" si="16"/>
        <v>1</v>
      </c>
    </row>
    <row r="167" spans="2:21">
      <c r="B167" s="47" t="s">
        <v>521</v>
      </c>
      <c r="C167" s="61" t="s">
        <v>522</v>
      </c>
      <c r="D167" s="59"/>
      <c r="E167" s="63" t="s">
        <v>301</v>
      </c>
      <c r="F167" s="63" t="s">
        <v>301</v>
      </c>
      <c r="G167" s="63" t="s">
        <v>301</v>
      </c>
      <c r="H167" s="63" t="s">
        <v>301</v>
      </c>
      <c r="I167" s="63" t="s">
        <v>301</v>
      </c>
      <c r="J167" s="63" t="s">
        <v>301</v>
      </c>
      <c r="K167" s="63" t="s">
        <v>301</v>
      </c>
      <c r="L167" s="63" t="s">
        <v>301</v>
      </c>
      <c r="M167" s="63" t="s">
        <v>301</v>
      </c>
      <c r="N167" s="63" t="s">
        <v>301</v>
      </c>
      <c r="O167" s="63" t="s">
        <v>301</v>
      </c>
      <c r="P167" s="63" t="s">
        <v>301</v>
      </c>
      <c r="U167" s="218" t="str">
        <f t="shared" si="16"/>
        <v/>
      </c>
    </row>
    <row r="168" spans="2:21">
      <c r="B168" s="47" t="s">
        <v>523</v>
      </c>
      <c r="C168" s="61" t="s">
        <v>524</v>
      </c>
      <c r="D168" s="59"/>
      <c r="E168" s="63" t="s">
        <v>301</v>
      </c>
      <c r="F168" s="63">
        <v>-1</v>
      </c>
      <c r="G168" s="63" t="s">
        <v>301</v>
      </c>
      <c r="H168" s="63" t="s">
        <v>301</v>
      </c>
      <c r="I168" s="63" t="s">
        <v>301</v>
      </c>
      <c r="J168" s="63">
        <v>-1.3</v>
      </c>
      <c r="K168" s="63" t="s">
        <v>301</v>
      </c>
      <c r="L168" s="63" t="s">
        <v>301</v>
      </c>
      <c r="M168" s="63" t="s">
        <v>301</v>
      </c>
      <c r="N168" s="63">
        <v>-1.5</v>
      </c>
      <c r="O168" s="63" t="s">
        <v>301</v>
      </c>
      <c r="P168" s="63" t="s">
        <v>301</v>
      </c>
      <c r="U168" s="218">
        <f t="shared" si="16"/>
        <v>1</v>
      </c>
    </row>
    <row r="169" spans="2:21">
      <c r="B169" s="47" t="s">
        <v>525</v>
      </c>
      <c r="C169" s="61" t="s">
        <v>526</v>
      </c>
      <c r="D169" s="59"/>
      <c r="E169" s="63" t="s">
        <v>301</v>
      </c>
      <c r="F169" s="63">
        <v>3.7</v>
      </c>
      <c r="G169" s="63" t="s">
        <v>301</v>
      </c>
      <c r="H169" s="63" t="s">
        <v>301</v>
      </c>
      <c r="I169" s="63" t="s">
        <v>301</v>
      </c>
      <c r="J169" s="63">
        <v>4.9000000000000004</v>
      </c>
      <c r="K169" s="63" t="s">
        <v>301</v>
      </c>
      <c r="L169" s="63" t="s">
        <v>301</v>
      </c>
      <c r="M169" s="63" t="s">
        <v>301</v>
      </c>
      <c r="N169" s="63">
        <v>5.9</v>
      </c>
      <c r="O169" s="63" t="s">
        <v>301</v>
      </c>
      <c r="P169" s="63" t="s">
        <v>301</v>
      </c>
      <c r="U169" s="218">
        <f t="shared" si="16"/>
        <v>1</v>
      </c>
    </row>
    <row r="170" spans="2:21">
      <c r="B170" s="47" t="s">
        <v>527</v>
      </c>
      <c r="C170" s="61" t="s">
        <v>528</v>
      </c>
      <c r="D170" s="59"/>
      <c r="E170" s="63" t="s">
        <v>301</v>
      </c>
      <c r="F170" s="63">
        <v>4.3</v>
      </c>
      <c r="G170" s="63">
        <v>7.3</v>
      </c>
      <c r="H170" s="63" t="s">
        <v>301</v>
      </c>
      <c r="I170" s="63" t="s">
        <v>301</v>
      </c>
      <c r="J170" s="63">
        <v>5.3</v>
      </c>
      <c r="K170" s="63">
        <v>7.3</v>
      </c>
      <c r="L170" s="63" t="s">
        <v>301</v>
      </c>
      <c r="M170" s="63" t="s">
        <v>301</v>
      </c>
      <c r="N170" s="63">
        <v>6.1000000000000005</v>
      </c>
      <c r="O170" s="63">
        <v>7.5</v>
      </c>
      <c r="P170" s="63" t="s">
        <v>301</v>
      </c>
      <c r="U170" s="218">
        <f t="shared" si="16"/>
        <v>1</v>
      </c>
    </row>
    <row r="171" spans="2:21">
      <c r="B171" s="47" t="s">
        <v>529</v>
      </c>
      <c r="C171" s="61" t="s">
        <v>530</v>
      </c>
      <c r="D171" s="59"/>
      <c r="E171" s="63" t="s">
        <v>301</v>
      </c>
      <c r="F171" s="63">
        <v>-3.7</v>
      </c>
      <c r="G171" s="63" t="s">
        <v>301</v>
      </c>
      <c r="H171" s="63" t="s">
        <v>301</v>
      </c>
      <c r="I171" s="63" t="s">
        <v>301</v>
      </c>
      <c r="J171" s="63">
        <v>-5.1000000000000005</v>
      </c>
      <c r="K171" s="63" t="s">
        <v>301</v>
      </c>
      <c r="L171" s="63" t="s">
        <v>301</v>
      </c>
      <c r="M171" s="63" t="s">
        <v>301</v>
      </c>
      <c r="N171" s="63">
        <v>-5.4</v>
      </c>
      <c r="O171" s="63" t="s">
        <v>301</v>
      </c>
      <c r="P171" s="63" t="s">
        <v>301</v>
      </c>
      <c r="U171" s="218">
        <f t="shared" si="16"/>
        <v>1</v>
      </c>
    </row>
    <row r="172" spans="2:21">
      <c r="B172" s="47" t="s">
        <v>531</v>
      </c>
      <c r="C172" s="61" t="s">
        <v>532</v>
      </c>
      <c r="D172" s="59"/>
      <c r="E172" s="63" t="s">
        <v>301</v>
      </c>
      <c r="F172" s="63">
        <v>14.1</v>
      </c>
      <c r="G172" s="63" t="s">
        <v>301</v>
      </c>
      <c r="H172" s="63" t="s">
        <v>301</v>
      </c>
      <c r="I172" s="63" t="s">
        <v>301</v>
      </c>
      <c r="J172" s="63">
        <v>19.100000000000001</v>
      </c>
      <c r="K172" s="63" t="s">
        <v>301</v>
      </c>
      <c r="L172" s="63" t="s">
        <v>301</v>
      </c>
      <c r="M172" s="63" t="s">
        <v>301</v>
      </c>
      <c r="N172" s="63">
        <v>20.5</v>
      </c>
      <c r="O172" s="63" t="s">
        <v>301</v>
      </c>
      <c r="P172" s="63" t="s">
        <v>301</v>
      </c>
      <c r="U172" s="218">
        <f t="shared" si="16"/>
        <v>1</v>
      </c>
    </row>
    <row r="173" spans="2:21">
      <c r="B173" s="47" t="s">
        <v>1675</v>
      </c>
      <c r="C173" s="61">
        <v>276067</v>
      </c>
      <c r="D173" s="59"/>
      <c r="E173" s="63" t="s">
        <v>301</v>
      </c>
      <c r="F173" s="63" t="s">
        <v>301</v>
      </c>
      <c r="G173" s="63" t="s">
        <v>301</v>
      </c>
      <c r="H173" s="63" t="s">
        <v>301</v>
      </c>
      <c r="I173" s="63" t="s">
        <v>301</v>
      </c>
      <c r="J173" s="63" t="s">
        <v>301</v>
      </c>
      <c r="K173" s="63" t="s">
        <v>301</v>
      </c>
      <c r="L173" s="63" t="s">
        <v>301</v>
      </c>
      <c r="M173" s="63" t="s">
        <v>301</v>
      </c>
      <c r="N173" s="63" t="s">
        <v>301</v>
      </c>
      <c r="O173" s="63" t="s">
        <v>301</v>
      </c>
      <c r="P173" s="63" t="s">
        <v>301</v>
      </c>
      <c r="U173" s="218" t="str">
        <f t="shared" si="16"/>
        <v/>
      </c>
    </row>
    <row r="174" spans="2:21">
      <c r="B174" s="47" t="s">
        <v>476</v>
      </c>
      <c r="C174" s="61" t="s">
        <v>478</v>
      </c>
      <c r="D174" s="59"/>
      <c r="E174" s="63" t="s">
        <v>869</v>
      </c>
      <c r="F174" s="63" t="s">
        <v>869</v>
      </c>
      <c r="G174" s="63" t="s">
        <v>870</v>
      </c>
      <c r="H174" s="63" t="s">
        <v>870</v>
      </c>
      <c r="I174" s="63" t="s">
        <v>870</v>
      </c>
      <c r="J174" s="63" t="s">
        <v>870</v>
      </c>
      <c r="K174" s="63" t="s">
        <v>870</v>
      </c>
      <c r="L174" s="63" t="s">
        <v>870</v>
      </c>
      <c r="M174" s="63" t="s">
        <v>2276</v>
      </c>
      <c r="N174" s="63" t="s">
        <v>2276</v>
      </c>
      <c r="O174" s="63" t="s">
        <v>2276</v>
      </c>
      <c r="P174" s="63" t="s">
        <v>2276</v>
      </c>
    </row>
    <row r="175" spans="2:21" ht="30.6">
      <c r="B175" s="184" t="s">
        <v>479</v>
      </c>
      <c r="C175" s="132" t="s">
        <v>481</v>
      </c>
      <c r="D175" s="185"/>
      <c r="E175" s="186" t="s">
        <v>871</v>
      </c>
      <c r="F175" s="186" t="s">
        <v>2286</v>
      </c>
      <c r="G175" s="186" t="s">
        <v>871</v>
      </c>
      <c r="H175" s="186" t="s">
        <v>871</v>
      </c>
      <c r="I175" s="186" t="s">
        <v>871</v>
      </c>
      <c r="J175" s="186" t="s">
        <v>2286</v>
      </c>
      <c r="K175" s="186" t="s">
        <v>871</v>
      </c>
      <c r="L175" s="186" t="s">
        <v>871</v>
      </c>
      <c r="M175" s="186" t="s">
        <v>871</v>
      </c>
      <c r="N175" s="186" t="s">
        <v>2286</v>
      </c>
      <c r="O175" s="186" t="s">
        <v>871</v>
      </c>
      <c r="P175" s="186" t="s">
        <v>871</v>
      </c>
    </row>
    <row r="176" spans="2:21">
      <c r="B176" s="70"/>
    </row>
  </sheetData>
  <pageMargins left="0.25" right="0.25" top="0.25" bottom="0.25" header="0" footer="0"/>
  <pageSetup paperSize="9" scale="53" fitToHeight="0" orientation="portrait"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HideEmpty">
                <anchor moveWithCells="1" sizeWithCells="1">
                  <from>
                    <xdr:col>5</xdr:col>
                    <xdr:colOff>670560</xdr:colOff>
                    <xdr:row>1</xdr:row>
                    <xdr:rowOff>0</xdr:rowOff>
                  </from>
                  <to>
                    <xdr:col>7</xdr:col>
                    <xdr:colOff>22860</xdr:colOff>
                    <xdr:row>2</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UnhideAll">
                <anchor moveWithCells="1" sizeWithCells="1">
                  <from>
                    <xdr:col>7</xdr:col>
                    <xdr:colOff>152400</xdr:colOff>
                    <xdr:row>1</xdr:row>
                    <xdr:rowOff>0</xdr:rowOff>
                  </from>
                  <to>
                    <xdr:col>8</xdr:col>
                    <xdr:colOff>274320</xdr:colOff>
                    <xdr:row>2</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2:V142"/>
  <sheetViews>
    <sheetView showGridLines="0" workbookViewId="0">
      <selection activeCell="B24" sqref="B24"/>
    </sheetView>
  </sheetViews>
  <sheetFormatPr defaultRowHeight="10.199999999999999" outlineLevelRow="1" outlineLevelCol="1"/>
  <cols>
    <col min="1" max="1" width="2" customWidth="1"/>
    <col min="2" max="2" width="36.140625" customWidth="1"/>
    <col min="3" max="3" width="20.85546875" style="2" hidden="1" customWidth="1" outlineLevel="1"/>
    <col min="4" max="4" width="9.28515625" style="2" hidden="1" customWidth="1" outlineLevel="1"/>
    <col min="5" max="5" width="13.42578125" customWidth="1" collapsed="1"/>
    <col min="6" max="16" width="13.42578125" customWidth="1"/>
    <col min="21" max="21" width="9.28515625" hidden="1" customWidth="1" outlineLevel="1"/>
    <col min="22" max="22" width="9.28515625" collapsed="1"/>
  </cols>
  <sheetData>
    <row r="2" spans="1:21">
      <c r="B2" t="s">
        <v>2275</v>
      </c>
    </row>
    <row r="3" spans="1:21">
      <c r="A3" s="47"/>
      <c r="B3" s="47"/>
      <c r="C3" s="91"/>
      <c r="D3" s="91"/>
      <c r="E3" s="47"/>
      <c r="F3" s="47"/>
      <c r="G3" s="49"/>
      <c r="H3" s="47"/>
      <c r="I3" s="47"/>
      <c r="J3" s="47"/>
      <c r="K3" s="47"/>
      <c r="L3" s="47"/>
      <c r="M3" s="47"/>
      <c r="N3" s="47"/>
      <c r="O3" s="47"/>
      <c r="P3" s="47"/>
    </row>
    <row r="4" spans="1:21" ht="16.2" thickBot="1">
      <c r="A4" s="47"/>
      <c r="B4" s="50" t="str">
        <f>E11&amp;IF(E12="",""," ("&amp;E12&amp;")")</f>
        <v>FMC Corporation (NYSE:FMC) (FMC-US)</v>
      </c>
      <c r="C4" s="100"/>
      <c r="D4" s="100"/>
      <c r="E4" s="53"/>
      <c r="F4" s="53"/>
      <c r="G4" s="53"/>
      <c r="H4" s="53"/>
      <c r="I4" s="53"/>
      <c r="J4" s="53"/>
      <c r="K4" s="53"/>
      <c r="L4" s="53"/>
      <c r="M4" s="53"/>
      <c r="N4" s="51"/>
      <c r="O4" s="51"/>
      <c r="P4" s="119" t="s">
        <v>2280</v>
      </c>
    </row>
    <row r="5" spans="1:21" ht="17.25" customHeight="1">
      <c r="A5" s="47"/>
      <c r="B5" s="54" t="str">
        <f>"Data in "&amp;Curr_Sym</f>
        <v>Data in ($M)</v>
      </c>
      <c r="C5" s="54"/>
      <c r="D5" s="91"/>
      <c r="E5" s="47"/>
      <c r="F5" s="47"/>
      <c r="G5" s="47"/>
      <c r="H5" s="47"/>
      <c r="I5" s="47"/>
      <c r="J5" s="47"/>
      <c r="K5" s="47"/>
      <c r="L5" s="47"/>
      <c r="M5" s="47"/>
      <c r="N5" s="55"/>
      <c r="O5" s="55"/>
      <c r="P5" s="55"/>
    </row>
    <row r="6" spans="1:21" hidden="1" outlineLevel="1">
      <c r="A6" s="47"/>
      <c r="B6" s="56"/>
      <c r="C6" s="57" t="str">
        <f ca="1">_xll.SNL.Clients.Office.Excel.Functions.SPGTable($E$6:$P$6,$C$11:$C$141,$E$7:$P$7,"Options: Curr="&amp;Sel_Curr&amp;", Mag="&amp;Sel_Mag&amp;",ConvMethod="&amp;Sel_Conv&amp;", NA=NA, Term=en-US")</f>
        <v>SPGTable</v>
      </c>
      <c r="D6" s="57"/>
      <c r="E6" s="59" t="str">
        <f t="shared" ref="E6:P6" si="0">Focus_Co</f>
        <v>FMC</v>
      </c>
      <c r="F6" s="59" t="str">
        <f t="shared" si="0"/>
        <v>FMC</v>
      </c>
      <c r="G6" s="59" t="str">
        <f t="shared" si="0"/>
        <v>FMC</v>
      </c>
      <c r="H6" s="59" t="str">
        <f t="shared" si="0"/>
        <v>FMC</v>
      </c>
      <c r="I6" s="59" t="str">
        <f t="shared" si="0"/>
        <v>FMC</v>
      </c>
      <c r="J6" s="59" t="str">
        <f t="shared" si="0"/>
        <v>FMC</v>
      </c>
      <c r="K6" s="59" t="str">
        <f t="shared" si="0"/>
        <v>FMC</v>
      </c>
      <c r="L6" s="59" t="str">
        <f t="shared" si="0"/>
        <v>FMC</v>
      </c>
      <c r="M6" s="59" t="str">
        <f t="shared" si="0"/>
        <v>FMC</v>
      </c>
      <c r="N6" s="59" t="str">
        <f t="shared" si="0"/>
        <v>FMC</v>
      </c>
      <c r="O6" s="59" t="str">
        <f t="shared" si="0"/>
        <v>FMC</v>
      </c>
      <c r="P6" s="59" t="str">
        <f t="shared" si="0"/>
        <v>FMC</v>
      </c>
    </row>
    <row r="7" spans="1:21" hidden="1" outlineLevel="1">
      <c r="A7" s="47"/>
      <c r="B7" s="56"/>
      <c r="C7" s="57"/>
      <c r="D7" s="57"/>
      <c r="E7" s="59" t="str">
        <f t="shared" ref="E7:L7" si="1">LEFT(F7,LEN(F7)-1)&amp;RIGHT(F7,1)+1</f>
        <v>FQ-11</v>
      </c>
      <c r="F7" s="59" t="str">
        <f t="shared" si="1"/>
        <v>FQ-10</v>
      </c>
      <c r="G7" s="59" t="str">
        <f t="shared" si="1"/>
        <v>FQ-9</v>
      </c>
      <c r="H7" s="59" t="str">
        <f t="shared" si="1"/>
        <v>FQ-8</v>
      </c>
      <c r="I7" s="59" t="str">
        <f t="shared" si="1"/>
        <v>FQ-7</v>
      </c>
      <c r="J7" s="59" t="str">
        <f t="shared" si="1"/>
        <v>FQ-6</v>
      </c>
      <c r="K7" s="59" t="str">
        <f t="shared" si="1"/>
        <v>FQ-5</v>
      </c>
      <c r="L7" s="59" t="str">
        <f t="shared" si="1"/>
        <v>FQ-4</v>
      </c>
      <c r="M7" s="59" t="str">
        <f t="shared" ref="M7" si="2">LEFT(N7,LEN(N7)-1)&amp;RIGHT(N7,1)+1</f>
        <v>FQ-3</v>
      </c>
      <c r="N7" s="59" t="str">
        <f>LEFT(O7,LEN(O7)-1)&amp;RIGHT(O7,1)+1</f>
        <v>FQ-2</v>
      </c>
      <c r="O7" s="59" t="str">
        <f>VLOOKUP(Period,FormatTable,2,FALSE)</f>
        <v>FQ-1</v>
      </c>
      <c r="P7" s="59" t="str">
        <f>Period</f>
        <v>FQ0</v>
      </c>
    </row>
    <row r="8" spans="1:21" hidden="1" outlineLevel="1">
      <c r="A8" s="47"/>
      <c r="B8" s="56"/>
      <c r="C8" s="57"/>
      <c r="D8" s="57"/>
      <c r="E8" s="209">
        <f t="shared" ref="E8:P8" ca="1" si="3">IF(Date="","",Date)</f>
        <v>45536</v>
      </c>
      <c r="F8" s="209">
        <f t="shared" ca="1" si="3"/>
        <v>45536</v>
      </c>
      <c r="G8" s="209">
        <f t="shared" ca="1" si="3"/>
        <v>45536</v>
      </c>
      <c r="H8" s="209">
        <f t="shared" ca="1" si="3"/>
        <v>45536</v>
      </c>
      <c r="I8" s="209">
        <f t="shared" ca="1" si="3"/>
        <v>45536</v>
      </c>
      <c r="J8" s="209">
        <f t="shared" ca="1" si="3"/>
        <v>45536</v>
      </c>
      <c r="K8" s="209">
        <f t="shared" ca="1" si="3"/>
        <v>45536</v>
      </c>
      <c r="L8" s="209">
        <f t="shared" ca="1" si="3"/>
        <v>45536</v>
      </c>
      <c r="M8" s="209">
        <f t="shared" ca="1" si="3"/>
        <v>45536</v>
      </c>
      <c r="N8" s="209">
        <f t="shared" ca="1" si="3"/>
        <v>45536</v>
      </c>
      <c r="O8" s="209">
        <f t="shared" ca="1" si="3"/>
        <v>45536</v>
      </c>
      <c r="P8" s="209">
        <f t="shared" ca="1" si="3"/>
        <v>45536</v>
      </c>
    </row>
    <row r="9" spans="1:21" hidden="1" outlineLevel="1">
      <c r="A9" s="47"/>
      <c r="B9" s="56"/>
      <c r="C9" s="101"/>
      <c r="D9" s="101"/>
      <c r="E9" s="47"/>
      <c r="F9" s="47"/>
      <c r="G9" s="47"/>
      <c r="H9" s="47"/>
      <c r="I9" s="47"/>
      <c r="J9" s="47"/>
      <c r="K9" s="47"/>
      <c r="L9" s="47"/>
      <c r="M9" s="47"/>
      <c r="N9" s="55"/>
      <c r="O9" s="55"/>
      <c r="P9" s="55"/>
    </row>
    <row r="10" spans="1:21" hidden="1" outlineLevel="1">
      <c r="A10" s="47"/>
      <c r="B10" s="56"/>
      <c r="C10" s="101"/>
      <c r="D10" s="101"/>
      <c r="E10" s="47"/>
      <c r="F10" s="47"/>
      <c r="G10" s="47"/>
      <c r="H10" s="47"/>
      <c r="I10" s="47"/>
      <c r="J10" s="47"/>
      <c r="K10" s="47"/>
      <c r="L10" s="47"/>
      <c r="M10" s="47"/>
      <c r="N10" s="55"/>
      <c r="O10" s="55"/>
      <c r="P10" s="55"/>
    </row>
    <row r="11" spans="1:21" hidden="1" outlineLevel="1">
      <c r="A11" s="47"/>
      <c r="B11" s="56"/>
      <c r="C11" s="61" t="s">
        <v>322</v>
      </c>
      <c r="D11" s="61"/>
      <c r="E11" s="47" t="s">
        <v>2289</v>
      </c>
      <c r="F11" s="47" t="s">
        <v>2289</v>
      </c>
      <c r="G11" s="47" t="s">
        <v>2289</v>
      </c>
      <c r="H11" s="47" t="s">
        <v>2289</v>
      </c>
      <c r="I11" s="47" t="s">
        <v>2289</v>
      </c>
      <c r="J11" s="47" t="s">
        <v>2289</v>
      </c>
      <c r="K11" s="47" t="s">
        <v>2289</v>
      </c>
      <c r="L11" s="47" t="s">
        <v>2289</v>
      </c>
      <c r="M11" s="47" t="s">
        <v>2289</v>
      </c>
      <c r="N11" s="55" t="s">
        <v>2289</v>
      </c>
      <c r="O11" s="55" t="s">
        <v>2289</v>
      </c>
      <c r="P11" s="55" t="s">
        <v>2289</v>
      </c>
    </row>
    <row r="12" spans="1:21" hidden="1" outlineLevel="1">
      <c r="A12" s="47"/>
      <c r="B12" s="56"/>
      <c r="C12" s="61" t="s">
        <v>323</v>
      </c>
      <c r="D12" s="61"/>
      <c r="E12" s="47" t="s">
        <v>2290</v>
      </c>
      <c r="F12" s="47" t="s">
        <v>2290</v>
      </c>
      <c r="G12" s="47" t="s">
        <v>2290</v>
      </c>
      <c r="H12" s="47" t="s">
        <v>2290</v>
      </c>
      <c r="I12" s="47" t="s">
        <v>2290</v>
      </c>
      <c r="J12" s="47" t="s">
        <v>2290</v>
      </c>
      <c r="K12" s="47" t="s">
        <v>2290</v>
      </c>
      <c r="L12" s="47" t="s">
        <v>2290</v>
      </c>
      <c r="M12" s="47" t="s">
        <v>2290</v>
      </c>
      <c r="N12" s="55" t="s">
        <v>2290</v>
      </c>
      <c r="O12" s="55" t="s">
        <v>2290</v>
      </c>
      <c r="P12" s="55" t="s">
        <v>2290</v>
      </c>
    </row>
    <row r="13" spans="1:21" ht="18" customHeight="1" collapsed="1">
      <c r="A13" s="47"/>
      <c r="B13" s="62" t="s">
        <v>325</v>
      </c>
      <c r="C13" s="61" t="s">
        <v>326</v>
      </c>
      <c r="D13" s="61"/>
      <c r="E13" s="162">
        <v>44469</v>
      </c>
      <c r="F13" s="162">
        <v>44561</v>
      </c>
      <c r="G13" s="162">
        <v>44651</v>
      </c>
      <c r="H13" s="162">
        <v>44742</v>
      </c>
      <c r="I13" s="162">
        <v>44834</v>
      </c>
      <c r="J13" s="162">
        <v>44926</v>
      </c>
      <c r="K13" s="162">
        <v>45016</v>
      </c>
      <c r="L13" s="162">
        <v>45107</v>
      </c>
      <c r="M13" s="162">
        <v>45199</v>
      </c>
      <c r="N13" s="162">
        <v>45291</v>
      </c>
      <c r="O13" s="162">
        <v>45382</v>
      </c>
      <c r="P13" s="162">
        <v>45473</v>
      </c>
    </row>
    <row r="14" spans="1:21">
      <c r="E14" s="15"/>
      <c r="F14" s="15"/>
      <c r="G14" s="15"/>
      <c r="H14" s="15"/>
      <c r="I14" s="15"/>
      <c r="J14" s="15"/>
      <c r="K14" s="15"/>
      <c r="L14" s="15"/>
      <c r="M14" s="15"/>
      <c r="N14" s="15"/>
      <c r="O14" s="15"/>
      <c r="P14" s="15"/>
      <c r="U14" t="s">
        <v>2274</v>
      </c>
    </row>
    <row r="15" spans="1:21">
      <c r="B15" s="62" t="s">
        <v>661</v>
      </c>
      <c r="C15" s="61" t="s">
        <v>272</v>
      </c>
      <c r="D15" s="61"/>
      <c r="E15" s="15"/>
      <c r="F15" s="15"/>
      <c r="G15" s="15"/>
      <c r="H15" s="15"/>
      <c r="I15" s="15"/>
      <c r="J15" s="15"/>
      <c r="K15" s="15"/>
      <c r="L15" s="15"/>
      <c r="M15" s="15"/>
      <c r="N15" s="15"/>
      <c r="O15" s="15"/>
      <c r="P15" s="15"/>
    </row>
    <row r="16" spans="1:21">
      <c r="B16" s="47" t="s">
        <v>662</v>
      </c>
      <c r="C16" s="61" t="s">
        <v>663</v>
      </c>
      <c r="D16" s="61"/>
      <c r="E16" s="63">
        <v>341</v>
      </c>
      <c r="F16" s="63">
        <v>516.79999999999995</v>
      </c>
      <c r="G16" s="63">
        <v>365.1</v>
      </c>
      <c r="H16" s="63">
        <v>591.5</v>
      </c>
      <c r="I16" s="63">
        <v>363.8</v>
      </c>
      <c r="J16" s="63">
        <v>572</v>
      </c>
      <c r="K16" s="63">
        <v>494.40000000000003</v>
      </c>
      <c r="L16" s="63">
        <v>941.5</v>
      </c>
      <c r="M16" s="63">
        <v>323.8</v>
      </c>
      <c r="N16" s="63">
        <v>302.40000000000003</v>
      </c>
      <c r="O16" s="63">
        <v>417.8</v>
      </c>
      <c r="P16" s="63">
        <v>471.5</v>
      </c>
      <c r="U16" s="218">
        <f>IF(COUNT(E16:P16)&lt;&gt;0,1,"")</f>
        <v>1</v>
      </c>
    </row>
    <row r="17" spans="2:21">
      <c r="B17" s="47" t="s">
        <v>664</v>
      </c>
      <c r="C17" s="61" t="s">
        <v>665</v>
      </c>
      <c r="D17" s="61"/>
      <c r="E17" s="63" t="s">
        <v>301</v>
      </c>
      <c r="F17" s="63" t="s">
        <v>301</v>
      </c>
      <c r="G17" s="63" t="s">
        <v>301</v>
      </c>
      <c r="H17" s="63" t="s">
        <v>301</v>
      </c>
      <c r="I17" s="63" t="s">
        <v>301</v>
      </c>
      <c r="J17" s="63" t="s">
        <v>301</v>
      </c>
      <c r="K17" s="63" t="s">
        <v>301</v>
      </c>
      <c r="L17" s="63" t="s">
        <v>301</v>
      </c>
      <c r="M17" s="63" t="s">
        <v>301</v>
      </c>
      <c r="N17" s="63" t="s">
        <v>301</v>
      </c>
      <c r="O17" s="63" t="s">
        <v>301</v>
      </c>
      <c r="P17" s="63" t="s">
        <v>301</v>
      </c>
      <c r="U17" s="218" t="str">
        <f t="shared" ref="U17:U23" si="4">IF(COUNT(E17:P17)&lt;&gt;0,1,"")</f>
        <v/>
      </c>
    </row>
    <row r="18" spans="2:21">
      <c r="B18" s="47" t="s">
        <v>666</v>
      </c>
      <c r="C18" s="61" t="s">
        <v>667</v>
      </c>
      <c r="D18" s="61"/>
      <c r="E18" s="63">
        <v>4.3</v>
      </c>
      <c r="F18" s="63">
        <v>3.7</v>
      </c>
      <c r="G18" s="63">
        <v>10</v>
      </c>
      <c r="H18" s="63">
        <v>17.7</v>
      </c>
      <c r="I18" s="63">
        <v>28.6</v>
      </c>
      <c r="J18" s="63">
        <v>12.4</v>
      </c>
      <c r="K18" s="63">
        <v>6.7</v>
      </c>
      <c r="L18" s="63" t="s">
        <v>301</v>
      </c>
      <c r="M18" s="63" t="s">
        <v>301</v>
      </c>
      <c r="N18" s="63" t="s">
        <v>301</v>
      </c>
      <c r="O18" s="63">
        <v>2.7</v>
      </c>
      <c r="P18" s="63" t="s">
        <v>301</v>
      </c>
      <c r="U18" s="218">
        <f t="shared" si="4"/>
        <v>1</v>
      </c>
    </row>
    <row r="19" spans="2:21">
      <c r="B19" s="64" t="s">
        <v>668</v>
      </c>
      <c r="C19" s="61" t="s">
        <v>28</v>
      </c>
      <c r="D19" s="61"/>
      <c r="E19" s="165">
        <v>345.3</v>
      </c>
      <c r="F19" s="165">
        <v>520.5</v>
      </c>
      <c r="G19" s="165">
        <v>375.1</v>
      </c>
      <c r="H19" s="165">
        <v>609.20000000000005</v>
      </c>
      <c r="I19" s="165">
        <v>392.40000000000003</v>
      </c>
      <c r="J19" s="165">
        <v>584.4</v>
      </c>
      <c r="K19" s="165">
        <v>501.1</v>
      </c>
      <c r="L19" s="165">
        <v>941.5</v>
      </c>
      <c r="M19" s="165">
        <v>323.8</v>
      </c>
      <c r="N19" s="165">
        <v>302.40000000000003</v>
      </c>
      <c r="O19" s="165">
        <v>420.5</v>
      </c>
      <c r="P19" s="165">
        <v>471.5</v>
      </c>
      <c r="U19" s="217">
        <v>1</v>
      </c>
    </row>
    <row r="20" spans="2:21">
      <c r="B20" s="66"/>
      <c r="C20" s="61" t="s">
        <v>272</v>
      </c>
      <c r="D20" s="61"/>
      <c r="E20" s="63"/>
      <c r="F20" s="63"/>
      <c r="G20" s="63"/>
      <c r="H20" s="63"/>
      <c r="I20" s="63"/>
      <c r="J20" s="63"/>
      <c r="K20" s="63"/>
      <c r="L20" s="63"/>
      <c r="M20" s="63"/>
      <c r="N20" s="63"/>
      <c r="O20" s="63"/>
      <c r="P20" s="63"/>
      <c r="U20" s="217">
        <v>1</v>
      </c>
    </row>
    <row r="21" spans="2:21">
      <c r="B21" s="47" t="s">
        <v>670</v>
      </c>
      <c r="C21" s="61" t="s">
        <v>671</v>
      </c>
      <c r="D21" s="61"/>
      <c r="E21" s="63">
        <v>2503.5</v>
      </c>
      <c r="F21" s="63">
        <v>2583.7000000000003</v>
      </c>
      <c r="G21" s="63">
        <v>2868.6</v>
      </c>
      <c r="H21" s="63">
        <v>2885.1</v>
      </c>
      <c r="I21" s="63">
        <v>2599.9</v>
      </c>
      <c r="J21" s="63">
        <v>2871.4</v>
      </c>
      <c r="K21" s="63">
        <v>3202.1</v>
      </c>
      <c r="L21" s="63">
        <v>2782.8</v>
      </c>
      <c r="M21" s="63">
        <v>2564.5</v>
      </c>
      <c r="N21" s="63">
        <v>2703.2000000000003</v>
      </c>
      <c r="O21" s="63">
        <v>2817.9</v>
      </c>
      <c r="P21" s="63">
        <v>2702.4</v>
      </c>
      <c r="U21" s="218">
        <f t="shared" si="4"/>
        <v>1</v>
      </c>
    </row>
    <row r="22" spans="2:21">
      <c r="B22" s="47" t="s">
        <v>672</v>
      </c>
      <c r="C22" s="61" t="s">
        <v>673</v>
      </c>
      <c r="D22" s="61"/>
      <c r="E22" s="63" t="s">
        <v>301</v>
      </c>
      <c r="F22" s="63">
        <v>228.4</v>
      </c>
      <c r="G22" s="63" t="s">
        <v>301</v>
      </c>
      <c r="H22" s="63" t="s">
        <v>301</v>
      </c>
      <c r="I22" s="63" t="s">
        <v>301</v>
      </c>
      <c r="J22" s="63">
        <v>175.6</v>
      </c>
      <c r="K22" s="63" t="s">
        <v>301</v>
      </c>
      <c r="L22" s="63" t="s">
        <v>301</v>
      </c>
      <c r="M22" s="63" t="s">
        <v>301</v>
      </c>
      <c r="N22" s="63">
        <v>243.4</v>
      </c>
      <c r="O22" s="63" t="s">
        <v>301</v>
      </c>
      <c r="P22" s="63" t="s">
        <v>301</v>
      </c>
      <c r="U22" s="218">
        <f t="shared" si="4"/>
        <v>1</v>
      </c>
    </row>
    <row r="23" spans="2:21">
      <c r="B23" s="47" t="s">
        <v>674</v>
      </c>
      <c r="C23" s="61" t="s">
        <v>675</v>
      </c>
      <c r="D23" s="61"/>
      <c r="E23" s="63" t="s">
        <v>301</v>
      </c>
      <c r="F23" s="63" t="s">
        <v>301</v>
      </c>
      <c r="G23" s="63" t="s">
        <v>301</v>
      </c>
      <c r="H23" s="63" t="s">
        <v>301</v>
      </c>
      <c r="I23" s="63" t="s">
        <v>301</v>
      </c>
      <c r="J23" s="63" t="s">
        <v>301</v>
      </c>
      <c r="K23" s="63" t="s">
        <v>301</v>
      </c>
      <c r="L23" s="63" t="s">
        <v>301</v>
      </c>
      <c r="M23" s="63" t="s">
        <v>301</v>
      </c>
      <c r="N23" s="63" t="s">
        <v>301</v>
      </c>
      <c r="O23" s="63" t="s">
        <v>301</v>
      </c>
      <c r="P23" s="63" t="s">
        <v>301</v>
      </c>
      <c r="U23" s="218" t="str">
        <f t="shared" si="4"/>
        <v/>
      </c>
    </row>
    <row r="24" spans="2:21">
      <c r="B24" s="64" t="s">
        <v>676</v>
      </c>
      <c r="C24" s="61" t="s">
        <v>677</v>
      </c>
      <c r="D24" s="61"/>
      <c r="E24" s="165">
        <v>2503.5</v>
      </c>
      <c r="F24" s="165">
        <v>2812.1</v>
      </c>
      <c r="G24" s="165">
        <v>2868.6</v>
      </c>
      <c r="H24" s="165">
        <v>2885.1</v>
      </c>
      <c r="I24" s="165">
        <v>2599.9</v>
      </c>
      <c r="J24" s="165">
        <v>3047</v>
      </c>
      <c r="K24" s="165">
        <v>3202.1</v>
      </c>
      <c r="L24" s="165">
        <v>2782.8</v>
      </c>
      <c r="M24" s="165">
        <v>2564.5</v>
      </c>
      <c r="N24" s="165">
        <v>2946.6</v>
      </c>
      <c r="O24" s="165">
        <v>2817.9</v>
      </c>
      <c r="P24" s="165">
        <v>2702.4</v>
      </c>
      <c r="U24" s="217">
        <v>1</v>
      </c>
    </row>
    <row r="25" spans="2:21">
      <c r="B25" s="66"/>
      <c r="C25" s="61" t="s">
        <v>272</v>
      </c>
      <c r="D25" s="61"/>
      <c r="E25" s="63"/>
      <c r="F25" s="63"/>
      <c r="G25" s="63"/>
      <c r="H25" s="63"/>
      <c r="I25" s="63"/>
      <c r="J25" s="63"/>
      <c r="K25" s="63"/>
      <c r="L25" s="63"/>
      <c r="M25" s="63"/>
      <c r="N25" s="63"/>
      <c r="O25" s="63"/>
      <c r="P25" s="63"/>
      <c r="U25" s="217">
        <v>1</v>
      </c>
    </row>
    <row r="26" spans="2:21">
      <c r="B26" s="47" t="s">
        <v>678</v>
      </c>
      <c r="C26" s="61" t="s">
        <v>679</v>
      </c>
      <c r="D26" s="61"/>
      <c r="E26" s="63">
        <v>1450.5</v>
      </c>
      <c r="F26" s="63">
        <v>1521.9</v>
      </c>
      <c r="G26" s="63">
        <v>1590.7</v>
      </c>
      <c r="H26" s="63">
        <v>1590.4</v>
      </c>
      <c r="I26" s="63">
        <v>1731.5</v>
      </c>
      <c r="J26" s="63">
        <v>1651.6000000000001</v>
      </c>
      <c r="K26" s="63">
        <v>1910.9</v>
      </c>
      <c r="L26" s="63">
        <v>2072.3000000000002</v>
      </c>
      <c r="M26" s="63">
        <v>1998.6000000000001</v>
      </c>
      <c r="N26" s="63">
        <v>1724.6000000000001</v>
      </c>
      <c r="O26" s="63">
        <v>1587.1000000000001</v>
      </c>
      <c r="P26" s="63">
        <v>1435</v>
      </c>
      <c r="U26" s="218">
        <f t="shared" ref="U26:U33" si="5">IF(COUNT(E26:P26)&lt;&gt;0,1,"")</f>
        <v>1</v>
      </c>
    </row>
    <row r="27" spans="2:21">
      <c r="B27" s="47" t="s">
        <v>680</v>
      </c>
      <c r="C27" s="61" t="s">
        <v>681</v>
      </c>
      <c r="D27" s="61"/>
      <c r="E27" s="63">
        <v>406.7</v>
      </c>
      <c r="F27" s="63">
        <v>140.20000000000002</v>
      </c>
      <c r="G27" s="63">
        <v>456.7</v>
      </c>
      <c r="H27" s="63">
        <v>411.2</v>
      </c>
      <c r="I27" s="63">
        <v>371.3</v>
      </c>
      <c r="J27" s="63">
        <v>118</v>
      </c>
      <c r="K27" s="63">
        <v>407.7</v>
      </c>
      <c r="L27" s="63">
        <v>470.2</v>
      </c>
      <c r="M27" s="63">
        <v>434.5</v>
      </c>
      <c r="N27" s="63">
        <v>95.8</v>
      </c>
      <c r="O27" s="63">
        <v>372.5</v>
      </c>
      <c r="P27" s="63">
        <v>584.20000000000005</v>
      </c>
      <c r="U27" s="218">
        <f t="shared" si="5"/>
        <v>1</v>
      </c>
    </row>
    <row r="28" spans="2:21">
      <c r="B28" s="47" t="s">
        <v>682</v>
      </c>
      <c r="C28" s="61" t="s">
        <v>683</v>
      </c>
      <c r="D28" s="61"/>
      <c r="E28" s="63" t="s">
        <v>301</v>
      </c>
      <c r="F28" s="63" t="s">
        <v>301</v>
      </c>
      <c r="G28" s="63" t="s">
        <v>301</v>
      </c>
      <c r="H28" s="63" t="s">
        <v>301</v>
      </c>
      <c r="I28" s="63" t="s">
        <v>301</v>
      </c>
      <c r="J28" s="63" t="s">
        <v>301</v>
      </c>
      <c r="K28" s="63" t="s">
        <v>301</v>
      </c>
      <c r="L28" s="63" t="s">
        <v>301</v>
      </c>
      <c r="M28" s="63" t="s">
        <v>301</v>
      </c>
      <c r="N28" s="63" t="s">
        <v>301</v>
      </c>
      <c r="O28" s="63" t="s">
        <v>301</v>
      </c>
      <c r="P28" s="63" t="s">
        <v>301</v>
      </c>
      <c r="U28" s="218" t="str">
        <f t="shared" si="5"/>
        <v/>
      </c>
    </row>
    <row r="29" spans="2:21">
      <c r="B29" s="47" t="s">
        <v>684</v>
      </c>
      <c r="C29" s="61" t="s">
        <v>685</v>
      </c>
      <c r="D29" s="61"/>
      <c r="E29" s="63" t="s">
        <v>301</v>
      </c>
      <c r="F29" s="63" t="s">
        <v>301</v>
      </c>
      <c r="G29" s="63" t="s">
        <v>301</v>
      </c>
      <c r="H29" s="63" t="s">
        <v>301</v>
      </c>
      <c r="I29" s="63" t="s">
        <v>301</v>
      </c>
      <c r="J29" s="63" t="s">
        <v>301</v>
      </c>
      <c r="K29" s="63" t="s">
        <v>301</v>
      </c>
      <c r="L29" s="63" t="s">
        <v>301</v>
      </c>
      <c r="M29" s="63" t="s">
        <v>301</v>
      </c>
      <c r="N29" s="63" t="s">
        <v>301</v>
      </c>
      <c r="O29" s="63" t="s">
        <v>301</v>
      </c>
      <c r="P29" s="63" t="s">
        <v>301</v>
      </c>
      <c r="U29" s="218" t="str">
        <f t="shared" si="5"/>
        <v/>
      </c>
    </row>
    <row r="30" spans="2:21">
      <c r="B30" s="47" t="s">
        <v>686</v>
      </c>
      <c r="C30" s="61" t="s">
        <v>687</v>
      </c>
      <c r="D30" s="61"/>
      <c r="E30" s="63" t="s">
        <v>301</v>
      </c>
      <c r="F30" s="63" t="s">
        <v>301</v>
      </c>
      <c r="G30" s="63" t="s">
        <v>301</v>
      </c>
      <c r="H30" s="63" t="s">
        <v>301</v>
      </c>
      <c r="I30" s="63" t="s">
        <v>301</v>
      </c>
      <c r="J30" s="63" t="s">
        <v>301</v>
      </c>
      <c r="K30" s="63" t="s">
        <v>301</v>
      </c>
      <c r="L30" s="63" t="s">
        <v>301</v>
      </c>
      <c r="M30" s="63" t="s">
        <v>301</v>
      </c>
      <c r="N30" s="63" t="s">
        <v>301</v>
      </c>
      <c r="O30" s="63" t="s">
        <v>301</v>
      </c>
      <c r="P30" s="63" t="s">
        <v>301</v>
      </c>
      <c r="U30" s="218" t="str">
        <f t="shared" si="5"/>
        <v/>
      </c>
    </row>
    <row r="31" spans="2:21">
      <c r="B31" s="47" t="s">
        <v>688</v>
      </c>
      <c r="C31" s="61" t="s">
        <v>689</v>
      </c>
      <c r="D31" s="61"/>
      <c r="E31" s="63" t="s">
        <v>301</v>
      </c>
      <c r="F31" s="63" t="s">
        <v>301</v>
      </c>
      <c r="G31" s="63" t="s">
        <v>301</v>
      </c>
      <c r="H31" s="63" t="s">
        <v>301</v>
      </c>
      <c r="I31" s="63" t="s">
        <v>301</v>
      </c>
      <c r="J31" s="63" t="s">
        <v>301</v>
      </c>
      <c r="K31" s="63" t="s">
        <v>301</v>
      </c>
      <c r="L31" s="63" t="s">
        <v>301</v>
      </c>
      <c r="M31" s="63" t="s">
        <v>301</v>
      </c>
      <c r="N31" s="63" t="s">
        <v>301</v>
      </c>
      <c r="O31" s="63" t="s">
        <v>301</v>
      </c>
      <c r="P31" s="63" t="s">
        <v>301</v>
      </c>
      <c r="U31" s="218" t="str">
        <f t="shared" si="5"/>
        <v/>
      </c>
    </row>
    <row r="32" spans="2:21">
      <c r="B32" s="47" t="s">
        <v>690</v>
      </c>
      <c r="C32" s="61" t="s">
        <v>691</v>
      </c>
      <c r="D32" s="61"/>
      <c r="E32" s="63" t="s">
        <v>301</v>
      </c>
      <c r="F32" s="63" t="s">
        <v>301</v>
      </c>
      <c r="G32" s="63" t="s">
        <v>301</v>
      </c>
      <c r="H32" s="63" t="s">
        <v>301</v>
      </c>
      <c r="I32" s="63" t="s">
        <v>301</v>
      </c>
      <c r="J32" s="63" t="s">
        <v>301</v>
      </c>
      <c r="K32" s="63" t="s">
        <v>301</v>
      </c>
      <c r="L32" s="63" t="s">
        <v>301</v>
      </c>
      <c r="M32" s="63" t="s">
        <v>301</v>
      </c>
      <c r="N32" s="63" t="s">
        <v>301</v>
      </c>
      <c r="O32" s="63" t="s">
        <v>301</v>
      </c>
      <c r="P32" s="63" t="s">
        <v>301</v>
      </c>
      <c r="U32" s="218" t="str">
        <f t="shared" si="5"/>
        <v/>
      </c>
    </row>
    <row r="33" spans="2:21">
      <c r="B33" s="47" t="s">
        <v>692</v>
      </c>
      <c r="C33" s="61" t="s">
        <v>693</v>
      </c>
      <c r="D33" s="61"/>
      <c r="E33" s="166">
        <v>22.2</v>
      </c>
      <c r="F33" s="166">
        <v>59.1</v>
      </c>
      <c r="G33" s="166">
        <v>7.3</v>
      </c>
      <c r="H33" s="166">
        <v>21.5</v>
      </c>
      <c r="I33" s="166">
        <v>15.5</v>
      </c>
      <c r="J33" s="166">
        <v>37.6</v>
      </c>
      <c r="K33" s="166" t="s">
        <v>301</v>
      </c>
      <c r="L33" s="166" t="s">
        <v>301</v>
      </c>
      <c r="M33" s="166">
        <v>0.9</v>
      </c>
      <c r="N33" s="166">
        <v>59.7</v>
      </c>
      <c r="O33" s="166" t="s">
        <v>301</v>
      </c>
      <c r="P33" s="166">
        <v>17.100000000000001</v>
      </c>
      <c r="U33" s="218">
        <f t="shared" si="5"/>
        <v>1</v>
      </c>
    </row>
    <row r="34" spans="2:21">
      <c r="B34" s="64" t="s">
        <v>694</v>
      </c>
      <c r="C34" s="61" t="s">
        <v>695</v>
      </c>
      <c r="D34" s="61"/>
      <c r="E34" s="165">
        <v>4728.2</v>
      </c>
      <c r="F34" s="165">
        <v>5053.8</v>
      </c>
      <c r="G34" s="165">
        <v>5298.4000000000015</v>
      </c>
      <c r="H34" s="165">
        <v>5517.4000000000015</v>
      </c>
      <c r="I34" s="165">
        <v>5110.6000000000004</v>
      </c>
      <c r="J34" s="165">
        <v>5438.6</v>
      </c>
      <c r="K34" s="165">
        <v>6021.8</v>
      </c>
      <c r="L34" s="165">
        <v>6266.8</v>
      </c>
      <c r="M34" s="165">
        <v>5322.3</v>
      </c>
      <c r="N34" s="165">
        <v>5129.1000000000004</v>
      </c>
      <c r="O34" s="165">
        <v>5198</v>
      </c>
      <c r="P34" s="165">
        <v>5210.2</v>
      </c>
      <c r="U34" s="217">
        <v>1</v>
      </c>
    </row>
    <row r="35" spans="2:21">
      <c r="B35" s="66"/>
      <c r="C35" s="61" t="s">
        <v>272</v>
      </c>
      <c r="D35" s="61"/>
      <c r="E35" s="63"/>
      <c r="F35" s="63"/>
      <c r="G35" s="63"/>
      <c r="H35" s="63"/>
      <c r="I35" s="63"/>
      <c r="J35" s="63"/>
      <c r="K35" s="63"/>
      <c r="L35" s="63"/>
      <c r="M35" s="63"/>
      <c r="N35" s="63"/>
      <c r="O35" s="63"/>
      <c r="P35" s="63"/>
      <c r="U35" s="217">
        <v>1</v>
      </c>
    </row>
    <row r="36" spans="2:21">
      <c r="B36" s="47" t="s">
        <v>696</v>
      </c>
      <c r="C36" s="61" t="s">
        <v>697</v>
      </c>
      <c r="D36" s="61"/>
      <c r="E36" s="63">
        <v>1432.1000000000001</v>
      </c>
      <c r="F36" s="63">
        <v>1464.7</v>
      </c>
      <c r="G36" s="63">
        <v>1476.1000000000001</v>
      </c>
      <c r="H36" s="63">
        <v>1482</v>
      </c>
      <c r="I36" s="63">
        <v>1485.5</v>
      </c>
      <c r="J36" s="63">
        <v>1539.3</v>
      </c>
      <c r="K36" s="63">
        <v>1575.2</v>
      </c>
      <c r="L36" s="63">
        <v>1604.6000000000001</v>
      </c>
      <c r="M36" s="63">
        <v>1633.8</v>
      </c>
      <c r="N36" s="63">
        <v>1681.6000000000001</v>
      </c>
      <c r="O36" s="63">
        <v>1692.8</v>
      </c>
      <c r="P36" s="63">
        <v>1688.6000000000001</v>
      </c>
      <c r="U36" s="218">
        <f t="shared" ref="U36:U37" si="6">IF(COUNT(E36:P36)&lt;&gt;0,1,"")</f>
        <v>1</v>
      </c>
    </row>
    <row r="37" spans="2:21">
      <c r="B37" s="47" t="s">
        <v>698</v>
      </c>
      <c r="C37" s="61" t="s">
        <v>699</v>
      </c>
      <c r="D37" s="61"/>
      <c r="E37" s="166">
        <v>-509.6</v>
      </c>
      <c r="F37" s="166">
        <v>-512.5</v>
      </c>
      <c r="G37" s="166">
        <v>-537.29999999999995</v>
      </c>
      <c r="H37" s="166">
        <v>-556.4</v>
      </c>
      <c r="I37" s="166">
        <v>-572</v>
      </c>
      <c r="J37" s="166">
        <v>-565.9</v>
      </c>
      <c r="K37" s="166">
        <v>-585.5</v>
      </c>
      <c r="L37" s="166">
        <v>-613.9</v>
      </c>
      <c r="M37" s="166">
        <v>-638.80000000000007</v>
      </c>
      <c r="N37" s="166">
        <v>-667.30000000000007</v>
      </c>
      <c r="O37" s="166">
        <v>-692.2</v>
      </c>
      <c r="P37" s="166">
        <v>-707.4</v>
      </c>
      <c r="U37" s="218">
        <f t="shared" si="6"/>
        <v>1</v>
      </c>
    </row>
    <row r="38" spans="2:21">
      <c r="B38" s="64" t="s">
        <v>700</v>
      </c>
      <c r="C38" s="61" t="s">
        <v>701</v>
      </c>
      <c r="D38" s="61"/>
      <c r="E38" s="165">
        <v>922.5</v>
      </c>
      <c r="F38" s="165">
        <v>952.2</v>
      </c>
      <c r="G38" s="165">
        <v>938.80000000000007</v>
      </c>
      <c r="H38" s="165">
        <v>925.6</v>
      </c>
      <c r="I38" s="165">
        <v>913.5</v>
      </c>
      <c r="J38" s="165">
        <v>973.4</v>
      </c>
      <c r="K38" s="165">
        <v>989.7</v>
      </c>
      <c r="L38" s="165">
        <v>990.7</v>
      </c>
      <c r="M38" s="165">
        <v>995</v>
      </c>
      <c r="N38" s="165">
        <v>1014.3000000000001</v>
      </c>
      <c r="O38" s="165">
        <v>1000.6</v>
      </c>
      <c r="P38" s="165">
        <v>981.2</v>
      </c>
      <c r="U38" s="217">
        <v>1</v>
      </c>
    </row>
    <row r="39" spans="2:21">
      <c r="B39" s="66"/>
      <c r="C39" s="61" t="s">
        <v>272</v>
      </c>
      <c r="D39" s="61"/>
      <c r="E39" s="63"/>
      <c r="F39" s="63"/>
      <c r="G39" s="63"/>
      <c r="H39" s="63"/>
      <c r="I39" s="63"/>
      <c r="J39" s="63"/>
      <c r="K39" s="63"/>
      <c r="L39" s="63"/>
      <c r="M39" s="63"/>
      <c r="N39" s="63"/>
      <c r="O39" s="63"/>
      <c r="P39" s="63"/>
      <c r="U39" s="217">
        <v>1</v>
      </c>
    </row>
    <row r="40" spans="2:21">
      <c r="B40" s="47" t="s">
        <v>702</v>
      </c>
      <c r="C40" s="61" t="s">
        <v>703</v>
      </c>
      <c r="D40" s="61"/>
      <c r="E40" s="63">
        <v>8.6</v>
      </c>
      <c r="F40" s="63">
        <v>9.2000000000000011</v>
      </c>
      <c r="G40" s="63">
        <v>10.200000000000001</v>
      </c>
      <c r="H40" s="63">
        <v>10.1</v>
      </c>
      <c r="I40" s="63">
        <v>10.3</v>
      </c>
      <c r="J40" s="63">
        <v>14.5</v>
      </c>
      <c r="K40" s="63">
        <v>17.7</v>
      </c>
      <c r="L40" s="63">
        <v>17.8</v>
      </c>
      <c r="M40" s="63">
        <v>19.3</v>
      </c>
      <c r="N40" s="63">
        <v>19.8</v>
      </c>
      <c r="O40" s="63">
        <v>20.100000000000001</v>
      </c>
      <c r="P40" s="63">
        <v>22.8</v>
      </c>
      <c r="U40" s="218">
        <f t="shared" ref="U40:U49" si="7">IF(COUNT(E40:P40)&lt;&gt;0,1,"")</f>
        <v>1</v>
      </c>
    </row>
    <row r="41" spans="2:21">
      <c r="B41" s="47" t="s">
        <v>704</v>
      </c>
      <c r="C41" s="61" t="s">
        <v>705</v>
      </c>
      <c r="D41" s="61"/>
      <c r="E41" s="63">
        <v>1464.3</v>
      </c>
      <c r="F41" s="63">
        <v>1463.3</v>
      </c>
      <c r="G41" s="63">
        <v>1463.1000000000001</v>
      </c>
      <c r="H41" s="63">
        <v>1455.8</v>
      </c>
      <c r="I41" s="63">
        <v>1574.1000000000001</v>
      </c>
      <c r="J41" s="63">
        <v>1589.3</v>
      </c>
      <c r="K41" s="63">
        <v>1592</v>
      </c>
      <c r="L41" s="63">
        <v>1592.3</v>
      </c>
      <c r="M41" s="63">
        <v>1584.7</v>
      </c>
      <c r="N41" s="63">
        <v>1593.6000000000001</v>
      </c>
      <c r="O41" s="63">
        <v>1587.9</v>
      </c>
      <c r="P41" s="63">
        <v>1509.2</v>
      </c>
      <c r="U41" s="218">
        <f t="shared" si="7"/>
        <v>1</v>
      </c>
    </row>
    <row r="42" spans="2:21">
      <c r="B42" s="47" t="s">
        <v>706</v>
      </c>
      <c r="C42" s="61" t="s">
        <v>707</v>
      </c>
      <c r="D42" s="61"/>
      <c r="E42" s="63">
        <v>2546.2000000000003</v>
      </c>
      <c r="F42" s="63">
        <v>2665.7000000000003</v>
      </c>
      <c r="G42" s="63">
        <v>2491.5</v>
      </c>
      <c r="H42" s="63">
        <v>2446.4</v>
      </c>
      <c r="I42" s="63">
        <v>2472.7000000000003</v>
      </c>
      <c r="J42" s="63">
        <v>2641.1</v>
      </c>
      <c r="K42" s="63">
        <v>2500.1</v>
      </c>
      <c r="L42" s="63">
        <v>2488.6</v>
      </c>
      <c r="M42" s="63">
        <v>2453.1</v>
      </c>
      <c r="N42" s="63">
        <v>2588.4</v>
      </c>
      <c r="O42" s="63">
        <v>2432.9</v>
      </c>
      <c r="P42" s="63">
        <v>2413.2000000000003</v>
      </c>
      <c r="U42" s="218">
        <f t="shared" si="7"/>
        <v>1</v>
      </c>
    </row>
    <row r="43" spans="2:21">
      <c r="B43" s="47" t="s">
        <v>708</v>
      </c>
      <c r="C43" s="61" t="s">
        <v>709</v>
      </c>
      <c r="D43" s="61"/>
      <c r="E43" s="63" t="s">
        <v>301</v>
      </c>
      <c r="F43" s="63" t="s">
        <v>301</v>
      </c>
      <c r="G43" s="63" t="s">
        <v>301</v>
      </c>
      <c r="H43" s="63" t="s">
        <v>301</v>
      </c>
      <c r="I43" s="63" t="s">
        <v>301</v>
      </c>
      <c r="J43" s="63" t="s">
        <v>301</v>
      </c>
      <c r="K43" s="63" t="s">
        <v>301</v>
      </c>
      <c r="L43" s="63" t="s">
        <v>301</v>
      </c>
      <c r="M43" s="63" t="s">
        <v>301</v>
      </c>
      <c r="N43" s="63" t="s">
        <v>301</v>
      </c>
      <c r="O43" s="63" t="s">
        <v>301</v>
      </c>
      <c r="P43" s="63" t="s">
        <v>301</v>
      </c>
      <c r="U43" s="218" t="str">
        <f t="shared" si="7"/>
        <v/>
      </c>
    </row>
    <row r="44" spans="2:21">
      <c r="B44" s="47" t="s">
        <v>710</v>
      </c>
      <c r="C44" s="61" t="s">
        <v>711</v>
      </c>
      <c r="D44" s="61"/>
      <c r="E44" s="63" t="s">
        <v>301</v>
      </c>
      <c r="F44" s="63" t="s">
        <v>301</v>
      </c>
      <c r="G44" s="63" t="s">
        <v>301</v>
      </c>
      <c r="H44" s="63" t="s">
        <v>301</v>
      </c>
      <c r="I44" s="63" t="s">
        <v>301</v>
      </c>
      <c r="J44" s="63" t="s">
        <v>301</v>
      </c>
      <c r="K44" s="63" t="s">
        <v>301</v>
      </c>
      <c r="L44" s="63" t="s">
        <v>301</v>
      </c>
      <c r="M44" s="63" t="s">
        <v>301</v>
      </c>
      <c r="N44" s="63" t="s">
        <v>301</v>
      </c>
      <c r="O44" s="63" t="s">
        <v>301</v>
      </c>
      <c r="P44" s="63" t="s">
        <v>301</v>
      </c>
      <c r="U44" s="218" t="str">
        <f t="shared" si="7"/>
        <v/>
      </c>
    </row>
    <row r="45" spans="2:21">
      <c r="B45" s="47" t="s">
        <v>712</v>
      </c>
      <c r="C45" s="61" t="s">
        <v>713</v>
      </c>
      <c r="D45" s="61"/>
      <c r="E45" s="63">
        <v>69.600000000000009</v>
      </c>
      <c r="F45" s="63">
        <v>57.4</v>
      </c>
      <c r="G45" s="63">
        <v>68</v>
      </c>
      <c r="H45" s="63">
        <v>68.400000000000006</v>
      </c>
      <c r="I45" s="63">
        <v>64.599999999999994</v>
      </c>
      <c r="J45" s="63">
        <v>60.800000000000004</v>
      </c>
      <c r="K45" s="63">
        <v>25</v>
      </c>
      <c r="L45" s="63">
        <v>22.400000000000002</v>
      </c>
      <c r="M45" s="63">
        <v>23.5</v>
      </c>
      <c r="N45" s="63">
        <v>19.5</v>
      </c>
      <c r="O45" s="63">
        <v>15</v>
      </c>
      <c r="P45" s="63" t="s">
        <v>301</v>
      </c>
      <c r="U45" s="218">
        <f t="shared" si="7"/>
        <v>1</v>
      </c>
    </row>
    <row r="46" spans="2:21">
      <c r="B46" s="47" t="s">
        <v>714</v>
      </c>
      <c r="C46" s="61" t="s">
        <v>715</v>
      </c>
      <c r="D46" s="61"/>
      <c r="E46" s="63" t="s">
        <v>301</v>
      </c>
      <c r="F46" s="63" t="s">
        <v>301</v>
      </c>
      <c r="G46" s="63" t="s">
        <v>301</v>
      </c>
      <c r="H46" s="63" t="s">
        <v>301</v>
      </c>
      <c r="I46" s="63" t="s">
        <v>301</v>
      </c>
      <c r="J46" s="63" t="s">
        <v>301</v>
      </c>
      <c r="K46" s="63" t="s">
        <v>301</v>
      </c>
      <c r="L46" s="63" t="s">
        <v>301</v>
      </c>
      <c r="M46" s="63" t="s">
        <v>301</v>
      </c>
      <c r="N46" s="63" t="s">
        <v>301</v>
      </c>
      <c r="O46" s="63" t="s">
        <v>301</v>
      </c>
      <c r="P46" s="63" t="s">
        <v>301</v>
      </c>
      <c r="U46" s="218" t="str">
        <f t="shared" si="7"/>
        <v/>
      </c>
    </row>
    <row r="47" spans="2:21">
      <c r="B47" s="47" t="s">
        <v>716</v>
      </c>
      <c r="C47" s="61" t="s">
        <v>717</v>
      </c>
      <c r="D47" s="61"/>
      <c r="E47" s="63">
        <v>213.4</v>
      </c>
      <c r="F47" s="63">
        <v>194.1</v>
      </c>
      <c r="G47" s="63">
        <v>223.4</v>
      </c>
      <c r="H47" s="63">
        <v>214.9</v>
      </c>
      <c r="I47" s="63">
        <v>184.1</v>
      </c>
      <c r="J47" s="63">
        <v>210.70000000000002</v>
      </c>
      <c r="K47" s="63">
        <v>218.8</v>
      </c>
      <c r="L47" s="63">
        <v>218.5</v>
      </c>
      <c r="M47" s="63">
        <v>209.3</v>
      </c>
      <c r="N47" s="63">
        <v>1336.6000000000001</v>
      </c>
      <c r="O47" s="63">
        <v>1375.1000000000001</v>
      </c>
      <c r="P47" s="63">
        <v>1664.1000000000001</v>
      </c>
      <c r="U47" s="218">
        <f t="shared" si="7"/>
        <v>1</v>
      </c>
    </row>
    <row r="48" spans="2:21">
      <c r="B48" s="47" t="s">
        <v>718</v>
      </c>
      <c r="C48" s="61" t="s">
        <v>719</v>
      </c>
      <c r="D48" s="61"/>
      <c r="E48" s="63" t="s">
        <v>301</v>
      </c>
      <c r="F48" s="63" t="s">
        <v>301</v>
      </c>
      <c r="G48" s="63" t="s">
        <v>301</v>
      </c>
      <c r="H48" s="63" t="s">
        <v>301</v>
      </c>
      <c r="I48" s="63" t="s">
        <v>301</v>
      </c>
      <c r="J48" s="63" t="s">
        <v>301</v>
      </c>
      <c r="K48" s="63" t="s">
        <v>301</v>
      </c>
      <c r="L48" s="63" t="s">
        <v>301</v>
      </c>
      <c r="M48" s="63" t="s">
        <v>301</v>
      </c>
      <c r="N48" s="63" t="s">
        <v>301</v>
      </c>
      <c r="O48" s="63" t="s">
        <v>301</v>
      </c>
      <c r="P48" s="63" t="s">
        <v>301</v>
      </c>
      <c r="U48" s="218" t="str">
        <f t="shared" si="7"/>
        <v/>
      </c>
    </row>
    <row r="49" spans="2:21">
      <c r="B49" s="47" t="s">
        <v>720</v>
      </c>
      <c r="C49" s="61" t="s">
        <v>721</v>
      </c>
      <c r="D49" s="61"/>
      <c r="E49" s="63">
        <v>457.40000000000003</v>
      </c>
      <c r="F49" s="63">
        <v>277.40000000000003</v>
      </c>
      <c r="G49" s="63">
        <v>411.40000000000003</v>
      </c>
      <c r="H49" s="63">
        <v>405.6</v>
      </c>
      <c r="I49" s="63">
        <v>434.8</v>
      </c>
      <c r="J49" s="63">
        <v>242.9</v>
      </c>
      <c r="K49" s="63">
        <v>367</v>
      </c>
      <c r="L49" s="63">
        <v>354.6</v>
      </c>
      <c r="M49" s="63">
        <v>349.2</v>
      </c>
      <c r="N49" s="63">
        <v>224.9</v>
      </c>
      <c r="O49" s="63">
        <v>348.8</v>
      </c>
      <c r="P49" s="63">
        <v>330</v>
      </c>
      <c r="U49" s="218">
        <f t="shared" si="7"/>
        <v>1</v>
      </c>
    </row>
    <row r="50" spans="2:21" ht="10.8" thickBot="1">
      <c r="B50" s="71" t="s">
        <v>722</v>
      </c>
      <c r="C50" s="61" t="s">
        <v>723</v>
      </c>
      <c r="D50" s="61"/>
      <c r="E50" s="164">
        <v>10410.200000000001</v>
      </c>
      <c r="F50" s="164">
        <v>10673.1</v>
      </c>
      <c r="G50" s="164">
        <v>10904.800000000001</v>
      </c>
      <c r="H50" s="164">
        <v>11044.2</v>
      </c>
      <c r="I50" s="164">
        <v>10764.7</v>
      </c>
      <c r="J50" s="164">
        <v>11171.300000000001</v>
      </c>
      <c r="K50" s="164">
        <v>11732.1</v>
      </c>
      <c r="L50" s="164">
        <v>11951.7</v>
      </c>
      <c r="M50" s="164">
        <v>10956.4</v>
      </c>
      <c r="N50" s="164">
        <v>11926.2</v>
      </c>
      <c r="O50" s="164">
        <v>11978.4</v>
      </c>
      <c r="P50" s="164">
        <v>12130.7</v>
      </c>
      <c r="U50" s="217">
        <v>1</v>
      </c>
    </row>
    <row r="51" spans="2:21" ht="10.8" thickTop="1">
      <c r="B51" s="66"/>
      <c r="C51" s="61" t="s">
        <v>272</v>
      </c>
      <c r="D51" s="61"/>
      <c r="E51" s="63"/>
      <c r="F51" s="63"/>
      <c r="G51" s="63"/>
      <c r="H51" s="63"/>
      <c r="I51" s="63"/>
      <c r="J51" s="63"/>
      <c r="K51" s="63"/>
      <c r="L51" s="63"/>
      <c r="M51" s="63"/>
      <c r="N51" s="63"/>
      <c r="O51" s="63"/>
      <c r="P51" s="63"/>
      <c r="U51" s="217">
        <v>1</v>
      </c>
    </row>
    <row r="52" spans="2:21">
      <c r="B52" s="62" t="s">
        <v>724</v>
      </c>
      <c r="C52" s="61" t="s">
        <v>272</v>
      </c>
      <c r="D52" s="61"/>
      <c r="E52" s="63"/>
      <c r="F52" s="63"/>
      <c r="G52" s="63"/>
      <c r="H52" s="63"/>
      <c r="I52" s="63"/>
      <c r="J52" s="63"/>
      <c r="K52" s="63"/>
      <c r="L52" s="63"/>
      <c r="M52" s="63"/>
      <c r="N52" s="63"/>
      <c r="O52" s="63"/>
      <c r="P52" s="63"/>
      <c r="U52" s="217">
        <v>1</v>
      </c>
    </row>
    <row r="53" spans="2:21">
      <c r="B53" s="47" t="s">
        <v>725</v>
      </c>
      <c r="C53" s="61" t="s">
        <v>726</v>
      </c>
      <c r="D53" s="61"/>
      <c r="E53" s="63">
        <v>1101.4000000000001</v>
      </c>
      <c r="F53" s="63">
        <v>1135</v>
      </c>
      <c r="G53" s="63">
        <v>1057.4000000000001</v>
      </c>
      <c r="H53" s="63">
        <v>1122.2</v>
      </c>
      <c r="I53" s="63">
        <v>1045.7</v>
      </c>
      <c r="J53" s="63">
        <v>1252.2</v>
      </c>
      <c r="K53" s="63">
        <v>1182.8</v>
      </c>
      <c r="L53" s="63">
        <v>1032.7</v>
      </c>
      <c r="M53" s="63">
        <v>662.5</v>
      </c>
      <c r="N53" s="63">
        <v>602.4</v>
      </c>
      <c r="O53" s="63">
        <v>589.30000000000007</v>
      </c>
      <c r="P53" s="63">
        <v>697.30000000000007</v>
      </c>
      <c r="U53" s="218">
        <f t="shared" ref="U53:U73" si="8">IF(COUNT(E53:P53)&lt;&gt;0,1,"")</f>
        <v>1</v>
      </c>
    </row>
    <row r="54" spans="2:21">
      <c r="B54" s="47" t="s">
        <v>727</v>
      </c>
      <c r="C54" s="61" t="s">
        <v>728</v>
      </c>
      <c r="D54" s="61"/>
      <c r="E54" s="63">
        <v>1211.7</v>
      </c>
      <c r="F54" s="63">
        <v>845.5</v>
      </c>
      <c r="G54" s="63">
        <v>1145.5</v>
      </c>
      <c r="H54" s="63">
        <v>1276.8</v>
      </c>
      <c r="I54" s="63">
        <v>1374.8</v>
      </c>
      <c r="J54" s="63">
        <v>939.30000000000007</v>
      </c>
      <c r="K54" s="63">
        <v>1188.9000000000001</v>
      </c>
      <c r="L54" s="63">
        <v>1254.5</v>
      </c>
      <c r="M54" s="63">
        <v>1431.9</v>
      </c>
      <c r="N54" s="63">
        <v>1011.2</v>
      </c>
      <c r="O54" s="63">
        <v>1261.3</v>
      </c>
      <c r="P54" s="63">
        <v>1384</v>
      </c>
      <c r="U54" s="218">
        <f t="shared" si="8"/>
        <v>1</v>
      </c>
    </row>
    <row r="55" spans="2:21">
      <c r="B55" s="47" t="s">
        <v>729</v>
      </c>
      <c r="C55" s="61" t="s">
        <v>730</v>
      </c>
      <c r="D55" s="61"/>
      <c r="E55" s="63">
        <v>375.40000000000003</v>
      </c>
      <c r="F55" s="63">
        <v>356.3</v>
      </c>
      <c r="G55" s="63">
        <v>941.80000000000007</v>
      </c>
      <c r="H55" s="63">
        <v>1065.9000000000001</v>
      </c>
      <c r="I55" s="63">
        <v>740.4</v>
      </c>
      <c r="J55" s="63">
        <v>452.3</v>
      </c>
      <c r="K55" s="63">
        <v>1387.7</v>
      </c>
      <c r="L55" s="63">
        <v>1164.3</v>
      </c>
      <c r="M55" s="63">
        <v>599.70000000000005</v>
      </c>
      <c r="N55" s="63">
        <v>837.5</v>
      </c>
      <c r="O55" s="63">
        <v>1217.4000000000001</v>
      </c>
      <c r="P55" s="63">
        <v>1068.9000000000001</v>
      </c>
      <c r="U55" s="218">
        <f t="shared" si="8"/>
        <v>1</v>
      </c>
    </row>
    <row r="56" spans="2:21">
      <c r="B56" s="47" t="s">
        <v>731</v>
      </c>
      <c r="C56" s="61" t="s">
        <v>732</v>
      </c>
      <c r="D56" s="61"/>
      <c r="E56" s="63">
        <v>386.6</v>
      </c>
      <c r="F56" s="63">
        <v>84.5</v>
      </c>
      <c r="G56" s="63">
        <v>98.600000000000009</v>
      </c>
      <c r="H56" s="63">
        <v>89.2</v>
      </c>
      <c r="I56" s="63">
        <v>85.9</v>
      </c>
      <c r="J56" s="63">
        <v>88.5</v>
      </c>
      <c r="K56" s="63">
        <v>490.90000000000003</v>
      </c>
      <c r="L56" s="63">
        <v>496.2</v>
      </c>
      <c r="M56" s="63">
        <v>493.1</v>
      </c>
      <c r="N56" s="63">
        <v>96.5</v>
      </c>
      <c r="O56" s="63">
        <v>93.7</v>
      </c>
      <c r="P56" s="63">
        <v>84.4</v>
      </c>
      <c r="U56" s="218">
        <f t="shared" si="8"/>
        <v>1</v>
      </c>
    </row>
    <row r="57" spans="2:21">
      <c r="B57" s="47" t="s">
        <v>733</v>
      </c>
      <c r="C57" s="61" t="s">
        <v>734</v>
      </c>
      <c r="D57" s="61"/>
      <c r="E57" s="63">
        <v>23.8</v>
      </c>
      <c r="F57" s="63">
        <v>23.5</v>
      </c>
      <c r="G57" s="63">
        <v>23.5</v>
      </c>
      <c r="H57" s="63">
        <v>22.7</v>
      </c>
      <c r="I57" s="63">
        <v>22.5</v>
      </c>
      <c r="J57" s="63">
        <v>22</v>
      </c>
      <c r="K57" s="63">
        <v>22.8</v>
      </c>
      <c r="L57" s="63">
        <v>22.3</v>
      </c>
      <c r="M57" s="63">
        <v>23.5</v>
      </c>
      <c r="N57" s="63">
        <v>24.400000000000002</v>
      </c>
      <c r="O57" s="63">
        <v>28.1</v>
      </c>
      <c r="P57" s="63">
        <v>27</v>
      </c>
      <c r="U57" s="218">
        <f t="shared" si="8"/>
        <v>1</v>
      </c>
    </row>
    <row r="58" spans="2:21">
      <c r="B58" s="47" t="s">
        <v>735</v>
      </c>
      <c r="C58" s="61" t="s">
        <v>736</v>
      </c>
      <c r="D58" s="61"/>
      <c r="E58" s="63" t="s">
        <v>301</v>
      </c>
      <c r="F58" s="63" t="s">
        <v>301</v>
      </c>
      <c r="G58" s="63" t="s">
        <v>301</v>
      </c>
      <c r="H58" s="63" t="s">
        <v>301</v>
      </c>
      <c r="I58" s="63" t="s">
        <v>301</v>
      </c>
      <c r="J58" s="63" t="s">
        <v>301</v>
      </c>
      <c r="K58" s="63" t="s">
        <v>301</v>
      </c>
      <c r="L58" s="63" t="s">
        <v>301</v>
      </c>
      <c r="M58" s="63" t="s">
        <v>301</v>
      </c>
      <c r="N58" s="63" t="s">
        <v>301</v>
      </c>
      <c r="O58" s="63" t="s">
        <v>301</v>
      </c>
      <c r="P58" s="63" t="s">
        <v>301</v>
      </c>
      <c r="U58" s="218" t="str">
        <f t="shared" si="8"/>
        <v/>
      </c>
    </row>
    <row r="59" spans="2:21">
      <c r="B59" s="47" t="s">
        <v>737</v>
      </c>
      <c r="C59" s="61" t="s">
        <v>738</v>
      </c>
      <c r="D59" s="61"/>
      <c r="E59" s="63" t="s">
        <v>301</v>
      </c>
      <c r="F59" s="63" t="s">
        <v>301</v>
      </c>
      <c r="G59" s="63" t="s">
        <v>301</v>
      </c>
      <c r="H59" s="63" t="s">
        <v>301</v>
      </c>
      <c r="I59" s="63" t="s">
        <v>301</v>
      </c>
      <c r="J59" s="63" t="s">
        <v>301</v>
      </c>
      <c r="K59" s="63" t="s">
        <v>301</v>
      </c>
      <c r="L59" s="63" t="s">
        <v>301</v>
      </c>
      <c r="M59" s="63" t="s">
        <v>301</v>
      </c>
      <c r="N59" s="63" t="s">
        <v>301</v>
      </c>
      <c r="O59" s="63" t="s">
        <v>301</v>
      </c>
      <c r="P59" s="63" t="s">
        <v>301</v>
      </c>
      <c r="U59" s="218" t="str">
        <f t="shared" si="8"/>
        <v/>
      </c>
    </row>
    <row r="60" spans="2:21">
      <c r="B60" s="47" t="s">
        <v>739</v>
      </c>
      <c r="C60" s="61" t="s">
        <v>740</v>
      </c>
      <c r="D60" s="61"/>
      <c r="E60" s="63">
        <v>108.2</v>
      </c>
      <c r="F60" s="63">
        <v>65.400000000000006</v>
      </c>
      <c r="G60" s="63">
        <v>94</v>
      </c>
      <c r="H60" s="63">
        <v>109.9</v>
      </c>
      <c r="I60" s="63">
        <v>99.3</v>
      </c>
      <c r="J60" s="63">
        <v>114.7</v>
      </c>
      <c r="K60" s="63">
        <v>140.20000000000002</v>
      </c>
      <c r="L60" s="63">
        <v>118.2</v>
      </c>
      <c r="M60" s="63">
        <v>107.8</v>
      </c>
      <c r="N60" s="63">
        <v>124.4</v>
      </c>
      <c r="O60" s="63">
        <v>116.2</v>
      </c>
      <c r="P60" s="63">
        <v>120.3</v>
      </c>
      <c r="U60" s="218">
        <f t="shared" si="8"/>
        <v>1</v>
      </c>
    </row>
    <row r="61" spans="2:21">
      <c r="B61" s="47" t="s">
        <v>741</v>
      </c>
      <c r="C61" s="61" t="s">
        <v>742</v>
      </c>
      <c r="D61" s="61"/>
      <c r="E61" s="63">
        <v>3.2</v>
      </c>
      <c r="F61" s="63">
        <v>630.70000000000005</v>
      </c>
      <c r="G61" s="63">
        <v>40</v>
      </c>
      <c r="H61" s="63">
        <v>1.8</v>
      </c>
      <c r="I61" s="63">
        <v>3.3000000000000003</v>
      </c>
      <c r="J61" s="63">
        <v>680.5</v>
      </c>
      <c r="K61" s="63">
        <v>14</v>
      </c>
      <c r="L61" s="63">
        <v>3.4</v>
      </c>
      <c r="M61" s="63">
        <v>1.7</v>
      </c>
      <c r="N61" s="63">
        <v>482.1</v>
      </c>
      <c r="O61" s="63">
        <v>88.7</v>
      </c>
      <c r="P61" s="63">
        <v>0.8</v>
      </c>
      <c r="U61" s="218">
        <f t="shared" si="8"/>
        <v>1</v>
      </c>
    </row>
    <row r="62" spans="2:21">
      <c r="B62" s="47" t="s">
        <v>743</v>
      </c>
      <c r="C62" s="61" t="s">
        <v>744</v>
      </c>
      <c r="D62" s="61"/>
      <c r="E62" s="63" t="s">
        <v>301</v>
      </c>
      <c r="F62" s="63" t="s">
        <v>301</v>
      </c>
      <c r="G62" s="63" t="s">
        <v>301</v>
      </c>
      <c r="H62" s="63" t="s">
        <v>301</v>
      </c>
      <c r="I62" s="63" t="s">
        <v>301</v>
      </c>
      <c r="J62" s="63" t="s">
        <v>301</v>
      </c>
      <c r="K62" s="63" t="s">
        <v>301</v>
      </c>
      <c r="L62" s="63" t="s">
        <v>301</v>
      </c>
      <c r="M62" s="63" t="s">
        <v>301</v>
      </c>
      <c r="N62" s="63" t="s">
        <v>301</v>
      </c>
      <c r="O62" s="63" t="s">
        <v>301</v>
      </c>
      <c r="P62" s="63" t="s">
        <v>301</v>
      </c>
      <c r="U62" s="218" t="str">
        <f t="shared" si="8"/>
        <v/>
      </c>
    </row>
    <row r="63" spans="2:21">
      <c r="B63" s="47" t="s">
        <v>745</v>
      </c>
      <c r="C63" s="61" t="s">
        <v>746</v>
      </c>
      <c r="D63" s="61"/>
      <c r="E63" s="166">
        <v>217.3</v>
      </c>
      <c r="F63" s="166">
        <v>379.40000000000003</v>
      </c>
      <c r="G63" s="166">
        <v>428.5</v>
      </c>
      <c r="H63" s="166">
        <v>297.2</v>
      </c>
      <c r="I63" s="166">
        <v>260.3</v>
      </c>
      <c r="J63" s="166">
        <v>250.1</v>
      </c>
      <c r="K63" s="166">
        <v>241</v>
      </c>
      <c r="L63" s="166">
        <v>261.10000000000002</v>
      </c>
      <c r="M63" s="166">
        <v>126.3</v>
      </c>
      <c r="N63" s="166">
        <v>206.1</v>
      </c>
      <c r="O63" s="166">
        <v>158.20000000000002</v>
      </c>
      <c r="P63" s="166">
        <v>140.4</v>
      </c>
      <c r="U63" s="218">
        <f t="shared" si="8"/>
        <v>1</v>
      </c>
    </row>
    <row r="64" spans="2:21">
      <c r="B64" s="64" t="s">
        <v>747</v>
      </c>
      <c r="C64" s="61" t="s">
        <v>748</v>
      </c>
      <c r="D64" s="61"/>
      <c r="E64" s="165">
        <v>3427.6</v>
      </c>
      <c r="F64" s="165">
        <v>3520.3</v>
      </c>
      <c r="G64" s="165">
        <v>3829.3</v>
      </c>
      <c r="H64" s="165">
        <v>3985.7000000000003</v>
      </c>
      <c r="I64" s="165">
        <v>3632.2000000000003</v>
      </c>
      <c r="J64" s="165">
        <v>3799.6</v>
      </c>
      <c r="K64" s="165">
        <v>4668.3</v>
      </c>
      <c r="L64" s="165">
        <v>4352.7</v>
      </c>
      <c r="M64" s="165">
        <v>3446.5</v>
      </c>
      <c r="N64" s="165">
        <v>3384.6</v>
      </c>
      <c r="O64" s="165">
        <v>3552.9</v>
      </c>
      <c r="P64" s="165">
        <v>3523.1</v>
      </c>
      <c r="U64" s="217">
        <v>1</v>
      </c>
    </row>
    <row r="65" spans="2:21">
      <c r="B65" s="66"/>
      <c r="C65" s="61" t="s">
        <v>272</v>
      </c>
      <c r="D65" s="61"/>
      <c r="E65" s="63"/>
      <c r="F65" s="63"/>
      <c r="G65" s="63"/>
      <c r="H65" s="63"/>
      <c r="I65" s="63"/>
      <c r="J65" s="63"/>
      <c r="K65" s="63"/>
      <c r="L65" s="63"/>
      <c r="M65" s="63"/>
      <c r="N65" s="63"/>
      <c r="O65" s="63"/>
      <c r="P65" s="63"/>
      <c r="U65" s="217">
        <v>1</v>
      </c>
    </row>
    <row r="66" spans="2:21">
      <c r="B66" s="47" t="s">
        <v>749</v>
      </c>
      <c r="C66" s="61" t="s">
        <v>750</v>
      </c>
      <c r="D66" s="61"/>
      <c r="E66" s="63">
        <v>2631.7000000000003</v>
      </c>
      <c r="F66" s="63">
        <v>2731.7000000000003</v>
      </c>
      <c r="G66" s="63">
        <v>2732.4</v>
      </c>
      <c r="H66" s="63">
        <v>2731.7000000000003</v>
      </c>
      <c r="I66" s="63">
        <v>2732.5</v>
      </c>
      <c r="J66" s="63">
        <v>2733.2000000000003</v>
      </c>
      <c r="K66" s="63">
        <v>2334</v>
      </c>
      <c r="L66" s="63">
        <v>3022</v>
      </c>
      <c r="M66" s="63">
        <v>3022.9</v>
      </c>
      <c r="N66" s="63">
        <v>3023.6</v>
      </c>
      <c r="O66" s="63">
        <v>3024.6</v>
      </c>
      <c r="P66" s="63">
        <v>3025.8</v>
      </c>
      <c r="U66" s="218">
        <f t="shared" si="8"/>
        <v>1</v>
      </c>
    </row>
    <row r="67" spans="2:21">
      <c r="B67" s="47" t="s">
        <v>751</v>
      </c>
      <c r="C67" s="61" t="s">
        <v>752</v>
      </c>
      <c r="D67" s="61"/>
      <c r="E67" s="63">
        <v>144.5</v>
      </c>
      <c r="F67" s="63">
        <v>140</v>
      </c>
      <c r="G67" s="63">
        <v>139.1</v>
      </c>
      <c r="H67" s="63">
        <v>132.6</v>
      </c>
      <c r="I67" s="63">
        <v>127.5</v>
      </c>
      <c r="J67" s="63">
        <v>128.6</v>
      </c>
      <c r="K67" s="63">
        <v>130.4</v>
      </c>
      <c r="L67" s="63">
        <v>126.4</v>
      </c>
      <c r="M67" s="63">
        <v>124.10000000000001</v>
      </c>
      <c r="N67" s="63">
        <v>123.2</v>
      </c>
      <c r="O67" s="63">
        <v>120.9</v>
      </c>
      <c r="P67" s="63">
        <v>115.9</v>
      </c>
      <c r="U67" s="218">
        <f t="shared" si="8"/>
        <v>1</v>
      </c>
    </row>
    <row r="68" spans="2:21">
      <c r="B68" s="47" t="s">
        <v>753</v>
      </c>
      <c r="C68" s="61" t="s">
        <v>754</v>
      </c>
      <c r="D68" s="61"/>
      <c r="E68" s="63" t="s">
        <v>301</v>
      </c>
      <c r="F68" s="63" t="s">
        <v>301</v>
      </c>
      <c r="G68" s="63" t="s">
        <v>301</v>
      </c>
      <c r="H68" s="63" t="s">
        <v>301</v>
      </c>
      <c r="I68" s="63" t="s">
        <v>301</v>
      </c>
      <c r="J68" s="63" t="s">
        <v>301</v>
      </c>
      <c r="K68" s="63" t="s">
        <v>301</v>
      </c>
      <c r="L68" s="63" t="s">
        <v>301</v>
      </c>
      <c r="M68" s="63" t="s">
        <v>301</v>
      </c>
      <c r="N68" s="63" t="s">
        <v>301</v>
      </c>
      <c r="O68" s="63" t="s">
        <v>301</v>
      </c>
      <c r="P68" s="63" t="s">
        <v>301</v>
      </c>
      <c r="U68" s="218" t="str">
        <f t="shared" si="8"/>
        <v/>
      </c>
    </row>
    <row r="69" spans="2:21">
      <c r="B69" s="47" t="s">
        <v>755</v>
      </c>
      <c r="C69" s="61" t="s">
        <v>756</v>
      </c>
      <c r="D69" s="61"/>
      <c r="E69" s="63" t="s">
        <v>301</v>
      </c>
      <c r="F69" s="63" t="s">
        <v>301</v>
      </c>
      <c r="G69" s="63" t="s">
        <v>301</v>
      </c>
      <c r="H69" s="63" t="s">
        <v>301</v>
      </c>
      <c r="I69" s="63" t="s">
        <v>301</v>
      </c>
      <c r="J69" s="63" t="s">
        <v>301</v>
      </c>
      <c r="K69" s="63" t="s">
        <v>301</v>
      </c>
      <c r="L69" s="63" t="s">
        <v>301</v>
      </c>
      <c r="M69" s="63" t="s">
        <v>301</v>
      </c>
      <c r="N69" s="63" t="s">
        <v>301</v>
      </c>
      <c r="O69" s="63" t="s">
        <v>301</v>
      </c>
      <c r="P69" s="63" t="s">
        <v>301</v>
      </c>
      <c r="U69" s="218" t="str">
        <f t="shared" si="8"/>
        <v/>
      </c>
    </row>
    <row r="70" spans="2:21">
      <c r="B70" s="47" t="s">
        <v>757</v>
      </c>
      <c r="C70" s="61" t="s">
        <v>758</v>
      </c>
      <c r="D70" s="61"/>
      <c r="E70" s="63" t="s">
        <v>301</v>
      </c>
      <c r="F70" s="63" t="s">
        <v>301</v>
      </c>
      <c r="G70" s="63" t="s">
        <v>301</v>
      </c>
      <c r="H70" s="63" t="s">
        <v>301</v>
      </c>
      <c r="I70" s="63" t="s">
        <v>301</v>
      </c>
      <c r="J70" s="63" t="s">
        <v>301</v>
      </c>
      <c r="K70" s="63" t="s">
        <v>301</v>
      </c>
      <c r="L70" s="63" t="s">
        <v>301</v>
      </c>
      <c r="M70" s="63" t="s">
        <v>301</v>
      </c>
      <c r="N70" s="63" t="s">
        <v>301</v>
      </c>
      <c r="O70" s="63" t="s">
        <v>301</v>
      </c>
      <c r="P70" s="63" t="s">
        <v>301</v>
      </c>
      <c r="U70" s="218" t="str">
        <f t="shared" si="8"/>
        <v/>
      </c>
    </row>
    <row r="71" spans="2:21">
      <c r="B71" s="47" t="s">
        <v>759</v>
      </c>
      <c r="C71" s="61" t="s">
        <v>760</v>
      </c>
      <c r="D71" s="61"/>
      <c r="E71" s="63">
        <v>44.2</v>
      </c>
      <c r="F71" s="63">
        <v>41.800000000000004</v>
      </c>
      <c r="G71" s="63">
        <v>40.200000000000003</v>
      </c>
      <c r="H71" s="63">
        <v>39.5</v>
      </c>
      <c r="I71" s="63">
        <v>38.800000000000004</v>
      </c>
      <c r="J71" s="63">
        <v>31.6</v>
      </c>
      <c r="K71" s="63">
        <v>29.7</v>
      </c>
      <c r="L71" s="63">
        <v>29.7</v>
      </c>
      <c r="M71" s="63">
        <v>29.6</v>
      </c>
      <c r="N71" s="63">
        <v>24.400000000000002</v>
      </c>
      <c r="O71" s="63">
        <v>24.3</v>
      </c>
      <c r="P71" s="63">
        <v>23.5</v>
      </c>
      <c r="U71" s="218">
        <f t="shared" si="8"/>
        <v>1</v>
      </c>
    </row>
    <row r="72" spans="2:21">
      <c r="B72" s="47" t="s">
        <v>761</v>
      </c>
      <c r="C72" s="61" t="s">
        <v>762</v>
      </c>
      <c r="D72" s="61"/>
      <c r="E72" s="63">
        <v>345.3</v>
      </c>
      <c r="F72" s="63">
        <v>342.40000000000003</v>
      </c>
      <c r="G72" s="63">
        <v>339.2</v>
      </c>
      <c r="H72" s="63">
        <v>334</v>
      </c>
      <c r="I72" s="63">
        <v>351.7</v>
      </c>
      <c r="J72" s="63">
        <v>321.5</v>
      </c>
      <c r="K72" s="63">
        <v>324</v>
      </c>
      <c r="L72" s="63">
        <v>324.2</v>
      </c>
      <c r="M72" s="63">
        <v>321.10000000000002</v>
      </c>
      <c r="N72" s="63">
        <v>158.1</v>
      </c>
      <c r="O72" s="63">
        <v>151.6</v>
      </c>
      <c r="P72" s="63">
        <v>109.9</v>
      </c>
      <c r="U72" s="218">
        <f t="shared" si="8"/>
        <v>1</v>
      </c>
    </row>
    <row r="73" spans="2:21">
      <c r="B73" s="47" t="s">
        <v>763</v>
      </c>
      <c r="C73" s="61" t="s">
        <v>764</v>
      </c>
      <c r="D73" s="61"/>
      <c r="E73" s="166">
        <v>759.9</v>
      </c>
      <c r="F73" s="166">
        <v>753.2</v>
      </c>
      <c r="G73" s="166">
        <v>742.4</v>
      </c>
      <c r="H73" s="166">
        <v>693.4</v>
      </c>
      <c r="I73" s="166">
        <v>678.4</v>
      </c>
      <c r="J73" s="166">
        <v>755.9</v>
      </c>
      <c r="K73" s="166">
        <v>751.2</v>
      </c>
      <c r="L73" s="166">
        <v>719.30000000000007</v>
      </c>
      <c r="M73" s="166">
        <v>697.7</v>
      </c>
      <c r="N73" s="166">
        <v>778.9</v>
      </c>
      <c r="O73" s="166">
        <v>771.2</v>
      </c>
      <c r="P73" s="166">
        <v>751.80000000000007</v>
      </c>
      <c r="U73" s="218">
        <f t="shared" si="8"/>
        <v>1</v>
      </c>
    </row>
    <row r="74" spans="2:21" ht="10.8" thickBot="1">
      <c r="B74" s="71" t="s">
        <v>765</v>
      </c>
      <c r="C74" s="61" t="s">
        <v>766</v>
      </c>
      <c r="D74" s="61"/>
      <c r="E74" s="164">
        <v>7353.2</v>
      </c>
      <c r="F74" s="164">
        <v>7529.4000000000015</v>
      </c>
      <c r="G74" s="164">
        <v>7822.6</v>
      </c>
      <c r="H74" s="164">
        <v>7916.9000000000015</v>
      </c>
      <c r="I74" s="164">
        <v>7561.1</v>
      </c>
      <c r="J74" s="164">
        <v>7770.4000000000015</v>
      </c>
      <c r="K74" s="164">
        <v>8237.6</v>
      </c>
      <c r="L74" s="164">
        <v>8574.2999999999993</v>
      </c>
      <c r="M74" s="164">
        <v>7641.9000000000015</v>
      </c>
      <c r="N74" s="164">
        <v>7492.8</v>
      </c>
      <c r="O74" s="164">
        <v>7645.5</v>
      </c>
      <c r="P74" s="164">
        <v>7550</v>
      </c>
      <c r="U74" s="217">
        <v>1</v>
      </c>
    </row>
    <row r="75" spans="2:21" ht="10.8" thickTop="1">
      <c r="B75" s="66"/>
      <c r="C75" s="61" t="s">
        <v>272</v>
      </c>
      <c r="D75" s="61"/>
      <c r="E75" s="63"/>
      <c r="F75" s="63"/>
      <c r="G75" s="63"/>
      <c r="H75" s="63"/>
      <c r="I75" s="63"/>
      <c r="J75" s="63"/>
      <c r="K75" s="63"/>
      <c r="L75" s="63"/>
      <c r="M75" s="63"/>
      <c r="N75" s="63"/>
      <c r="O75" s="63"/>
      <c r="P75" s="63"/>
      <c r="U75" s="217">
        <v>1</v>
      </c>
    </row>
    <row r="76" spans="2:21">
      <c r="B76" s="62" t="s">
        <v>767</v>
      </c>
      <c r="C76" s="61" t="s">
        <v>272</v>
      </c>
      <c r="D76" s="61"/>
      <c r="E76" s="83"/>
      <c r="F76" s="83"/>
      <c r="G76" s="83"/>
      <c r="H76" s="83"/>
      <c r="I76" s="83"/>
      <c r="J76" s="83"/>
      <c r="K76" s="83"/>
      <c r="L76" s="83"/>
      <c r="M76" s="83"/>
      <c r="N76" s="83"/>
      <c r="O76" s="83"/>
      <c r="P76" s="83"/>
      <c r="U76" s="217">
        <v>1</v>
      </c>
    </row>
    <row r="77" spans="2:21">
      <c r="B77" s="47" t="s">
        <v>768</v>
      </c>
      <c r="C77" s="61" t="s">
        <v>769</v>
      </c>
      <c r="D77" s="61"/>
      <c r="E77" s="63" t="s">
        <v>301</v>
      </c>
      <c r="F77" s="63" t="s">
        <v>301</v>
      </c>
      <c r="G77" s="63" t="s">
        <v>301</v>
      </c>
      <c r="H77" s="63" t="s">
        <v>301</v>
      </c>
      <c r="I77" s="63" t="s">
        <v>301</v>
      </c>
      <c r="J77" s="63" t="s">
        <v>301</v>
      </c>
      <c r="K77" s="63" t="s">
        <v>301</v>
      </c>
      <c r="L77" s="63" t="s">
        <v>301</v>
      </c>
      <c r="M77" s="63" t="s">
        <v>301</v>
      </c>
      <c r="N77" s="63" t="s">
        <v>301</v>
      </c>
      <c r="O77" s="63" t="s">
        <v>301</v>
      </c>
      <c r="P77" s="63" t="s">
        <v>301</v>
      </c>
      <c r="U77" s="218" t="str">
        <f t="shared" ref="U77:U80" si="9">IF(COUNT(E77:P77)&lt;&gt;0,1,"")</f>
        <v/>
      </c>
    </row>
    <row r="78" spans="2:21">
      <c r="B78" s="47" t="s">
        <v>770</v>
      </c>
      <c r="C78" s="61" t="s">
        <v>771</v>
      </c>
      <c r="D78" s="61"/>
      <c r="E78" s="63" t="s">
        <v>301</v>
      </c>
      <c r="F78" s="63" t="s">
        <v>301</v>
      </c>
      <c r="G78" s="63" t="s">
        <v>301</v>
      </c>
      <c r="H78" s="63" t="s">
        <v>301</v>
      </c>
      <c r="I78" s="63" t="s">
        <v>301</v>
      </c>
      <c r="J78" s="63" t="s">
        <v>301</v>
      </c>
      <c r="K78" s="63" t="s">
        <v>301</v>
      </c>
      <c r="L78" s="63" t="s">
        <v>301</v>
      </c>
      <c r="M78" s="63" t="s">
        <v>301</v>
      </c>
      <c r="N78" s="63" t="s">
        <v>301</v>
      </c>
      <c r="O78" s="63" t="s">
        <v>301</v>
      </c>
      <c r="P78" s="63" t="s">
        <v>301</v>
      </c>
      <c r="U78" s="218" t="str">
        <f t="shared" si="9"/>
        <v/>
      </c>
    </row>
    <row r="79" spans="2:21">
      <c r="B79" s="47" t="s">
        <v>772</v>
      </c>
      <c r="C79" s="61" t="s">
        <v>773</v>
      </c>
      <c r="D79" s="61"/>
      <c r="E79" s="63" t="s">
        <v>301</v>
      </c>
      <c r="F79" s="63" t="s">
        <v>301</v>
      </c>
      <c r="G79" s="63" t="s">
        <v>301</v>
      </c>
      <c r="H79" s="63" t="s">
        <v>301</v>
      </c>
      <c r="I79" s="63" t="s">
        <v>301</v>
      </c>
      <c r="J79" s="63" t="s">
        <v>301</v>
      </c>
      <c r="K79" s="63" t="s">
        <v>301</v>
      </c>
      <c r="L79" s="63" t="s">
        <v>301</v>
      </c>
      <c r="M79" s="63" t="s">
        <v>301</v>
      </c>
      <c r="N79" s="63" t="s">
        <v>301</v>
      </c>
      <c r="O79" s="63" t="s">
        <v>301</v>
      </c>
      <c r="P79" s="63" t="s">
        <v>301</v>
      </c>
      <c r="U79" s="218" t="str">
        <f t="shared" si="9"/>
        <v/>
      </c>
    </row>
    <row r="80" spans="2:21">
      <c r="B80" s="47" t="s">
        <v>774</v>
      </c>
      <c r="C80" s="61" t="s">
        <v>775</v>
      </c>
      <c r="D80" s="61"/>
      <c r="E80" s="166" t="s">
        <v>301</v>
      </c>
      <c r="F80" s="166" t="s">
        <v>301</v>
      </c>
      <c r="G80" s="166" t="s">
        <v>301</v>
      </c>
      <c r="H80" s="166" t="s">
        <v>301</v>
      </c>
      <c r="I80" s="166" t="s">
        <v>301</v>
      </c>
      <c r="J80" s="166" t="s">
        <v>301</v>
      </c>
      <c r="K80" s="166" t="s">
        <v>301</v>
      </c>
      <c r="L80" s="166" t="s">
        <v>301</v>
      </c>
      <c r="M80" s="166" t="s">
        <v>301</v>
      </c>
      <c r="N80" s="166" t="s">
        <v>301</v>
      </c>
      <c r="O80" s="166" t="s">
        <v>301</v>
      </c>
      <c r="P80" s="166" t="s">
        <v>301</v>
      </c>
      <c r="U80" s="218" t="str">
        <f t="shared" si="9"/>
        <v/>
      </c>
    </row>
    <row r="81" spans="2:21">
      <c r="B81" s="72" t="s">
        <v>776</v>
      </c>
      <c r="C81" s="61" t="s">
        <v>30</v>
      </c>
      <c r="D81" s="61"/>
      <c r="E81" s="165" t="s">
        <v>301</v>
      </c>
      <c r="F81" s="165" t="s">
        <v>301</v>
      </c>
      <c r="G81" s="165" t="s">
        <v>301</v>
      </c>
      <c r="H81" s="165" t="s">
        <v>301</v>
      </c>
      <c r="I81" s="165" t="s">
        <v>301</v>
      </c>
      <c r="J81" s="165" t="s">
        <v>301</v>
      </c>
      <c r="K81" s="165" t="s">
        <v>301</v>
      </c>
      <c r="L81" s="165" t="s">
        <v>301</v>
      </c>
      <c r="M81" s="165" t="s">
        <v>301</v>
      </c>
      <c r="N81" s="165" t="s">
        <v>301</v>
      </c>
      <c r="O81" s="165" t="s">
        <v>301</v>
      </c>
      <c r="P81" s="165" t="s">
        <v>301</v>
      </c>
      <c r="U81" s="217">
        <v>1</v>
      </c>
    </row>
    <row r="82" spans="2:21">
      <c r="B82" s="70"/>
      <c r="C82" s="61" t="s">
        <v>272</v>
      </c>
      <c r="D82" s="61"/>
      <c r="E82" s="63"/>
      <c r="F82" s="63"/>
      <c r="G82" s="63"/>
      <c r="H82" s="63"/>
      <c r="I82" s="63"/>
      <c r="J82" s="63"/>
      <c r="K82" s="63"/>
      <c r="L82" s="63"/>
      <c r="M82" s="63"/>
      <c r="N82" s="63"/>
      <c r="O82" s="63"/>
      <c r="P82" s="63"/>
      <c r="U82" s="217">
        <v>1</v>
      </c>
    </row>
    <row r="83" spans="2:21">
      <c r="B83" s="47" t="s">
        <v>777</v>
      </c>
      <c r="C83" s="61" t="s">
        <v>778</v>
      </c>
      <c r="D83" s="61"/>
      <c r="E83" s="63">
        <v>18.600000000000001</v>
      </c>
      <c r="F83" s="63">
        <v>18.600000000000001</v>
      </c>
      <c r="G83" s="63">
        <v>18.600000000000001</v>
      </c>
      <c r="H83" s="63">
        <v>18.600000000000001</v>
      </c>
      <c r="I83" s="63">
        <v>18.600000000000001</v>
      </c>
      <c r="J83" s="63">
        <v>18.600000000000001</v>
      </c>
      <c r="K83" s="63">
        <v>18.600000000000001</v>
      </c>
      <c r="L83" s="63">
        <v>18.600000000000001</v>
      </c>
      <c r="M83" s="63">
        <v>18.600000000000001</v>
      </c>
      <c r="N83" s="63">
        <v>18.600000000000001</v>
      </c>
      <c r="O83" s="63">
        <v>18.600000000000001</v>
      </c>
      <c r="P83" s="63">
        <v>18.600000000000001</v>
      </c>
      <c r="U83" s="218">
        <f t="shared" ref="U83:U87" si="10">IF(COUNT(E83:P83)&lt;&gt;0,1,"")</f>
        <v>1</v>
      </c>
    </row>
    <row r="84" spans="2:21">
      <c r="B84" s="47" t="s">
        <v>779</v>
      </c>
      <c r="C84" s="61" t="s">
        <v>780</v>
      </c>
      <c r="D84" s="61"/>
      <c r="E84" s="63">
        <v>874.6</v>
      </c>
      <c r="F84" s="63">
        <v>880.4</v>
      </c>
      <c r="G84" s="63">
        <v>890.9</v>
      </c>
      <c r="H84" s="63">
        <v>897.5</v>
      </c>
      <c r="I84" s="63">
        <v>903.30000000000007</v>
      </c>
      <c r="J84" s="63">
        <v>909.2</v>
      </c>
      <c r="K84" s="63">
        <v>916.4</v>
      </c>
      <c r="L84" s="63">
        <v>922.4</v>
      </c>
      <c r="M84" s="63">
        <v>929.5</v>
      </c>
      <c r="N84" s="63">
        <v>935.6</v>
      </c>
      <c r="O84" s="63">
        <v>942.4</v>
      </c>
      <c r="P84" s="63">
        <v>955.6</v>
      </c>
      <c r="U84" s="218">
        <f t="shared" si="10"/>
        <v>1</v>
      </c>
    </row>
    <row r="85" spans="2:21">
      <c r="B85" s="47" t="s">
        <v>781</v>
      </c>
      <c r="C85" s="61" t="s">
        <v>782</v>
      </c>
      <c r="D85" s="61"/>
      <c r="E85" s="63">
        <v>4864.9000000000015</v>
      </c>
      <c r="F85" s="63">
        <v>5092.9000000000015</v>
      </c>
      <c r="G85" s="63">
        <v>5131.8</v>
      </c>
      <c r="H85" s="63">
        <v>5199.1000000000004</v>
      </c>
      <c r="I85" s="63">
        <v>5354.8</v>
      </c>
      <c r="J85" s="63">
        <v>5555.9000000000015</v>
      </c>
      <c r="K85" s="63">
        <v>5679.2</v>
      </c>
      <c r="L85" s="63">
        <v>5637.2</v>
      </c>
      <c r="M85" s="63">
        <v>5561.1</v>
      </c>
      <c r="N85" s="63">
        <v>6587.1</v>
      </c>
      <c r="O85" s="63">
        <v>6511.8</v>
      </c>
      <c r="P85" s="63">
        <v>6734.2</v>
      </c>
      <c r="U85" s="218">
        <f t="shared" si="10"/>
        <v>1</v>
      </c>
    </row>
    <row r="86" spans="2:21">
      <c r="B86" s="47" t="s">
        <v>783</v>
      </c>
      <c r="C86" s="61">
        <v>268582</v>
      </c>
      <c r="D86" s="61"/>
      <c r="E86" s="63">
        <v>-2442.5</v>
      </c>
      <c r="F86" s="63">
        <v>-2542.1</v>
      </c>
      <c r="G86" s="63">
        <v>-2546.6</v>
      </c>
      <c r="H86" s="63">
        <v>-2546.3000000000002</v>
      </c>
      <c r="I86" s="63">
        <v>-2546.5</v>
      </c>
      <c r="J86" s="63">
        <v>-2646.2000000000003</v>
      </c>
      <c r="K86" s="63">
        <v>-2674.7000000000003</v>
      </c>
      <c r="L86" s="63">
        <v>-2724.1</v>
      </c>
      <c r="M86" s="63">
        <v>-2723.8</v>
      </c>
      <c r="N86" s="63">
        <v>-2723.9</v>
      </c>
      <c r="O86" s="63">
        <v>-2724.7000000000003</v>
      </c>
      <c r="P86" s="63">
        <v>-2724.7000000000003</v>
      </c>
      <c r="U86" s="218">
        <f t="shared" si="10"/>
        <v>1</v>
      </c>
    </row>
    <row r="87" spans="2:21">
      <c r="B87" s="47" t="s">
        <v>784</v>
      </c>
      <c r="C87" s="61" t="s">
        <v>785</v>
      </c>
      <c r="D87" s="61"/>
      <c r="E87" s="166">
        <v>-284.2</v>
      </c>
      <c r="F87" s="166">
        <v>-325.5</v>
      </c>
      <c r="G87" s="166">
        <v>-435.6</v>
      </c>
      <c r="H87" s="166">
        <v>-460.40000000000003</v>
      </c>
      <c r="I87" s="166">
        <v>-542</v>
      </c>
      <c r="J87" s="166">
        <v>-459.6</v>
      </c>
      <c r="K87" s="166">
        <v>-468.8</v>
      </c>
      <c r="L87" s="166">
        <v>-501.1</v>
      </c>
      <c r="M87" s="166">
        <v>-494.5</v>
      </c>
      <c r="N87" s="166">
        <v>-406.5</v>
      </c>
      <c r="O87" s="166">
        <v>-436.6</v>
      </c>
      <c r="P87" s="166">
        <v>-424.3</v>
      </c>
      <c r="U87" s="218">
        <f t="shared" si="10"/>
        <v>1</v>
      </c>
    </row>
    <row r="88" spans="2:21">
      <c r="B88" s="64" t="s">
        <v>33</v>
      </c>
      <c r="C88" s="61" t="s">
        <v>32</v>
      </c>
      <c r="D88" s="61"/>
      <c r="E88" s="165">
        <v>3031.4</v>
      </c>
      <c r="F88" s="165">
        <v>3124.3</v>
      </c>
      <c r="G88" s="165">
        <v>3059.1</v>
      </c>
      <c r="H88" s="165">
        <v>3108.5</v>
      </c>
      <c r="I88" s="165">
        <v>3188.2000000000003</v>
      </c>
      <c r="J88" s="165">
        <v>3377.9</v>
      </c>
      <c r="K88" s="165">
        <v>3470.7000000000003</v>
      </c>
      <c r="L88" s="165">
        <v>3353</v>
      </c>
      <c r="M88" s="165">
        <v>3290.9</v>
      </c>
      <c r="N88" s="165">
        <v>4410.9000000000015</v>
      </c>
      <c r="O88" s="165">
        <v>4311.5</v>
      </c>
      <c r="P88" s="165">
        <v>4559.4000000000015</v>
      </c>
      <c r="U88" s="217">
        <v>1</v>
      </c>
    </row>
    <row r="89" spans="2:21">
      <c r="B89" s="47"/>
      <c r="C89" s="61" t="s">
        <v>272</v>
      </c>
      <c r="D89" s="61"/>
      <c r="E89" s="73"/>
      <c r="F89" s="73"/>
      <c r="G89" s="73"/>
      <c r="H89" s="73"/>
      <c r="I89" s="73"/>
      <c r="J89" s="73"/>
      <c r="K89" s="73"/>
      <c r="L89" s="73"/>
      <c r="M89" s="73"/>
      <c r="N89" s="73"/>
      <c r="O89" s="73"/>
      <c r="P89" s="73"/>
      <c r="U89" s="217">
        <v>1</v>
      </c>
    </row>
    <row r="90" spans="2:21">
      <c r="B90" s="47" t="s">
        <v>786</v>
      </c>
      <c r="C90" s="61" t="s">
        <v>31</v>
      </c>
      <c r="D90" s="61"/>
      <c r="E90" s="166">
        <v>25.6</v>
      </c>
      <c r="F90" s="166">
        <v>19.400000000000002</v>
      </c>
      <c r="G90" s="166">
        <v>23.1</v>
      </c>
      <c r="H90" s="166">
        <v>18.8</v>
      </c>
      <c r="I90" s="166">
        <v>15.4</v>
      </c>
      <c r="J90" s="166">
        <v>23</v>
      </c>
      <c r="K90" s="166">
        <v>23.8</v>
      </c>
      <c r="L90" s="166">
        <v>24.400000000000002</v>
      </c>
      <c r="M90" s="166">
        <v>23.6</v>
      </c>
      <c r="N90" s="166">
        <v>22.5</v>
      </c>
      <c r="O90" s="166">
        <v>21.400000000000002</v>
      </c>
      <c r="P90" s="166">
        <v>21.3</v>
      </c>
      <c r="U90" s="218">
        <f t="shared" ref="U90" si="11">IF(COUNT(E90:P90)&lt;&gt;0,1,"")</f>
        <v>1</v>
      </c>
    </row>
    <row r="91" spans="2:21">
      <c r="B91" s="64" t="s">
        <v>787</v>
      </c>
      <c r="C91" s="61" t="s">
        <v>788</v>
      </c>
      <c r="D91" s="61"/>
      <c r="E91" s="165">
        <v>3057</v>
      </c>
      <c r="F91" s="165">
        <v>3143.7000000000003</v>
      </c>
      <c r="G91" s="165">
        <v>3082.2000000000003</v>
      </c>
      <c r="H91" s="165">
        <v>3127.3</v>
      </c>
      <c r="I91" s="165">
        <v>3203.6</v>
      </c>
      <c r="J91" s="165">
        <v>3400.9</v>
      </c>
      <c r="K91" s="165">
        <v>3494.5</v>
      </c>
      <c r="L91" s="165">
        <v>3377.4</v>
      </c>
      <c r="M91" s="165">
        <v>3314.5</v>
      </c>
      <c r="N91" s="165">
        <v>4433.4000000000015</v>
      </c>
      <c r="O91" s="165">
        <v>4332.8999999999996</v>
      </c>
      <c r="P91" s="165">
        <v>4580.7</v>
      </c>
      <c r="U91" s="217">
        <v>1</v>
      </c>
    </row>
    <row r="92" spans="2:21">
      <c r="B92" s="47"/>
      <c r="C92" s="61" t="s">
        <v>272</v>
      </c>
      <c r="D92" s="61"/>
      <c r="E92" s="63"/>
      <c r="F92" s="63"/>
      <c r="G92" s="63"/>
      <c r="H92" s="63"/>
      <c r="I92" s="63"/>
      <c r="J92" s="63"/>
      <c r="K92" s="63"/>
      <c r="L92" s="63"/>
      <c r="M92" s="63"/>
      <c r="N92" s="63"/>
      <c r="O92" s="63"/>
      <c r="P92" s="63"/>
      <c r="U92" s="217">
        <v>1</v>
      </c>
    </row>
    <row r="93" spans="2:21" ht="10.8" thickBot="1">
      <c r="B93" s="64" t="s">
        <v>789</v>
      </c>
      <c r="C93" s="61" t="s">
        <v>790</v>
      </c>
      <c r="D93" s="61"/>
      <c r="E93" s="164">
        <v>10410.200000000001</v>
      </c>
      <c r="F93" s="164">
        <v>10673.1</v>
      </c>
      <c r="G93" s="164">
        <v>10904.800000000001</v>
      </c>
      <c r="H93" s="164">
        <v>11044.2</v>
      </c>
      <c r="I93" s="164">
        <v>10764.7</v>
      </c>
      <c r="J93" s="164">
        <v>11171.300000000001</v>
      </c>
      <c r="K93" s="164">
        <v>11732.1</v>
      </c>
      <c r="L93" s="164">
        <v>11951.7</v>
      </c>
      <c r="M93" s="164">
        <v>10956.4</v>
      </c>
      <c r="N93" s="164">
        <v>11926.2</v>
      </c>
      <c r="O93" s="164">
        <v>11978.4</v>
      </c>
      <c r="P93" s="164">
        <v>12130.7</v>
      </c>
      <c r="U93" s="217">
        <v>1</v>
      </c>
    </row>
    <row r="94" spans="2:21" ht="10.8" thickTop="1">
      <c r="B94" s="47"/>
      <c r="C94" s="61" t="s">
        <v>272</v>
      </c>
      <c r="D94" s="61"/>
      <c r="E94" s="84"/>
      <c r="F94" s="84"/>
      <c r="G94" s="84"/>
      <c r="H94" s="84"/>
      <c r="I94" s="84"/>
      <c r="J94" s="84"/>
      <c r="K94" s="84"/>
      <c r="L94" s="84"/>
      <c r="M94" s="84"/>
      <c r="N94" s="84"/>
      <c r="O94" s="84"/>
      <c r="P94" s="84"/>
      <c r="U94" s="217">
        <v>1</v>
      </c>
    </row>
    <row r="95" spans="2:21">
      <c r="B95" s="62" t="s">
        <v>791</v>
      </c>
      <c r="C95" s="61" t="s">
        <v>272</v>
      </c>
      <c r="D95" s="61"/>
      <c r="E95" s="231"/>
      <c r="F95" s="231"/>
      <c r="G95" s="232"/>
      <c r="H95" s="232"/>
      <c r="I95" s="232"/>
      <c r="J95" s="232"/>
      <c r="K95" s="232"/>
      <c r="L95" s="232"/>
      <c r="M95" s="232"/>
      <c r="N95" s="232"/>
      <c r="O95" s="232"/>
      <c r="P95" s="231"/>
      <c r="U95" s="217">
        <v>1</v>
      </c>
    </row>
    <row r="96" spans="2:21">
      <c r="B96" s="62"/>
      <c r="C96" s="61" t="s">
        <v>326</v>
      </c>
      <c r="D96" s="61"/>
      <c r="E96" s="167">
        <v>44469</v>
      </c>
      <c r="F96" s="167">
        <v>44561</v>
      </c>
      <c r="G96" s="167">
        <v>44651</v>
      </c>
      <c r="H96" s="167">
        <v>44742</v>
      </c>
      <c r="I96" s="167">
        <v>44834</v>
      </c>
      <c r="J96" s="167">
        <v>44926</v>
      </c>
      <c r="K96" s="167">
        <v>45016</v>
      </c>
      <c r="L96" s="167">
        <v>45107</v>
      </c>
      <c r="M96" s="167">
        <v>45199</v>
      </c>
      <c r="N96" s="167">
        <v>45291</v>
      </c>
      <c r="O96" s="167">
        <v>45382</v>
      </c>
      <c r="P96" s="167">
        <v>45473</v>
      </c>
      <c r="U96" s="217">
        <v>1</v>
      </c>
    </row>
    <row r="97" spans="2:21">
      <c r="B97" s="62" t="s">
        <v>445</v>
      </c>
      <c r="C97" s="61" t="s">
        <v>272</v>
      </c>
      <c r="D97" s="61"/>
      <c r="E97" s="72"/>
      <c r="F97" s="72"/>
      <c r="G97" s="183"/>
      <c r="H97" s="183"/>
      <c r="I97" s="183"/>
      <c r="J97" s="183"/>
      <c r="K97" s="183"/>
      <c r="L97" s="183"/>
      <c r="M97" s="183"/>
      <c r="N97" s="183"/>
      <c r="O97" s="183"/>
      <c r="P97" s="183"/>
      <c r="U97" s="217">
        <v>1</v>
      </c>
    </row>
    <row r="98" spans="2:21">
      <c r="B98" s="47" t="s">
        <v>792</v>
      </c>
      <c r="C98" s="61" t="s">
        <v>793</v>
      </c>
      <c r="D98" s="61"/>
      <c r="E98" s="63">
        <v>126751495</v>
      </c>
      <c r="F98" s="63">
        <v>125699479</v>
      </c>
      <c r="G98" s="63">
        <v>125939275</v>
      </c>
      <c r="H98" s="63">
        <v>125959269</v>
      </c>
      <c r="I98" s="63">
        <v>125965923</v>
      </c>
      <c r="J98" s="63">
        <v>125110804</v>
      </c>
      <c r="K98" s="63">
        <v>125039191</v>
      </c>
      <c r="L98" s="63">
        <v>124733535</v>
      </c>
      <c r="M98" s="63">
        <v>124758887</v>
      </c>
      <c r="N98" s="63">
        <v>124760760</v>
      </c>
      <c r="O98" s="63">
        <v>124817570</v>
      </c>
      <c r="P98" s="63">
        <v>124824364</v>
      </c>
      <c r="U98" s="218">
        <f t="shared" ref="U98:U139" si="12">IF(COUNT(E98:P98)&lt;&gt;0,1,"")</f>
        <v>1</v>
      </c>
    </row>
    <row r="99" spans="2:21">
      <c r="B99" s="47" t="s">
        <v>794</v>
      </c>
      <c r="C99" s="61" t="s">
        <v>795</v>
      </c>
      <c r="D99" s="61"/>
      <c r="E99" s="63">
        <v>126751495</v>
      </c>
      <c r="F99" s="63">
        <v>125699479</v>
      </c>
      <c r="G99" s="63">
        <v>125939275</v>
      </c>
      <c r="H99" s="63">
        <v>125959269</v>
      </c>
      <c r="I99" s="63">
        <v>125965923</v>
      </c>
      <c r="J99" s="63">
        <v>125110804</v>
      </c>
      <c r="K99" s="63">
        <v>125039191</v>
      </c>
      <c r="L99" s="63">
        <v>124733535</v>
      </c>
      <c r="M99" s="63">
        <v>124758887</v>
      </c>
      <c r="N99" s="63">
        <v>124760760</v>
      </c>
      <c r="O99" s="63">
        <v>124817570</v>
      </c>
      <c r="P99" s="63">
        <v>124824364</v>
      </c>
      <c r="U99" s="218">
        <f t="shared" si="12"/>
        <v>1</v>
      </c>
    </row>
    <row r="100" spans="2:21">
      <c r="B100" s="47" t="s">
        <v>1622</v>
      </c>
      <c r="C100" s="61" t="s">
        <v>796</v>
      </c>
      <c r="D100" s="61"/>
      <c r="E100" s="74">
        <v>23.916</v>
      </c>
      <c r="F100" s="74">
        <v>24.855</v>
      </c>
      <c r="G100" s="74">
        <v>24.29</v>
      </c>
      <c r="H100" s="74">
        <v>24.678999999999998</v>
      </c>
      <c r="I100" s="74">
        <v>25.31</v>
      </c>
      <c r="J100" s="74">
        <v>26.998999999999999</v>
      </c>
      <c r="K100" s="74">
        <v>27.757000000000001</v>
      </c>
      <c r="L100" s="74">
        <v>26.881</v>
      </c>
      <c r="M100" s="74">
        <v>26.378</v>
      </c>
      <c r="N100" s="74">
        <v>35.354999999999997</v>
      </c>
      <c r="O100" s="74">
        <v>34.542000000000002</v>
      </c>
      <c r="P100" s="74">
        <v>36.527000000000001</v>
      </c>
      <c r="U100" s="218">
        <f t="shared" si="12"/>
        <v>1</v>
      </c>
    </row>
    <row r="101" spans="2:21">
      <c r="B101" s="47" t="s">
        <v>1623</v>
      </c>
      <c r="C101" s="61" t="s">
        <v>797</v>
      </c>
      <c r="D101" s="61"/>
      <c r="E101" s="74" t="s">
        <v>301</v>
      </c>
      <c r="F101" s="74" t="s">
        <v>301</v>
      </c>
      <c r="G101" s="74" t="s">
        <v>301</v>
      </c>
      <c r="H101" s="74" t="s">
        <v>301</v>
      </c>
      <c r="I101" s="74" t="s">
        <v>301</v>
      </c>
      <c r="J101" s="74" t="s">
        <v>301</v>
      </c>
      <c r="K101" s="74" t="s">
        <v>301</v>
      </c>
      <c r="L101" s="74" t="s">
        <v>301</v>
      </c>
      <c r="M101" s="74" t="s">
        <v>301</v>
      </c>
      <c r="N101" s="74" t="s">
        <v>301</v>
      </c>
      <c r="O101" s="74" t="s">
        <v>301</v>
      </c>
      <c r="P101" s="74" t="s">
        <v>301</v>
      </c>
      <c r="U101" s="218" t="str">
        <f t="shared" si="12"/>
        <v/>
      </c>
    </row>
    <row r="102" spans="2:21">
      <c r="B102" s="47" t="s">
        <v>798</v>
      </c>
      <c r="C102" s="61" t="s">
        <v>799</v>
      </c>
      <c r="D102" s="61"/>
      <c r="E102" s="74" t="s">
        <v>301</v>
      </c>
      <c r="F102" s="74" t="s">
        <v>301</v>
      </c>
      <c r="G102" s="74" t="s">
        <v>301</v>
      </c>
      <c r="H102" s="74" t="s">
        <v>301</v>
      </c>
      <c r="I102" s="74" t="s">
        <v>301</v>
      </c>
      <c r="J102" s="74" t="s">
        <v>301</v>
      </c>
      <c r="K102" s="74" t="s">
        <v>301</v>
      </c>
      <c r="L102" s="74" t="s">
        <v>301</v>
      </c>
      <c r="M102" s="74" t="s">
        <v>301</v>
      </c>
      <c r="N102" s="74" t="s">
        <v>301</v>
      </c>
      <c r="O102" s="74" t="s">
        <v>301</v>
      </c>
      <c r="P102" s="74" t="s">
        <v>301</v>
      </c>
      <c r="U102" s="218" t="str">
        <f t="shared" si="12"/>
        <v/>
      </c>
    </row>
    <row r="103" spans="2:21">
      <c r="B103" s="47" t="s">
        <v>1624</v>
      </c>
      <c r="C103" s="61" t="s">
        <v>800</v>
      </c>
      <c r="D103" s="61"/>
      <c r="E103" s="74">
        <v>-7.7249999999999996</v>
      </c>
      <c r="F103" s="74">
        <v>-7.9930000000000003</v>
      </c>
      <c r="G103" s="74">
        <v>-7.1109999999999998</v>
      </c>
      <c r="H103" s="74">
        <v>-6.3010000000000002</v>
      </c>
      <c r="I103" s="74">
        <v>-6.8159999999999998</v>
      </c>
      <c r="J103" s="74">
        <v>-6.8140000000000001</v>
      </c>
      <c r="K103" s="74">
        <v>-4.97</v>
      </c>
      <c r="L103" s="74">
        <v>-5.8360000000000003</v>
      </c>
      <c r="M103" s="74">
        <v>-5.9870000000000001</v>
      </c>
      <c r="N103" s="74">
        <v>1.835</v>
      </c>
      <c r="O103" s="74">
        <v>2.3290000000000002</v>
      </c>
      <c r="P103" s="74">
        <v>5.1029999999999998</v>
      </c>
      <c r="U103" s="218">
        <f t="shared" si="12"/>
        <v>1</v>
      </c>
    </row>
    <row r="104" spans="2:21">
      <c r="B104" s="47" t="s">
        <v>1625</v>
      </c>
      <c r="C104" s="61" t="s">
        <v>801</v>
      </c>
      <c r="D104" s="61"/>
      <c r="E104" s="63">
        <v>-979.1</v>
      </c>
      <c r="F104" s="63">
        <v>-1004.7</v>
      </c>
      <c r="G104" s="63">
        <v>-895.5</v>
      </c>
      <c r="H104" s="63">
        <v>-793.7</v>
      </c>
      <c r="I104" s="63">
        <v>-858.6</v>
      </c>
      <c r="J104" s="63">
        <v>-852.5</v>
      </c>
      <c r="K104" s="63">
        <v>-621.4</v>
      </c>
      <c r="L104" s="63">
        <v>-727.9</v>
      </c>
      <c r="M104" s="63">
        <v>-746.9</v>
      </c>
      <c r="N104" s="63">
        <v>228.9</v>
      </c>
      <c r="O104" s="63">
        <v>290.7</v>
      </c>
      <c r="P104" s="63">
        <v>637</v>
      </c>
      <c r="U104" s="218">
        <f t="shared" si="12"/>
        <v>1</v>
      </c>
    </row>
    <row r="105" spans="2:21">
      <c r="B105" s="47" t="s">
        <v>1676</v>
      </c>
      <c r="C105" s="61"/>
      <c r="D105" s="61"/>
      <c r="E105" s="63">
        <f>IFERROR(IF(COUNT(E41:E42)=0,"NA",SUM(E41:E42)),"NA")</f>
        <v>4010.5</v>
      </c>
      <c r="F105" s="63">
        <f>IFERROR(IF(COUNT(F41:F42)=0,"NA",SUM(F41:F42)),"NA")</f>
        <v>4129</v>
      </c>
      <c r="G105" s="63">
        <f>IFERROR(IF(COUNT(G41:G42)=0,"NA",SUM(G41:G42)),"NA")</f>
        <v>3954.6000000000004</v>
      </c>
      <c r="H105" s="63">
        <f>IFERROR(IF(COUNT(H41:H42)=0,"NA",SUM(H41:H42)),"NA")</f>
        <v>3902.2</v>
      </c>
      <c r="I105" s="63">
        <f>IFERROR(IF(COUNT(I41:I42)=0,"NA",SUM(I41:I42)),"NA")</f>
        <v>4046.8</v>
      </c>
      <c r="J105" s="63">
        <f>IFERROR(IF(COUNT(J41:J42)=0,"NA",SUM(J41:J42)),"NA")</f>
        <v>4230.3999999999996</v>
      </c>
      <c r="K105" s="63">
        <f>IFERROR(IF(COUNT(K41:K42)=0,"NA",SUM(K41:K42)),"NA")</f>
        <v>4092.1</v>
      </c>
      <c r="L105" s="63">
        <f>IFERROR(IF(COUNT(L41:L42)=0,"NA",SUM(L41:L42)),"NA")</f>
        <v>4080.8999999999996</v>
      </c>
      <c r="M105" s="63">
        <f>IFERROR(IF(COUNT(M41:M42)=0,"NA",SUM(M41:M42)),"NA")</f>
        <v>4037.8</v>
      </c>
      <c r="N105" s="63">
        <f>IFERROR(IF(COUNT(N41:N42)=0,"NA",SUM(N41:N42)),"NA")</f>
        <v>4182</v>
      </c>
      <c r="O105" s="63">
        <f>IFERROR(IF(COUNT(O41:O42)=0,"NA",SUM(O41:O42)),"NA")</f>
        <v>4020.8</v>
      </c>
      <c r="P105" s="63">
        <f>IFERROR(IF(COUNT(P41:P42)=0,"NA",SUM(P41:P42)),"NA")</f>
        <v>3922.4000000000005</v>
      </c>
      <c r="U105" s="218">
        <f t="shared" si="12"/>
        <v>1</v>
      </c>
    </row>
    <row r="106" spans="2:21">
      <c r="B106" s="47" t="s">
        <v>802</v>
      </c>
      <c r="C106" s="61" t="s">
        <v>29</v>
      </c>
      <c r="D106" s="61"/>
      <c r="E106" s="63">
        <v>3562</v>
      </c>
      <c r="F106" s="63">
        <v>3336</v>
      </c>
      <c r="G106" s="63">
        <v>3935.4</v>
      </c>
      <c r="H106" s="63">
        <v>4042.1</v>
      </c>
      <c r="I106" s="63">
        <v>3708.8</v>
      </c>
      <c r="J106" s="63">
        <v>3424.6</v>
      </c>
      <c r="K106" s="63">
        <v>4365.8</v>
      </c>
      <c r="L106" s="63">
        <v>4831.2</v>
      </c>
      <c r="M106" s="63">
        <v>4263.3</v>
      </c>
      <c r="N106" s="63">
        <v>4105.2</v>
      </c>
      <c r="O106" s="63">
        <v>4484.7</v>
      </c>
      <c r="P106" s="63">
        <v>4322</v>
      </c>
      <c r="U106" s="218">
        <f t="shared" si="12"/>
        <v>1</v>
      </c>
    </row>
    <row r="107" spans="2:21">
      <c r="B107" s="47" t="s">
        <v>803</v>
      </c>
      <c r="C107" s="61" t="s">
        <v>804</v>
      </c>
      <c r="D107" s="61"/>
      <c r="E107" s="63">
        <v>3216.7000000000003</v>
      </c>
      <c r="F107" s="63">
        <v>2815.5</v>
      </c>
      <c r="G107" s="63">
        <v>3560.3</v>
      </c>
      <c r="H107" s="63">
        <v>3432.9</v>
      </c>
      <c r="I107" s="63">
        <v>3316.4</v>
      </c>
      <c r="J107" s="63">
        <v>2840.2000000000003</v>
      </c>
      <c r="K107" s="63">
        <v>3864.7000000000003</v>
      </c>
      <c r="L107" s="63">
        <v>3889.7000000000003</v>
      </c>
      <c r="M107" s="63">
        <v>3939.5</v>
      </c>
      <c r="N107" s="63">
        <v>3802.8</v>
      </c>
      <c r="O107" s="63">
        <v>4064.2000000000003</v>
      </c>
      <c r="P107" s="63">
        <v>3850.5</v>
      </c>
      <c r="U107" s="218">
        <f t="shared" si="12"/>
        <v>1</v>
      </c>
    </row>
    <row r="108" spans="2:21">
      <c r="B108" s="47" t="s">
        <v>805</v>
      </c>
      <c r="C108" s="61" t="s">
        <v>806</v>
      </c>
      <c r="D108" s="61"/>
      <c r="E108" s="63">
        <v>25.6</v>
      </c>
      <c r="F108" s="63">
        <v>19.400000000000002</v>
      </c>
      <c r="G108" s="63">
        <v>23.1</v>
      </c>
      <c r="H108" s="63">
        <v>18.8</v>
      </c>
      <c r="I108" s="63">
        <v>15.4</v>
      </c>
      <c r="J108" s="63">
        <v>23</v>
      </c>
      <c r="K108" s="63">
        <v>23.8</v>
      </c>
      <c r="L108" s="63">
        <v>24.400000000000002</v>
      </c>
      <c r="M108" s="63">
        <v>23.6</v>
      </c>
      <c r="N108" s="63">
        <v>22.5</v>
      </c>
      <c r="O108" s="63">
        <v>21.400000000000002</v>
      </c>
      <c r="P108" s="63">
        <v>21.3</v>
      </c>
      <c r="U108" s="218">
        <f t="shared" si="12"/>
        <v>1</v>
      </c>
    </row>
    <row r="109" spans="2:21">
      <c r="B109" s="47" t="s">
        <v>807</v>
      </c>
      <c r="C109" s="61" t="s">
        <v>808</v>
      </c>
      <c r="D109" s="61"/>
      <c r="E109" s="63">
        <v>6619</v>
      </c>
      <c r="F109" s="63">
        <v>6479.7</v>
      </c>
      <c r="G109" s="63">
        <v>7017.6</v>
      </c>
      <c r="H109" s="63">
        <v>7169.4000000000015</v>
      </c>
      <c r="I109" s="63">
        <v>6912.4000000000015</v>
      </c>
      <c r="J109" s="63">
        <v>6825.5</v>
      </c>
      <c r="K109" s="63">
        <v>7860.3</v>
      </c>
      <c r="L109" s="63">
        <v>8208.6</v>
      </c>
      <c r="M109" s="63">
        <v>7577.8</v>
      </c>
      <c r="N109" s="63">
        <v>8538.6</v>
      </c>
      <c r="O109" s="63">
        <v>8817.6</v>
      </c>
      <c r="P109" s="63">
        <v>8902.7000000000007</v>
      </c>
      <c r="U109" s="218">
        <f t="shared" si="12"/>
        <v>1</v>
      </c>
    </row>
    <row r="110" spans="2:21">
      <c r="B110" s="47" t="s">
        <v>809</v>
      </c>
      <c r="C110" s="61" t="s">
        <v>810</v>
      </c>
      <c r="D110" s="61"/>
      <c r="E110" s="63">
        <v>32.9</v>
      </c>
      <c r="F110" s="63">
        <v>37.4</v>
      </c>
      <c r="G110" s="63">
        <v>39.6</v>
      </c>
      <c r="H110" s="63">
        <v>36.5</v>
      </c>
      <c r="I110" s="63">
        <v>34.5</v>
      </c>
      <c r="J110" s="63">
        <v>33.9</v>
      </c>
      <c r="K110" s="63">
        <v>32.799999999999997</v>
      </c>
      <c r="L110" s="63">
        <v>34.4</v>
      </c>
      <c r="M110" s="63">
        <v>36.700000000000003</v>
      </c>
      <c r="N110" s="63">
        <v>29.1</v>
      </c>
      <c r="O110" s="63">
        <v>30.400000000000002</v>
      </c>
      <c r="P110" s="63">
        <v>34.4</v>
      </c>
      <c r="U110" s="218">
        <f t="shared" si="12"/>
        <v>1</v>
      </c>
    </row>
    <row r="111" spans="2:21">
      <c r="B111" s="47" t="s">
        <v>811</v>
      </c>
      <c r="C111" s="61" t="s">
        <v>812</v>
      </c>
      <c r="D111" s="61"/>
      <c r="E111" s="63" t="s">
        <v>301</v>
      </c>
      <c r="F111" s="63" t="s">
        <v>301</v>
      </c>
      <c r="G111" s="63" t="s">
        <v>301</v>
      </c>
      <c r="H111" s="63" t="s">
        <v>301</v>
      </c>
      <c r="I111" s="63" t="s">
        <v>301</v>
      </c>
      <c r="J111" s="63" t="s">
        <v>301</v>
      </c>
      <c r="K111" s="63" t="s">
        <v>301</v>
      </c>
      <c r="L111" s="63" t="s">
        <v>301</v>
      </c>
      <c r="M111" s="63" t="s">
        <v>301</v>
      </c>
      <c r="N111" s="63" t="s">
        <v>301</v>
      </c>
      <c r="O111" s="63" t="s">
        <v>301</v>
      </c>
      <c r="P111" s="63" t="s">
        <v>301</v>
      </c>
      <c r="U111" s="218" t="str">
        <f t="shared" si="12"/>
        <v/>
      </c>
    </row>
    <row r="112" spans="2:21">
      <c r="B112" s="47" t="s">
        <v>813</v>
      </c>
      <c r="C112" s="61" t="s">
        <v>814</v>
      </c>
      <c r="D112" s="61"/>
      <c r="E112" s="63">
        <v>-122.8</v>
      </c>
      <c r="F112" s="63" t="s">
        <v>301</v>
      </c>
      <c r="G112" s="63">
        <v>-116.2</v>
      </c>
      <c r="H112" s="63">
        <v>-116.2</v>
      </c>
      <c r="I112" s="63" t="s">
        <v>301</v>
      </c>
      <c r="J112" s="63" t="s">
        <v>301</v>
      </c>
      <c r="K112" s="63" t="s">
        <v>301</v>
      </c>
      <c r="L112" s="63" t="s">
        <v>301</v>
      </c>
      <c r="M112" s="63" t="s">
        <v>301</v>
      </c>
      <c r="N112" s="63" t="s">
        <v>301</v>
      </c>
      <c r="O112" s="63" t="s">
        <v>301</v>
      </c>
      <c r="P112" s="63" t="s">
        <v>301</v>
      </c>
      <c r="U112" s="218">
        <f t="shared" si="12"/>
        <v>1</v>
      </c>
    </row>
    <row r="113" spans="2:21">
      <c r="B113" s="47" t="s">
        <v>815</v>
      </c>
      <c r="C113" s="61" t="s">
        <v>816</v>
      </c>
      <c r="D113" s="61"/>
      <c r="E113" s="63">
        <v>209.3</v>
      </c>
      <c r="F113" s="63">
        <v>231.9</v>
      </c>
      <c r="G113" s="63">
        <v>260.8</v>
      </c>
      <c r="H113" s="63">
        <v>246.70000000000002</v>
      </c>
      <c r="I113" s="63">
        <v>246.6</v>
      </c>
      <c r="J113" s="63">
        <v>266.7</v>
      </c>
      <c r="K113" s="63">
        <v>350</v>
      </c>
      <c r="L113" s="63">
        <v>360.7</v>
      </c>
      <c r="M113" s="63">
        <v>364.7</v>
      </c>
      <c r="N113" s="63">
        <v>348.6</v>
      </c>
      <c r="O113" s="63">
        <v>270.10000000000002</v>
      </c>
      <c r="P113" s="63">
        <v>224.1</v>
      </c>
      <c r="U113" s="218">
        <f t="shared" si="12"/>
        <v>1</v>
      </c>
    </row>
    <row r="114" spans="2:21">
      <c r="B114" s="47" t="s">
        <v>817</v>
      </c>
      <c r="C114" s="61" t="s">
        <v>818</v>
      </c>
      <c r="D114" s="61"/>
      <c r="E114" s="63">
        <v>869.5</v>
      </c>
      <c r="F114" s="63">
        <v>730.80000000000007</v>
      </c>
      <c r="G114" s="63">
        <v>889.6</v>
      </c>
      <c r="H114" s="63">
        <v>876.1</v>
      </c>
      <c r="I114" s="63">
        <v>898.5</v>
      </c>
      <c r="J114" s="63">
        <v>807.4</v>
      </c>
      <c r="K114" s="63">
        <v>987.1</v>
      </c>
      <c r="L114" s="63">
        <v>992.7</v>
      </c>
      <c r="M114" s="63">
        <v>1002.7</v>
      </c>
      <c r="N114" s="63">
        <v>732.2</v>
      </c>
      <c r="O114" s="63">
        <v>647.80000000000007</v>
      </c>
      <c r="P114" s="63">
        <v>660.1</v>
      </c>
      <c r="U114" s="218">
        <f t="shared" si="12"/>
        <v>1</v>
      </c>
    </row>
    <row r="115" spans="2:21">
      <c r="B115" s="47" t="s">
        <v>819</v>
      </c>
      <c r="C115" s="61" t="s">
        <v>820</v>
      </c>
      <c r="D115" s="61"/>
      <c r="E115" s="63">
        <v>494.5</v>
      </c>
      <c r="F115" s="63">
        <v>559.20000000000005</v>
      </c>
      <c r="G115" s="63">
        <v>556.5</v>
      </c>
      <c r="H115" s="63">
        <v>583.80000000000007</v>
      </c>
      <c r="I115" s="63">
        <v>586.4</v>
      </c>
      <c r="J115" s="63">
        <v>577.5</v>
      </c>
      <c r="K115" s="63">
        <v>573.80000000000007</v>
      </c>
      <c r="L115" s="63">
        <v>718.9</v>
      </c>
      <c r="M115" s="63">
        <v>631.20000000000005</v>
      </c>
      <c r="N115" s="63">
        <v>643.80000000000007</v>
      </c>
      <c r="O115" s="63">
        <v>669.2</v>
      </c>
      <c r="P115" s="63">
        <v>550.80000000000007</v>
      </c>
      <c r="U115" s="218">
        <f t="shared" si="12"/>
        <v>1</v>
      </c>
    </row>
    <row r="116" spans="2:21">
      <c r="B116" s="47" t="s">
        <v>821</v>
      </c>
      <c r="C116" s="61" t="s">
        <v>822</v>
      </c>
      <c r="D116" s="61"/>
      <c r="E116" s="63" t="s">
        <v>301</v>
      </c>
      <c r="F116" s="63" t="s">
        <v>301</v>
      </c>
      <c r="G116" s="63" t="s">
        <v>301</v>
      </c>
      <c r="H116" s="63" t="s">
        <v>301</v>
      </c>
      <c r="I116" s="63" t="s">
        <v>301</v>
      </c>
      <c r="J116" s="63" t="s">
        <v>301</v>
      </c>
      <c r="K116" s="63" t="s">
        <v>301</v>
      </c>
      <c r="L116" s="63" t="s">
        <v>301</v>
      </c>
      <c r="M116" s="63" t="s">
        <v>301</v>
      </c>
      <c r="N116" s="63" t="s">
        <v>301</v>
      </c>
      <c r="O116" s="63" t="s">
        <v>301</v>
      </c>
      <c r="P116" s="63" t="s">
        <v>301</v>
      </c>
      <c r="U116" s="218" t="str">
        <f t="shared" si="12"/>
        <v/>
      </c>
    </row>
    <row r="117" spans="2:21">
      <c r="B117" s="47" t="s">
        <v>823</v>
      </c>
      <c r="C117" s="61" t="s">
        <v>824</v>
      </c>
      <c r="D117" s="61"/>
      <c r="E117" s="63" t="s">
        <v>301</v>
      </c>
      <c r="F117" s="63">
        <v>103.8</v>
      </c>
      <c r="G117" s="63" t="s">
        <v>301</v>
      </c>
      <c r="H117" s="63" t="s">
        <v>301</v>
      </c>
      <c r="I117" s="63" t="s">
        <v>301</v>
      </c>
      <c r="J117" s="63">
        <v>103.60000000000001</v>
      </c>
      <c r="K117" s="63" t="s">
        <v>301</v>
      </c>
      <c r="L117" s="63" t="s">
        <v>301</v>
      </c>
      <c r="M117" s="63" t="s">
        <v>301</v>
      </c>
      <c r="N117" s="63">
        <v>98.100000000000009</v>
      </c>
      <c r="O117" s="63" t="s">
        <v>301</v>
      </c>
      <c r="P117" s="63" t="s">
        <v>301</v>
      </c>
      <c r="U117" s="218">
        <f t="shared" si="12"/>
        <v>1</v>
      </c>
    </row>
    <row r="118" spans="2:21">
      <c r="B118" s="47" t="s">
        <v>825</v>
      </c>
      <c r="C118" s="61" t="s">
        <v>826</v>
      </c>
      <c r="D118" s="61"/>
      <c r="E118" s="63" t="s">
        <v>301</v>
      </c>
      <c r="F118" s="63">
        <v>528.4</v>
      </c>
      <c r="G118" s="63" t="s">
        <v>301</v>
      </c>
      <c r="H118" s="63" t="s">
        <v>301</v>
      </c>
      <c r="I118" s="63" t="s">
        <v>301</v>
      </c>
      <c r="J118" s="63">
        <v>522.9</v>
      </c>
      <c r="K118" s="63" t="s">
        <v>301</v>
      </c>
      <c r="L118" s="63" t="s">
        <v>301</v>
      </c>
      <c r="M118" s="63" t="s">
        <v>301</v>
      </c>
      <c r="N118" s="63">
        <v>540</v>
      </c>
      <c r="O118" s="63" t="s">
        <v>301</v>
      </c>
      <c r="P118" s="63" t="s">
        <v>301</v>
      </c>
      <c r="U118" s="218">
        <f t="shared" si="12"/>
        <v>1</v>
      </c>
    </row>
    <row r="119" spans="2:21">
      <c r="B119" s="47" t="s">
        <v>827</v>
      </c>
      <c r="C119" s="61" t="s">
        <v>828</v>
      </c>
      <c r="D119" s="61"/>
      <c r="E119" s="63" t="s">
        <v>301</v>
      </c>
      <c r="F119" s="63">
        <v>551.4</v>
      </c>
      <c r="G119" s="63" t="s">
        <v>301</v>
      </c>
      <c r="H119" s="63" t="s">
        <v>301</v>
      </c>
      <c r="I119" s="63" t="s">
        <v>301</v>
      </c>
      <c r="J119" s="63">
        <v>613.1</v>
      </c>
      <c r="K119" s="63" t="s">
        <v>301</v>
      </c>
      <c r="L119" s="63" t="s">
        <v>301</v>
      </c>
      <c r="M119" s="63" t="s">
        <v>301</v>
      </c>
      <c r="N119" s="63">
        <v>717.2</v>
      </c>
      <c r="O119" s="63" t="s">
        <v>301</v>
      </c>
      <c r="P119" s="63" t="s">
        <v>301</v>
      </c>
      <c r="U119" s="218">
        <f t="shared" si="12"/>
        <v>1</v>
      </c>
    </row>
    <row r="120" spans="2:21">
      <c r="B120" s="47" t="s">
        <v>829</v>
      </c>
      <c r="C120" s="61" t="s">
        <v>830</v>
      </c>
      <c r="D120" s="61"/>
      <c r="E120" s="63" t="s">
        <v>301</v>
      </c>
      <c r="F120" s="63" t="s">
        <v>301</v>
      </c>
      <c r="G120" s="63" t="s">
        <v>301</v>
      </c>
      <c r="H120" s="63" t="s">
        <v>301</v>
      </c>
      <c r="I120" s="63" t="s">
        <v>301</v>
      </c>
      <c r="J120" s="63" t="s">
        <v>301</v>
      </c>
      <c r="K120" s="63" t="s">
        <v>301</v>
      </c>
      <c r="L120" s="63" t="s">
        <v>301</v>
      </c>
      <c r="M120" s="63" t="s">
        <v>301</v>
      </c>
      <c r="N120" s="63" t="s">
        <v>301</v>
      </c>
      <c r="O120" s="63" t="s">
        <v>301</v>
      </c>
      <c r="P120" s="63" t="s">
        <v>301</v>
      </c>
      <c r="U120" s="218" t="str">
        <f t="shared" si="12"/>
        <v/>
      </c>
    </row>
    <row r="121" spans="2:21">
      <c r="B121" s="47" t="s">
        <v>831</v>
      </c>
      <c r="C121" s="61" t="s">
        <v>832</v>
      </c>
      <c r="D121" s="61"/>
      <c r="E121" s="63" t="s">
        <v>301</v>
      </c>
      <c r="F121" s="63">
        <v>145.9</v>
      </c>
      <c r="G121" s="63" t="s">
        <v>301</v>
      </c>
      <c r="H121" s="63" t="s">
        <v>301</v>
      </c>
      <c r="I121" s="63" t="s">
        <v>301</v>
      </c>
      <c r="J121" s="63">
        <v>175.9</v>
      </c>
      <c r="K121" s="63" t="s">
        <v>301</v>
      </c>
      <c r="L121" s="63" t="s">
        <v>301</v>
      </c>
      <c r="M121" s="63" t="s">
        <v>301</v>
      </c>
      <c r="N121" s="63">
        <v>204.5</v>
      </c>
      <c r="O121" s="63" t="s">
        <v>301</v>
      </c>
      <c r="P121" s="63" t="s">
        <v>301</v>
      </c>
      <c r="U121" s="218">
        <f t="shared" si="12"/>
        <v>1</v>
      </c>
    </row>
    <row r="122" spans="2:21">
      <c r="B122" s="47" t="s">
        <v>833</v>
      </c>
      <c r="C122" s="61" t="s">
        <v>834</v>
      </c>
      <c r="D122" s="61"/>
      <c r="E122" s="63" t="s">
        <v>301</v>
      </c>
      <c r="F122" s="63" t="s">
        <v>301</v>
      </c>
      <c r="G122" s="63" t="s">
        <v>301</v>
      </c>
      <c r="H122" s="63" t="s">
        <v>301</v>
      </c>
      <c r="I122" s="63" t="s">
        <v>301</v>
      </c>
      <c r="J122" s="63" t="s">
        <v>301</v>
      </c>
      <c r="K122" s="63" t="s">
        <v>301</v>
      </c>
      <c r="L122" s="63" t="s">
        <v>301</v>
      </c>
      <c r="M122" s="63" t="s">
        <v>301</v>
      </c>
      <c r="N122" s="63" t="s">
        <v>301</v>
      </c>
      <c r="O122" s="63" t="s">
        <v>301</v>
      </c>
      <c r="P122" s="63" t="s">
        <v>301</v>
      </c>
      <c r="U122" s="218" t="str">
        <f t="shared" si="12"/>
        <v/>
      </c>
    </row>
    <row r="123" spans="2:21">
      <c r="B123" s="47" t="s">
        <v>835</v>
      </c>
      <c r="C123" s="61" t="s">
        <v>836</v>
      </c>
      <c r="D123" s="61"/>
      <c r="E123" s="63">
        <v>21</v>
      </c>
      <c r="F123" s="63">
        <v>21.1</v>
      </c>
      <c r="G123" s="63">
        <v>20.900000000000002</v>
      </c>
      <c r="H123" s="63">
        <v>18</v>
      </c>
      <c r="I123" s="63">
        <v>17.100000000000001</v>
      </c>
      <c r="J123" s="63">
        <v>22.5</v>
      </c>
      <c r="K123" s="63">
        <v>20.400000000000002</v>
      </c>
      <c r="L123" s="63">
        <v>20.900000000000002</v>
      </c>
      <c r="M123" s="63">
        <v>19.900000000000002</v>
      </c>
      <c r="N123" s="63">
        <v>23.8</v>
      </c>
      <c r="O123" s="63">
        <v>24.3</v>
      </c>
      <c r="P123" s="63">
        <v>24.6</v>
      </c>
      <c r="U123" s="218">
        <f t="shared" si="12"/>
        <v>1</v>
      </c>
    </row>
    <row r="124" spans="2:21">
      <c r="B124" s="47" t="s">
        <v>837</v>
      </c>
      <c r="C124" s="61" t="s">
        <v>838</v>
      </c>
      <c r="D124" s="61"/>
      <c r="E124" s="63">
        <v>26.5</v>
      </c>
      <c r="F124" s="63">
        <v>23.400000000000002</v>
      </c>
      <c r="G124" s="63">
        <v>17.3</v>
      </c>
      <c r="H124" s="63">
        <v>39.200000000000003</v>
      </c>
      <c r="I124" s="63">
        <v>44.1</v>
      </c>
      <c r="J124" s="63">
        <v>13.200000000000001</v>
      </c>
      <c r="K124" s="63">
        <v>6.7</v>
      </c>
      <c r="L124" s="63" t="s">
        <v>301</v>
      </c>
      <c r="M124" s="63">
        <v>0.9</v>
      </c>
      <c r="N124" s="63">
        <v>0.2</v>
      </c>
      <c r="O124" s="63">
        <v>2.7</v>
      </c>
      <c r="P124" s="63">
        <v>17.100000000000001</v>
      </c>
      <c r="U124" s="218">
        <f t="shared" si="12"/>
        <v>1</v>
      </c>
    </row>
    <row r="125" spans="2:21">
      <c r="B125" s="47" t="s">
        <v>839</v>
      </c>
      <c r="C125" s="61" t="s">
        <v>840</v>
      </c>
      <c r="D125" s="61"/>
      <c r="E125" s="63" t="s">
        <v>301</v>
      </c>
      <c r="F125" s="63" t="s">
        <v>301</v>
      </c>
      <c r="G125" s="63" t="s">
        <v>301</v>
      </c>
      <c r="H125" s="63" t="s">
        <v>301</v>
      </c>
      <c r="I125" s="63">
        <v>19.3</v>
      </c>
      <c r="J125" s="63">
        <v>19.3</v>
      </c>
      <c r="K125" s="63">
        <v>19.3</v>
      </c>
      <c r="L125" s="63">
        <v>19.3</v>
      </c>
      <c r="M125" s="63">
        <v>23.2</v>
      </c>
      <c r="N125" s="63">
        <v>23.3</v>
      </c>
      <c r="O125" s="63">
        <v>29.1</v>
      </c>
      <c r="P125" s="63">
        <v>34.6</v>
      </c>
      <c r="U125" s="218">
        <f t="shared" si="12"/>
        <v>1</v>
      </c>
    </row>
    <row r="126" spans="2:21">
      <c r="B126" s="47" t="s">
        <v>841</v>
      </c>
      <c r="C126" s="61" t="s">
        <v>842</v>
      </c>
      <c r="D126" s="61"/>
      <c r="E126" s="63" t="s">
        <v>301</v>
      </c>
      <c r="F126" s="63" t="s">
        <v>301</v>
      </c>
      <c r="G126" s="63" t="s">
        <v>301</v>
      </c>
      <c r="H126" s="63" t="s">
        <v>301</v>
      </c>
      <c r="I126" s="63" t="s">
        <v>301</v>
      </c>
      <c r="J126" s="63" t="s">
        <v>301</v>
      </c>
      <c r="K126" s="63" t="s">
        <v>301</v>
      </c>
      <c r="L126" s="63" t="s">
        <v>301</v>
      </c>
      <c r="M126" s="63" t="s">
        <v>301</v>
      </c>
      <c r="N126" s="63" t="s">
        <v>301</v>
      </c>
      <c r="O126" s="63" t="s">
        <v>301</v>
      </c>
      <c r="P126" s="63" t="s">
        <v>301</v>
      </c>
      <c r="U126" s="218" t="str">
        <f t="shared" si="12"/>
        <v/>
      </c>
    </row>
    <row r="127" spans="2:21">
      <c r="B127" s="47" t="s">
        <v>843</v>
      </c>
      <c r="C127" s="61" t="s">
        <v>844</v>
      </c>
      <c r="D127" s="61"/>
      <c r="E127" s="63">
        <v>47.5</v>
      </c>
      <c r="F127" s="63">
        <v>44.5</v>
      </c>
      <c r="G127" s="63">
        <v>38.200000000000003</v>
      </c>
      <c r="H127" s="63">
        <v>57.2</v>
      </c>
      <c r="I127" s="63">
        <v>80.5</v>
      </c>
      <c r="J127" s="63">
        <v>55</v>
      </c>
      <c r="K127" s="63">
        <v>46.4</v>
      </c>
      <c r="L127" s="63">
        <v>40.200000000000003</v>
      </c>
      <c r="M127" s="63">
        <v>44</v>
      </c>
      <c r="N127" s="63">
        <v>47.300000000000004</v>
      </c>
      <c r="O127" s="63">
        <v>56.1</v>
      </c>
      <c r="P127" s="63">
        <v>76.3</v>
      </c>
      <c r="U127" s="218">
        <f t="shared" si="12"/>
        <v>1</v>
      </c>
    </row>
    <row r="128" spans="2:21">
      <c r="B128" s="47" t="s">
        <v>845</v>
      </c>
      <c r="C128" s="61" t="s">
        <v>846</v>
      </c>
      <c r="D128" s="61"/>
      <c r="E128" s="63">
        <v>25.3</v>
      </c>
      <c r="F128" s="63">
        <v>26.2</v>
      </c>
      <c r="G128" s="63">
        <v>26.8</v>
      </c>
      <c r="H128" s="63">
        <v>22.900000000000002</v>
      </c>
      <c r="I128" s="63">
        <v>21.900000000000002</v>
      </c>
      <c r="J128" s="63">
        <v>23.5</v>
      </c>
      <c r="K128" s="63">
        <v>26.1</v>
      </c>
      <c r="L128" s="63">
        <v>26.400000000000002</v>
      </c>
      <c r="M128" s="63">
        <v>23.6</v>
      </c>
      <c r="N128" s="63">
        <v>24.400000000000002</v>
      </c>
      <c r="O128" s="63">
        <v>26.2</v>
      </c>
      <c r="P128" s="63">
        <v>26.2</v>
      </c>
      <c r="U128" s="218">
        <f t="shared" si="12"/>
        <v>1</v>
      </c>
    </row>
    <row r="129" spans="2:21">
      <c r="B129" s="47" t="s">
        <v>847</v>
      </c>
      <c r="C129" s="61" t="s">
        <v>848</v>
      </c>
      <c r="D129" s="61"/>
      <c r="E129" s="63">
        <v>1.2</v>
      </c>
      <c r="F129" s="63">
        <v>4</v>
      </c>
      <c r="G129" s="63">
        <v>100.5</v>
      </c>
      <c r="H129" s="63">
        <v>25.400000000000002</v>
      </c>
      <c r="I129" s="63">
        <v>9.2000000000000011</v>
      </c>
      <c r="J129" s="63">
        <v>17.8</v>
      </c>
      <c r="K129" s="63">
        <v>53.5</v>
      </c>
      <c r="L129" s="63">
        <v>82.3</v>
      </c>
      <c r="M129" s="63">
        <v>30.7</v>
      </c>
      <c r="N129" s="63">
        <v>11.6</v>
      </c>
      <c r="O129" s="63">
        <v>5.2</v>
      </c>
      <c r="P129" s="63">
        <v>3.8000000000000003</v>
      </c>
      <c r="U129" s="218">
        <f t="shared" si="12"/>
        <v>1</v>
      </c>
    </row>
    <row r="130" spans="2:21">
      <c r="B130" s="47" t="s">
        <v>849</v>
      </c>
      <c r="C130" s="61" t="s">
        <v>850</v>
      </c>
      <c r="D130" s="61"/>
      <c r="E130" s="63" t="s">
        <v>301</v>
      </c>
      <c r="F130" s="63" t="s">
        <v>301</v>
      </c>
      <c r="G130" s="63" t="s">
        <v>301</v>
      </c>
      <c r="H130" s="63" t="s">
        <v>301</v>
      </c>
      <c r="I130" s="63" t="s">
        <v>301</v>
      </c>
      <c r="J130" s="63" t="s">
        <v>301</v>
      </c>
      <c r="K130" s="63" t="s">
        <v>301</v>
      </c>
      <c r="L130" s="63" t="s">
        <v>301</v>
      </c>
      <c r="M130" s="63" t="s">
        <v>301</v>
      </c>
      <c r="N130" s="63" t="s">
        <v>301</v>
      </c>
      <c r="O130" s="63" t="s">
        <v>301</v>
      </c>
      <c r="P130" s="63" t="s">
        <v>301</v>
      </c>
      <c r="U130" s="218" t="str">
        <f t="shared" si="12"/>
        <v/>
      </c>
    </row>
    <row r="131" spans="2:21">
      <c r="B131" s="47" t="s">
        <v>851</v>
      </c>
      <c r="C131" s="61" t="s">
        <v>852</v>
      </c>
      <c r="D131" s="61"/>
      <c r="E131" s="63" t="s">
        <v>301</v>
      </c>
      <c r="F131" s="63" t="s">
        <v>301</v>
      </c>
      <c r="G131" s="63" t="s">
        <v>301</v>
      </c>
      <c r="H131" s="63" t="s">
        <v>301</v>
      </c>
      <c r="I131" s="63" t="s">
        <v>301</v>
      </c>
      <c r="J131" s="63" t="s">
        <v>301</v>
      </c>
      <c r="K131" s="63" t="s">
        <v>301</v>
      </c>
      <c r="L131" s="63" t="s">
        <v>301</v>
      </c>
      <c r="M131" s="63" t="s">
        <v>301</v>
      </c>
      <c r="N131" s="63" t="s">
        <v>301</v>
      </c>
      <c r="O131" s="63" t="s">
        <v>301</v>
      </c>
      <c r="P131" s="63" t="s">
        <v>301</v>
      </c>
      <c r="U131" s="218" t="str">
        <f t="shared" si="12"/>
        <v/>
      </c>
    </row>
    <row r="132" spans="2:21">
      <c r="B132" s="47" t="s">
        <v>853</v>
      </c>
      <c r="C132" s="61" t="s">
        <v>854</v>
      </c>
      <c r="D132" s="61"/>
      <c r="E132" s="63">
        <v>26.5</v>
      </c>
      <c r="F132" s="63">
        <v>30.2</v>
      </c>
      <c r="G132" s="63">
        <v>127.3</v>
      </c>
      <c r="H132" s="63">
        <v>48.300000000000004</v>
      </c>
      <c r="I132" s="63">
        <v>31.1</v>
      </c>
      <c r="J132" s="63">
        <v>41.300000000000004</v>
      </c>
      <c r="K132" s="63">
        <v>79.600000000000009</v>
      </c>
      <c r="L132" s="63">
        <v>108.7</v>
      </c>
      <c r="M132" s="63">
        <v>54.300000000000004</v>
      </c>
      <c r="N132" s="63">
        <v>36</v>
      </c>
      <c r="O132" s="63">
        <v>31.400000000000002</v>
      </c>
      <c r="P132" s="63">
        <v>30</v>
      </c>
      <c r="U132" s="218">
        <f t="shared" si="12"/>
        <v>1</v>
      </c>
    </row>
    <row r="133" spans="2:21">
      <c r="B133" s="47" t="s">
        <v>855</v>
      </c>
      <c r="C133" s="61" t="s">
        <v>856</v>
      </c>
      <c r="D133" s="61"/>
      <c r="E133" s="63" t="s">
        <v>301</v>
      </c>
      <c r="F133" s="63" t="s">
        <v>301</v>
      </c>
      <c r="G133" s="63" t="s">
        <v>301</v>
      </c>
      <c r="H133" s="63" t="s">
        <v>301</v>
      </c>
      <c r="I133" s="63" t="s">
        <v>301</v>
      </c>
      <c r="J133" s="63" t="s">
        <v>301</v>
      </c>
      <c r="K133" s="63" t="s">
        <v>301</v>
      </c>
      <c r="L133" s="63" t="s">
        <v>301</v>
      </c>
      <c r="M133" s="63" t="s">
        <v>301</v>
      </c>
      <c r="N133" s="63" t="s">
        <v>301</v>
      </c>
      <c r="O133" s="63" t="s">
        <v>301</v>
      </c>
      <c r="P133" s="63" t="s">
        <v>301</v>
      </c>
      <c r="U133" s="218" t="str">
        <f t="shared" si="12"/>
        <v/>
      </c>
    </row>
    <row r="134" spans="2:21">
      <c r="B134" s="47" t="s">
        <v>857</v>
      </c>
      <c r="C134" s="61" t="s">
        <v>858</v>
      </c>
      <c r="D134" s="61"/>
      <c r="E134" s="63" t="s">
        <v>301</v>
      </c>
      <c r="F134" s="63">
        <v>6400</v>
      </c>
      <c r="G134" s="63" t="s">
        <v>301</v>
      </c>
      <c r="H134" s="63" t="s">
        <v>301</v>
      </c>
      <c r="I134" s="63" t="s">
        <v>301</v>
      </c>
      <c r="J134" s="63">
        <v>6600</v>
      </c>
      <c r="K134" s="63" t="s">
        <v>301</v>
      </c>
      <c r="L134" s="63" t="s">
        <v>301</v>
      </c>
      <c r="M134" s="63" t="s">
        <v>301</v>
      </c>
      <c r="N134" s="63">
        <v>6600</v>
      </c>
      <c r="O134" s="63" t="s">
        <v>301</v>
      </c>
      <c r="P134" s="63" t="s">
        <v>301</v>
      </c>
      <c r="U134" s="218">
        <f t="shared" si="12"/>
        <v>1</v>
      </c>
    </row>
    <row r="135" spans="2:21">
      <c r="B135" s="47" t="s">
        <v>859</v>
      </c>
      <c r="C135" s="61" t="s">
        <v>860</v>
      </c>
      <c r="D135" s="61"/>
      <c r="E135" s="63" t="s">
        <v>301</v>
      </c>
      <c r="F135" s="63" t="s">
        <v>301</v>
      </c>
      <c r="G135" s="63" t="s">
        <v>301</v>
      </c>
      <c r="H135" s="63" t="s">
        <v>301</v>
      </c>
      <c r="I135" s="63" t="s">
        <v>301</v>
      </c>
      <c r="J135" s="63" t="s">
        <v>301</v>
      </c>
      <c r="K135" s="63" t="s">
        <v>301</v>
      </c>
      <c r="L135" s="63" t="s">
        <v>301</v>
      </c>
      <c r="M135" s="63" t="s">
        <v>301</v>
      </c>
      <c r="N135" s="63" t="s">
        <v>301</v>
      </c>
      <c r="O135" s="63" t="s">
        <v>301</v>
      </c>
      <c r="P135" s="63" t="s">
        <v>301</v>
      </c>
      <c r="U135" s="218" t="str">
        <f t="shared" si="12"/>
        <v/>
      </c>
    </row>
    <row r="136" spans="2:21">
      <c r="B136" s="47" t="s">
        <v>861</v>
      </c>
      <c r="C136" s="61" t="s">
        <v>862</v>
      </c>
      <c r="D136" s="61"/>
      <c r="E136" s="63" t="s">
        <v>301</v>
      </c>
      <c r="F136" s="63">
        <v>-18</v>
      </c>
      <c r="G136" s="63" t="s">
        <v>301</v>
      </c>
      <c r="H136" s="63" t="s">
        <v>301</v>
      </c>
      <c r="I136" s="63" t="s">
        <v>301</v>
      </c>
      <c r="J136" s="63">
        <v>0.2</v>
      </c>
      <c r="K136" s="63" t="s">
        <v>301</v>
      </c>
      <c r="L136" s="63" t="s">
        <v>301</v>
      </c>
      <c r="M136" s="63" t="s">
        <v>301</v>
      </c>
      <c r="N136" s="63">
        <v>-9.1</v>
      </c>
      <c r="O136" s="63" t="s">
        <v>301</v>
      </c>
      <c r="P136" s="63" t="s">
        <v>301</v>
      </c>
      <c r="U136" s="218">
        <f t="shared" si="12"/>
        <v>1</v>
      </c>
    </row>
    <row r="137" spans="2:21">
      <c r="B137" s="47" t="s">
        <v>863</v>
      </c>
      <c r="C137" s="61" t="s">
        <v>864</v>
      </c>
      <c r="D137" s="61"/>
      <c r="E137" s="63" t="s">
        <v>301</v>
      </c>
      <c r="F137" s="63" t="s">
        <v>301</v>
      </c>
      <c r="G137" s="63" t="s">
        <v>301</v>
      </c>
      <c r="H137" s="63" t="s">
        <v>301</v>
      </c>
      <c r="I137" s="63" t="s">
        <v>301</v>
      </c>
      <c r="J137" s="63" t="s">
        <v>301</v>
      </c>
      <c r="K137" s="63" t="s">
        <v>301</v>
      </c>
      <c r="L137" s="63" t="s">
        <v>301</v>
      </c>
      <c r="M137" s="63" t="s">
        <v>301</v>
      </c>
      <c r="N137" s="63" t="s">
        <v>301</v>
      </c>
      <c r="O137" s="63" t="s">
        <v>301</v>
      </c>
      <c r="P137" s="63" t="s">
        <v>301</v>
      </c>
      <c r="U137" s="218" t="str">
        <f t="shared" si="12"/>
        <v/>
      </c>
    </row>
    <row r="138" spans="2:21">
      <c r="B138" s="47" t="s">
        <v>690</v>
      </c>
      <c r="C138" s="61" t="s">
        <v>691</v>
      </c>
      <c r="D138" s="61"/>
      <c r="E138" s="63" t="s">
        <v>301</v>
      </c>
      <c r="F138" s="63" t="s">
        <v>301</v>
      </c>
      <c r="G138" s="63" t="s">
        <v>301</v>
      </c>
      <c r="H138" s="63" t="s">
        <v>301</v>
      </c>
      <c r="I138" s="63" t="s">
        <v>301</v>
      </c>
      <c r="J138" s="63" t="s">
        <v>301</v>
      </c>
      <c r="K138" s="63" t="s">
        <v>301</v>
      </c>
      <c r="L138" s="63" t="s">
        <v>301</v>
      </c>
      <c r="M138" s="63" t="s">
        <v>301</v>
      </c>
      <c r="N138" s="63" t="s">
        <v>301</v>
      </c>
      <c r="O138" s="63" t="s">
        <v>301</v>
      </c>
      <c r="P138" s="63" t="s">
        <v>301</v>
      </c>
      <c r="U138" s="218" t="str">
        <f t="shared" si="12"/>
        <v/>
      </c>
    </row>
    <row r="139" spans="2:21">
      <c r="B139" s="47" t="s">
        <v>865</v>
      </c>
      <c r="C139" s="61" t="s">
        <v>866</v>
      </c>
      <c r="D139" s="61"/>
      <c r="E139" s="63" t="s">
        <v>301</v>
      </c>
      <c r="F139" s="63" t="s">
        <v>301</v>
      </c>
      <c r="G139" s="63" t="s">
        <v>301</v>
      </c>
      <c r="H139" s="63" t="s">
        <v>301</v>
      </c>
      <c r="I139" s="63" t="s">
        <v>301</v>
      </c>
      <c r="J139" s="63" t="s">
        <v>301</v>
      </c>
      <c r="K139" s="63" t="s">
        <v>301</v>
      </c>
      <c r="L139" s="63" t="s">
        <v>301</v>
      </c>
      <c r="M139" s="63" t="s">
        <v>301</v>
      </c>
      <c r="N139" s="63" t="s">
        <v>301</v>
      </c>
      <c r="O139" s="63" t="s">
        <v>301</v>
      </c>
      <c r="P139" s="63" t="s">
        <v>301</v>
      </c>
      <c r="U139" s="218" t="str">
        <f t="shared" si="12"/>
        <v/>
      </c>
    </row>
    <row r="140" spans="2:21">
      <c r="B140" s="47" t="s">
        <v>476</v>
      </c>
      <c r="C140" s="61" t="s">
        <v>867</v>
      </c>
      <c r="D140" s="61"/>
      <c r="E140" s="81" t="s">
        <v>870</v>
      </c>
      <c r="F140" s="81" t="s">
        <v>869</v>
      </c>
      <c r="G140" s="81" t="s">
        <v>870</v>
      </c>
      <c r="H140" s="81" t="s">
        <v>870</v>
      </c>
      <c r="I140" s="81" t="s">
        <v>870</v>
      </c>
      <c r="J140" s="81" t="s">
        <v>870</v>
      </c>
      <c r="K140" s="81" t="s">
        <v>870</v>
      </c>
      <c r="L140" s="81" t="s">
        <v>870</v>
      </c>
      <c r="M140" s="81" t="s">
        <v>2276</v>
      </c>
      <c r="N140" s="81" t="s">
        <v>2276</v>
      </c>
      <c r="O140" s="81" t="s">
        <v>2276</v>
      </c>
      <c r="P140" s="81" t="s">
        <v>2276</v>
      </c>
    </row>
    <row r="141" spans="2:21" ht="61.2">
      <c r="B141" s="47" t="s">
        <v>479</v>
      </c>
      <c r="C141" s="61" t="s">
        <v>868</v>
      </c>
      <c r="D141" s="61"/>
      <c r="E141" s="82" t="s">
        <v>872</v>
      </c>
      <c r="F141" s="82" t="s">
        <v>872</v>
      </c>
      <c r="G141" s="82" t="s">
        <v>872</v>
      </c>
      <c r="H141" s="82" t="s">
        <v>872</v>
      </c>
      <c r="I141" s="82" t="s">
        <v>872</v>
      </c>
      <c r="J141" s="82" t="s">
        <v>871</v>
      </c>
      <c r="K141" s="82" t="s">
        <v>872</v>
      </c>
      <c r="L141" s="82" t="s">
        <v>872</v>
      </c>
      <c r="M141" s="82" t="s">
        <v>871</v>
      </c>
      <c r="N141" s="82" t="s">
        <v>871</v>
      </c>
      <c r="O141" s="82" t="s">
        <v>871</v>
      </c>
      <c r="P141" s="82" t="s">
        <v>871</v>
      </c>
    </row>
    <row r="142" spans="2:21">
      <c r="B142" s="97"/>
      <c r="C142" s="103"/>
      <c r="D142" s="103"/>
      <c r="E142" s="98"/>
      <c r="F142" s="98"/>
      <c r="G142" s="98"/>
      <c r="H142" s="98"/>
      <c r="I142" s="98"/>
      <c r="J142" s="98"/>
      <c r="K142" s="98"/>
      <c r="L142" s="98"/>
      <c r="M142" s="98"/>
      <c r="N142" s="98"/>
      <c r="O142" s="98"/>
      <c r="P142" s="98"/>
    </row>
  </sheetData>
  <pageMargins left="0.25" right="0.25" top="0.25" bottom="0.25" header="0" footer="0"/>
  <pageSetup paperSize="9" scale="5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UnhideAll">
                <anchor moveWithCells="1" sizeWithCells="1">
                  <from>
                    <xdr:col>7</xdr:col>
                    <xdr:colOff>220980</xdr:colOff>
                    <xdr:row>0</xdr:row>
                    <xdr:rowOff>114300</xdr:rowOff>
                  </from>
                  <to>
                    <xdr:col>8</xdr:col>
                    <xdr:colOff>342900</xdr:colOff>
                    <xdr:row>2</xdr:row>
                    <xdr:rowOff>45720</xdr:rowOff>
                  </to>
                </anchor>
              </controlPr>
            </control>
          </mc:Choice>
        </mc:AlternateContent>
        <mc:AlternateContent xmlns:mc="http://schemas.openxmlformats.org/markup-compatibility/2006">
          <mc:Choice Requires="x14">
            <control shapeId="4098" r:id="rId5" name="Button 2">
              <controlPr defaultSize="0" print="0" autoFill="0" autoPict="0" macro="[0]!HideEmpty1">
                <anchor moveWithCells="1" sizeWithCells="1">
                  <from>
                    <xdr:col>5</xdr:col>
                    <xdr:colOff>731520</xdr:colOff>
                    <xdr:row>0</xdr:row>
                    <xdr:rowOff>114300</xdr:rowOff>
                  </from>
                  <to>
                    <xdr:col>7</xdr:col>
                    <xdr:colOff>83820</xdr:colOff>
                    <xdr:row>2</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2:V93"/>
  <sheetViews>
    <sheetView showGridLines="0" topLeftCell="A16" workbookViewId="0">
      <selection activeCell="E44" sqref="E44:P44"/>
    </sheetView>
  </sheetViews>
  <sheetFormatPr defaultRowHeight="10.199999999999999" outlineLevelRow="1" outlineLevelCol="1"/>
  <cols>
    <col min="1" max="1" width="2" customWidth="1"/>
    <col min="2" max="2" width="36.140625" customWidth="1"/>
    <col min="3" max="3" width="20.85546875" style="2" hidden="1" customWidth="1" outlineLevel="1"/>
    <col min="4" max="4" width="9.28515625" style="2" hidden="1" customWidth="1" outlineLevel="1"/>
    <col min="5" max="5" width="13.42578125" customWidth="1" collapsed="1"/>
    <col min="6" max="16" width="13.42578125" customWidth="1"/>
    <col min="21" max="21" width="9.28515625" hidden="1" customWidth="1" outlineLevel="1"/>
    <col min="22" max="22" width="9.28515625" collapsed="1"/>
  </cols>
  <sheetData>
    <row r="2" spans="1:21">
      <c r="B2" t="s">
        <v>2275</v>
      </c>
    </row>
    <row r="3" spans="1:21">
      <c r="A3" s="47"/>
      <c r="B3" s="47"/>
      <c r="C3" s="91"/>
      <c r="D3" s="91"/>
      <c r="E3" s="47"/>
      <c r="F3" s="47"/>
      <c r="G3" s="49"/>
      <c r="H3" s="47"/>
      <c r="I3" s="47"/>
      <c r="J3" s="47"/>
      <c r="K3" s="47"/>
      <c r="L3" s="47"/>
      <c r="M3" s="47"/>
      <c r="N3" s="47"/>
      <c r="O3" s="47"/>
      <c r="P3" s="47"/>
    </row>
    <row r="4" spans="1:21" ht="16.2" thickBot="1">
      <c r="A4" s="47"/>
      <c r="B4" s="50" t="str">
        <f>E11&amp;IF(E12="",""," ("&amp;E12&amp;")")</f>
        <v>FMC Corporation (NYSE:FMC) (FMC-US)</v>
      </c>
      <c r="C4" s="100"/>
      <c r="D4" s="100"/>
      <c r="E4" s="53"/>
      <c r="F4" s="53"/>
      <c r="G4" s="53"/>
      <c r="H4" s="53"/>
      <c r="I4" s="53"/>
      <c r="J4" s="53"/>
      <c r="K4" s="53"/>
      <c r="L4" s="53"/>
      <c r="M4" s="53"/>
      <c r="N4" s="51"/>
      <c r="O4" s="51"/>
      <c r="P4" s="119" t="s">
        <v>2280</v>
      </c>
    </row>
    <row r="5" spans="1:21" ht="17.25" customHeight="1">
      <c r="A5" s="47"/>
      <c r="B5" s="54" t="str">
        <f>"Data in "&amp;Curr_Sym</f>
        <v>Data in ($M)</v>
      </c>
      <c r="C5" s="54"/>
      <c r="D5" s="91"/>
      <c r="E5" s="47"/>
      <c r="F5" s="47"/>
      <c r="G5" s="47"/>
      <c r="H5" s="47"/>
      <c r="I5" s="47"/>
      <c r="J5" s="47"/>
      <c r="K5" s="47"/>
      <c r="L5" s="47"/>
      <c r="M5" s="47"/>
      <c r="N5" s="55"/>
      <c r="O5" s="55"/>
      <c r="P5" s="55"/>
    </row>
    <row r="6" spans="1:21" hidden="1" outlineLevel="1">
      <c r="A6" s="47"/>
      <c r="B6" s="56"/>
      <c r="C6" s="57" t="str">
        <f ca="1">_xll.SNL.Clients.Office.Excel.Functions.SPGTable($E$6:$P$6,$C$11:$C$92,$E$7:$P$7,"Options: Curr="&amp;Sel_Curr&amp;", Mag="&amp;Sel_Mag&amp;",ConvMethod="&amp;Sel_Conv&amp;", NA=NA, Term=en-US")</f>
        <v>SPGTable</v>
      </c>
      <c r="D6" s="57"/>
      <c r="E6" s="59" t="str">
        <f t="shared" ref="E6:P6" si="0">Focus_Co</f>
        <v>FMC</v>
      </c>
      <c r="F6" s="59" t="str">
        <f t="shared" si="0"/>
        <v>FMC</v>
      </c>
      <c r="G6" s="59" t="str">
        <f t="shared" si="0"/>
        <v>FMC</v>
      </c>
      <c r="H6" s="59" t="str">
        <f t="shared" si="0"/>
        <v>FMC</v>
      </c>
      <c r="I6" s="59" t="str">
        <f t="shared" si="0"/>
        <v>FMC</v>
      </c>
      <c r="J6" s="59" t="str">
        <f t="shared" si="0"/>
        <v>FMC</v>
      </c>
      <c r="K6" s="59" t="str">
        <f t="shared" si="0"/>
        <v>FMC</v>
      </c>
      <c r="L6" s="59" t="str">
        <f t="shared" si="0"/>
        <v>FMC</v>
      </c>
      <c r="M6" s="59" t="str">
        <f t="shared" si="0"/>
        <v>FMC</v>
      </c>
      <c r="N6" s="59" t="str">
        <f t="shared" si="0"/>
        <v>FMC</v>
      </c>
      <c r="O6" s="59" t="str">
        <f t="shared" si="0"/>
        <v>FMC</v>
      </c>
      <c r="P6" s="59" t="str">
        <f t="shared" si="0"/>
        <v>FMC</v>
      </c>
    </row>
    <row r="7" spans="1:21" hidden="1" outlineLevel="1">
      <c r="A7" s="47"/>
      <c r="B7" s="56"/>
      <c r="C7" s="57"/>
      <c r="D7" s="57"/>
      <c r="E7" s="59" t="str">
        <f t="shared" ref="E7:L7" si="1">LEFT(F7,LEN(F7)-1)&amp;RIGHT(F7,1)+1</f>
        <v>FQ-11</v>
      </c>
      <c r="F7" s="59" t="str">
        <f t="shared" si="1"/>
        <v>FQ-10</v>
      </c>
      <c r="G7" s="59" t="str">
        <f t="shared" si="1"/>
        <v>FQ-9</v>
      </c>
      <c r="H7" s="59" t="str">
        <f t="shared" si="1"/>
        <v>FQ-8</v>
      </c>
      <c r="I7" s="59" t="str">
        <f t="shared" si="1"/>
        <v>FQ-7</v>
      </c>
      <c r="J7" s="59" t="str">
        <f t="shared" si="1"/>
        <v>FQ-6</v>
      </c>
      <c r="K7" s="59" t="str">
        <f t="shared" si="1"/>
        <v>FQ-5</v>
      </c>
      <c r="L7" s="59" t="str">
        <f t="shared" si="1"/>
        <v>FQ-4</v>
      </c>
      <c r="M7" s="59" t="str">
        <f t="shared" ref="M7" si="2">LEFT(N7,LEN(N7)-1)&amp;RIGHT(N7,1)+1</f>
        <v>FQ-3</v>
      </c>
      <c r="N7" s="59" t="str">
        <f>LEFT(O7,LEN(O7)-1)&amp;RIGHT(O7,1)+1</f>
        <v>FQ-2</v>
      </c>
      <c r="O7" s="59" t="str">
        <f>VLOOKUP(Period,FormatTable,2,FALSE)</f>
        <v>FQ-1</v>
      </c>
      <c r="P7" s="59" t="str">
        <f>Period</f>
        <v>FQ0</v>
      </c>
    </row>
    <row r="8" spans="1:21" hidden="1" outlineLevel="1">
      <c r="A8" s="47"/>
      <c r="B8" s="56"/>
      <c r="C8" s="57"/>
      <c r="D8" s="57"/>
      <c r="E8" s="209">
        <f t="shared" ref="E8:P8" ca="1" si="3">IF(Date="","",Date)</f>
        <v>45536</v>
      </c>
      <c r="F8" s="209">
        <f t="shared" ca="1" si="3"/>
        <v>45536</v>
      </c>
      <c r="G8" s="209">
        <f t="shared" ca="1" si="3"/>
        <v>45536</v>
      </c>
      <c r="H8" s="209">
        <f t="shared" ca="1" si="3"/>
        <v>45536</v>
      </c>
      <c r="I8" s="209">
        <f t="shared" ca="1" si="3"/>
        <v>45536</v>
      </c>
      <c r="J8" s="209">
        <f t="shared" ca="1" si="3"/>
        <v>45536</v>
      </c>
      <c r="K8" s="209">
        <f t="shared" ca="1" si="3"/>
        <v>45536</v>
      </c>
      <c r="L8" s="209">
        <f t="shared" ca="1" si="3"/>
        <v>45536</v>
      </c>
      <c r="M8" s="209">
        <f t="shared" ca="1" si="3"/>
        <v>45536</v>
      </c>
      <c r="N8" s="209">
        <f t="shared" ca="1" si="3"/>
        <v>45536</v>
      </c>
      <c r="O8" s="209">
        <f t="shared" ca="1" si="3"/>
        <v>45536</v>
      </c>
      <c r="P8" s="209">
        <f t="shared" ca="1" si="3"/>
        <v>45536</v>
      </c>
    </row>
    <row r="9" spans="1:21" hidden="1" outlineLevel="1">
      <c r="A9" s="47"/>
      <c r="B9" s="56"/>
      <c r="C9" s="101"/>
      <c r="D9" s="101"/>
      <c r="E9" s="47"/>
      <c r="F9" s="47"/>
      <c r="G9" s="47"/>
      <c r="H9" s="47"/>
      <c r="I9" s="47"/>
      <c r="J9" s="47"/>
      <c r="K9" s="47"/>
      <c r="L9" s="47"/>
      <c r="M9" s="47"/>
      <c r="N9" s="55"/>
      <c r="O9" s="55"/>
      <c r="P9" s="55"/>
    </row>
    <row r="10" spans="1:21" hidden="1" outlineLevel="1">
      <c r="A10" s="47"/>
      <c r="B10" s="56"/>
      <c r="C10" s="101"/>
      <c r="D10" s="101"/>
      <c r="E10" s="47"/>
      <c r="F10" s="47"/>
      <c r="G10" s="47"/>
      <c r="H10" s="47"/>
      <c r="I10" s="47"/>
      <c r="J10" s="47"/>
      <c r="K10" s="47"/>
      <c r="L10" s="47"/>
      <c r="M10" s="47"/>
      <c r="N10" s="55"/>
      <c r="O10" s="55"/>
      <c r="P10" s="55"/>
    </row>
    <row r="11" spans="1:21" hidden="1" outlineLevel="1">
      <c r="A11" s="47"/>
      <c r="B11" s="56"/>
      <c r="C11" s="61" t="s">
        <v>322</v>
      </c>
      <c r="D11" s="61"/>
      <c r="E11" s="47" t="s">
        <v>2289</v>
      </c>
      <c r="F11" s="47" t="s">
        <v>2289</v>
      </c>
      <c r="G11" s="47" t="s">
        <v>2289</v>
      </c>
      <c r="H11" s="47" t="s">
        <v>2289</v>
      </c>
      <c r="I11" s="47" t="s">
        <v>2289</v>
      </c>
      <c r="J11" s="47" t="s">
        <v>2289</v>
      </c>
      <c r="K11" s="47" t="s">
        <v>2289</v>
      </c>
      <c r="L11" s="47" t="s">
        <v>2289</v>
      </c>
      <c r="M11" s="47" t="s">
        <v>2289</v>
      </c>
      <c r="N11" s="55" t="s">
        <v>2289</v>
      </c>
      <c r="O11" s="55" t="s">
        <v>2289</v>
      </c>
      <c r="P11" s="55" t="s">
        <v>2289</v>
      </c>
    </row>
    <row r="12" spans="1:21" hidden="1" outlineLevel="1">
      <c r="A12" s="47"/>
      <c r="B12" s="56"/>
      <c r="C12" s="61" t="s">
        <v>323</v>
      </c>
      <c r="D12" s="61"/>
      <c r="E12" s="47" t="s">
        <v>2290</v>
      </c>
      <c r="F12" s="47" t="s">
        <v>2290</v>
      </c>
      <c r="G12" s="47" t="s">
        <v>2290</v>
      </c>
      <c r="H12" s="47" t="s">
        <v>2290</v>
      </c>
      <c r="I12" s="47" t="s">
        <v>2290</v>
      </c>
      <c r="J12" s="47" t="s">
        <v>2290</v>
      </c>
      <c r="K12" s="47" t="s">
        <v>2290</v>
      </c>
      <c r="L12" s="47" t="s">
        <v>2290</v>
      </c>
      <c r="M12" s="47" t="s">
        <v>2290</v>
      </c>
      <c r="N12" s="55" t="s">
        <v>2290</v>
      </c>
      <c r="O12" s="55" t="s">
        <v>2290</v>
      </c>
      <c r="P12" s="55" t="s">
        <v>2290</v>
      </c>
    </row>
    <row r="13" spans="1:21" ht="18.75" customHeight="1" collapsed="1">
      <c r="A13" s="47"/>
      <c r="B13" s="62" t="s">
        <v>325</v>
      </c>
      <c r="C13" s="61" t="s">
        <v>326</v>
      </c>
      <c r="D13" s="61"/>
      <c r="E13" s="162">
        <v>44469</v>
      </c>
      <c r="F13" s="162">
        <v>44561</v>
      </c>
      <c r="G13" s="162">
        <v>44651</v>
      </c>
      <c r="H13" s="162">
        <v>44742</v>
      </c>
      <c r="I13" s="162">
        <v>44834</v>
      </c>
      <c r="J13" s="162">
        <v>44926</v>
      </c>
      <c r="K13" s="162">
        <v>45016</v>
      </c>
      <c r="L13" s="162">
        <v>45107</v>
      </c>
      <c r="M13" s="162">
        <v>45199</v>
      </c>
      <c r="N13" s="162">
        <v>45291</v>
      </c>
      <c r="O13" s="162">
        <v>45382</v>
      </c>
      <c r="P13" s="162">
        <v>45473</v>
      </c>
    </row>
    <row r="14" spans="1:21">
      <c r="E14" s="15"/>
      <c r="F14" s="15"/>
      <c r="G14" s="15"/>
      <c r="H14" s="15"/>
      <c r="I14" s="15"/>
      <c r="J14" s="15"/>
      <c r="K14" s="15"/>
      <c r="L14" s="15"/>
      <c r="M14" s="15"/>
      <c r="N14" s="15"/>
      <c r="O14" s="15"/>
      <c r="P14" s="15"/>
      <c r="U14" t="s">
        <v>2274</v>
      </c>
    </row>
    <row r="15" spans="1:21">
      <c r="B15" s="62" t="s">
        <v>6</v>
      </c>
      <c r="C15" s="61" t="s">
        <v>533</v>
      </c>
      <c r="D15" s="61"/>
      <c r="E15" s="73">
        <v>163.4</v>
      </c>
      <c r="F15" s="73">
        <v>190.70000000000002</v>
      </c>
      <c r="G15" s="73">
        <v>207.4</v>
      </c>
      <c r="H15" s="73">
        <v>134.19999999999999</v>
      </c>
      <c r="I15" s="73">
        <v>121</v>
      </c>
      <c r="J15" s="73">
        <v>273.90000000000003</v>
      </c>
      <c r="K15" s="73">
        <v>196</v>
      </c>
      <c r="L15" s="73">
        <v>30.5</v>
      </c>
      <c r="M15" s="73">
        <v>-3.5</v>
      </c>
      <c r="N15" s="73">
        <v>1098.5</v>
      </c>
      <c r="O15" s="73">
        <v>-2.7</v>
      </c>
      <c r="P15" s="73">
        <v>295.10000000000002</v>
      </c>
    </row>
    <row r="16" spans="1:21">
      <c r="B16" s="47" t="s">
        <v>365</v>
      </c>
      <c r="C16" s="61" t="s">
        <v>534</v>
      </c>
      <c r="D16" s="61"/>
      <c r="E16" s="63">
        <v>27.7</v>
      </c>
      <c r="F16" s="63">
        <v>26.900000000000002</v>
      </c>
      <c r="G16" s="63">
        <v>27</v>
      </c>
      <c r="H16" s="63">
        <v>27.5</v>
      </c>
      <c r="I16" s="63">
        <v>26.400000000000002</v>
      </c>
      <c r="J16" s="63">
        <v>27.900000000000002</v>
      </c>
      <c r="K16" s="63">
        <v>28.7</v>
      </c>
      <c r="L16" s="63">
        <v>32</v>
      </c>
      <c r="M16" s="63">
        <v>29.400000000000002</v>
      </c>
      <c r="N16" s="63">
        <v>29.900000000000002</v>
      </c>
      <c r="O16" s="63">
        <v>29.3</v>
      </c>
      <c r="P16" s="63">
        <v>27.900000000000002</v>
      </c>
      <c r="U16" s="218">
        <f>IF(COUNT(E16:P16)&lt;&gt;0,1,"")</f>
        <v>1</v>
      </c>
    </row>
    <row r="17" spans="2:21">
      <c r="B17" s="47" t="s">
        <v>366</v>
      </c>
      <c r="C17" s="61" t="s">
        <v>535</v>
      </c>
      <c r="D17" s="61"/>
      <c r="E17" s="63">
        <v>15.700000000000001</v>
      </c>
      <c r="F17" s="63">
        <v>15.5</v>
      </c>
      <c r="G17" s="63">
        <v>15.4</v>
      </c>
      <c r="H17" s="63">
        <v>15.3</v>
      </c>
      <c r="I17" s="63">
        <v>15</v>
      </c>
      <c r="J17" s="63">
        <v>14.9</v>
      </c>
      <c r="K17" s="63">
        <v>16</v>
      </c>
      <c r="L17" s="63">
        <v>16.100000000000001</v>
      </c>
      <c r="M17" s="63">
        <v>16.2</v>
      </c>
      <c r="N17" s="63">
        <v>16</v>
      </c>
      <c r="O17" s="63">
        <v>16.399999999999999</v>
      </c>
      <c r="P17" s="63">
        <v>16.399999999999999</v>
      </c>
      <c r="U17" s="218">
        <f t="shared" ref="U17:U41" si="4">IF(COUNT(E17:P17)&lt;&gt;0,1,"")</f>
        <v>1</v>
      </c>
    </row>
    <row r="18" spans="2:21">
      <c r="B18" s="47" t="s">
        <v>367</v>
      </c>
      <c r="C18" s="61" t="s">
        <v>536</v>
      </c>
      <c r="D18" s="61"/>
      <c r="E18" s="166" t="s">
        <v>301</v>
      </c>
      <c r="F18" s="166" t="s">
        <v>301</v>
      </c>
      <c r="G18" s="166" t="s">
        <v>301</v>
      </c>
      <c r="H18" s="166" t="s">
        <v>301</v>
      </c>
      <c r="I18" s="166" t="s">
        <v>301</v>
      </c>
      <c r="J18" s="166" t="s">
        <v>301</v>
      </c>
      <c r="K18" s="166" t="s">
        <v>301</v>
      </c>
      <c r="L18" s="166" t="s">
        <v>301</v>
      </c>
      <c r="M18" s="166" t="s">
        <v>301</v>
      </c>
      <c r="N18" s="166" t="s">
        <v>301</v>
      </c>
      <c r="O18" s="166" t="s">
        <v>301</v>
      </c>
      <c r="P18" s="166" t="s">
        <v>301</v>
      </c>
      <c r="U18" s="218" t="str">
        <f t="shared" si="4"/>
        <v/>
      </c>
    </row>
    <row r="19" spans="2:21">
      <c r="B19" s="64" t="s">
        <v>537</v>
      </c>
      <c r="C19" s="61" t="s">
        <v>538</v>
      </c>
      <c r="D19" s="61"/>
      <c r="E19" s="165">
        <v>43.4</v>
      </c>
      <c r="F19" s="165">
        <v>42.4</v>
      </c>
      <c r="G19" s="165">
        <v>42.4</v>
      </c>
      <c r="H19" s="165">
        <v>42.800000000000004</v>
      </c>
      <c r="I19" s="165">
        <v>41.4</v>
      </c>
      <c r="J19" s="165">
        <v>42.800000000000004</v>
      </c>
      <c r="K19" s="165">
        <v>44.7</v>
      </c>
      <c r="L19" s="165">
        <v>48.1</v>
      </c>
      <c r="M19" s="165">
        <v>45.6</v>
      </c>
      <c r="N19" s="165">
        <v>45.9</v>
      </c>
      <c r="O19" s="165">
        <v>45.7</v>
      </c>
      <c r="P19" s="165">
        <v>44.300000000000004</v>
      </c>
      <c r="U19" s="217">
        <v>1</v>
      </c>
    </row>
    <row r="20" spans="2:21">
      <c r="B20" s="66"/>
      <c r="C20" s="61" t="s">
        <v>272</v>
      </c>
      <c r="D20" s="61"/>
      <c r="E20" s="63"/>
      <c r="F20" s="63"/>
      <c r="G20" s="63"/>
      <c r="H20" s="63"/>
      <c r="I20" s="63"/>
      <c r="J20" s="63"/>
      <c r="K20" s="63"/>
      <c r="L20" s="63"/>
      <c r="M20" s="63"/>
      <c r="N20" s="63"/>
      <c r="O20" s="63"/>
      <c r="P20" s="63"/>
      <c r="U20" s="217">
        <v>1</v>
      </c>
    </row>
    <row r="21" spans="2:21">
      <c r="B21" s="47" t="s">
        <v>539</v>
      </c>
      <c r="C21" s="61" t="s">
        <v>540</v>
      </c>
      <c r="D21" s="61"/>
      <c r="E21" s="63" t="s">
        <v>301</v>
      </c>
      <c r="F21" s="63" t="s">
        <v>301</v>
      </c>
      <c r="G21" s="63" t="s">
        <v>301</v>
      </c>
      <c r="H21" s="63" t="s">
        <v>301</v>
      </c>
      <c r="I21" s="63" t="s">
        <v>301</v>
      </c>
      <c r="J21" s="63" t="s">
        <v>301</v>
      </c>
      <c r="K21" s="63" t="s">
        <v>301</v>
      </c>
      <c r="L21" s="63" t="s">
        <v>301</v>
      </c>
      <c r="M21" s="63" t="s">
        <v>301</v>
      </c>
      <c r="N21" s="63" t="s">
        <v>301</v>
      </c>
      <c r="O21" s="63" t="s">
        <v>301</v>
      </c>
      <c r="P21" s="63" t="s">
        <v>301</v>
      </c>
      <c r="U21" s="218" t="str">
        <f t="shared" si="4"/>
        <v/>
      </c>
    </row>
    <row r="22" spans="2:21">
      <c r="B22" s="47" t="s">
        <v>417</v>
      </c>
      <c r="C22" s="61" t="s">
        <v>541</v>
      </c>
      <c r="D22" s="61"/>
      <c r="E22" s="63" t="s">
        <v>301</v>
      </c>
      <c r="F22" s="63" t="s">
        <v>301</v>
      </c>
      <c r="G22" s="63" t="s">
        <v>301</v>
      </c>
      <c r="H22" s="63" t="s">
        <v>301</v>
      </c>
      <c r="I22" s="63" t="s">
        <v>301</v>
      </c>
      <c r="J22" s="63" t="s">
        <v>301</v>
      </c>
      <c r="K22" s="63" t="s">
        <v>301</v>
      </c>
      <c r="L22" s="63" t="s">
        <v>301</v>
      </c>
      <c r="M22" s="63" t="s">
        <v>301</v>
      </c>
      <c r="N22" s="63" t="s">
        <v>301</v>
      </c>
      <c r="O22" s="63" t="s">
        <v>301</v>
      </c>
      <c r="P22" s="63" t="s">
        <v>301</v>
      </c>
      <c r="U22" s="218" t="str">
        <f t="shared" si="4"/>
        <v/>
      </c>
    </row>
    <row r="23" spans="2:21">
      <c r="B23" s="47" t="s">
        <v>542</v>
      </c>
      <c r="C23" s="61" t="s">
        <v>543</v>
      </c>
      <c r="D23" s="61"/>
      <c r="E23" s="63" t="s">
        <v>301</v>
      </c>
      <c r="F23" s="63" t="s">
        <v>301</v>
      </c>
      <c r="G23" s="63" t="s">
        <v>301</v>
      </c>
      <c r="H23" s="63" t="s">
        <v>301</v>
      </c>
      <c r="I23" s="63" t="s">
        <v>301</v>
      </c>
      <c r="J23" s="63" t="s">
        <v>301</v>
      </c>
      <c r="K23" s="63" t="s">
        <v>301</v>
      </c>
      <c r="L23" s="63" t="s">
        <v>301</v>
      </c>
      <c r="M23" s="63" t="s">
        <v>301</v>
      </c>
      <c r="N23" s="63" t="s">
        <v>301</v>
      </c>
      <c r="O23" s="63" t="s">
        <v>301</v>
      </c>
      <c r="P23" s="63" t="s">
        <v>301</v>
      </c>
      <c r="U23" s="218" t="str">
        <f t="shared" si="4"/>
        <v/>
      </c>
    </row>
    <row r="24" spans="2:21">
      <c r="B24" s="47" t="s">
        <v>544</v>
      </c>
      <c r="C24" s="61" t="s">
        <v>545</v>
      </c>
      <c r="D24" s="61"/>
      <c r="E24" s="63" t="s">
        <v>301</v>
      </c>
      <c r="F24" s="63" t="s">
        <v>301</v>
      </c>
      <c r="G24" s="63" t="s">
        <v>301</v>
      </c>
      <c r="H24" s="63" t="s">
        <v>301</v>
      </c>
      <c r="I24" s="63" t="s">
        <v>301</v>
      </c>
      <c r="J24" s="63" t="s">
        <v>301</v>
      </c>
      <c r="K24" s="63" t="s">
        <v>301</v>
      </c>
      <c r="L24" s="63" t="s">
        <v>301</v>
      </c>
      <c r="M24" s="63" t="s">
        <v>301</v>
      </c>
      <c r="N24" s="63" t="s">
        <v>301</v>
      </c>
      <c r="O24" s="63" t="s">
        <v>301</v>
      </c>
      <c r="P24" s="63" t="s">
        <v>301</v>
      </c>
      <c r="U24" s="218" t="str">
        <f t="shared" si="4"/>
        <v/>
      </c>
    </row>
    <row r="25" spans="2:21">
      <c r="B25" s="47" t="s">
        <v>546</v>
      </c>
      <c r="C25" s="61" t="s">
        <v>547</v>
      </c>
      <c r="D25" s="61"/>
      <c r="E25" s="63">
        <v>32.799999999999997</v>
      </c>
      <c r="F25" s="63">
        <v>55.7</v>
      </c>
      <c r="G25" s="63">
        <v>9.1</v>
      </c>
      <c r="H25" s="63">
        <v>80.8</v>
      </c>
      <c r="I25" s="63">
        <v>9</v>
      </c>
      <c r="J25" s="63">
        <v>-5.8</v>
      </c>
      <c r="K25" s="63">
        <v>12.5</v>
      </c>
      <c r="L25" s="63">
        <v>7.3</v>
      </c>
      <c r="M25" s="63">
        <v>28.2</v>
      </c>
      <c r="N25" s="63">
        <v>164.3</v>
      </c>
      <c r="O25" s="63">
        <v>40.9</v>
      </c>
      <c r="P25" s="63">
        <v>95.100000000000009</v>
      </c>
      <c r="U25" s="218">
        <f t="shared" si="4"/>
        <v>1</v>
      </c>
    </row>
    <row r="26" spans="2:21">
      <c r="B26" s="47" t="s">
        <v>548</v>
      </c>
      <c r="C26" s="61" t="s">
        <v>549</v>
      </c>
      <c r="D26" s="61"/>
      <c r="E26" s="63" t="s">
        <v>301</v>
      </c>
      <c r="F26" s="63" t="s">
        <v>301</v>
      </c>
      <c r="G26" s="63" t="s">
        <v>301</v>
      </c>
      <c r="H26" s="63" t="s">
        <v>301</v>
      </c>
      <c r="I26" s="63" t="s">
        <v>301</v>
      </c>
      <c r="J26" s="63" t="s">
        <v>301</v>
      </c>
      <c r="K26" s="63" t="s">
        <v>301</v>
      </c>
      <c r="L26" s="63" t="s">
        <v>301</v>
      </c>
      <c r="M26" s="63" t="s">
        <v>301</v>
      </c>
      <c r="N26" s="63" t="s">
        <v>301</v>
      </c>
      <c r="O26" s="63" t="s">
        <v>301</v>
      </c>
      <c r="P26" s="63" t="s">
        <v>301</v>
      </c>
      <c r="U26" s="218" t="str">
        <f t="shared" si="4"/>
        <v/>
      </c>
    </row>
    <row r="27" spans="2:21">
      <c r="B27" s="47" t="s">
        <v>550</v>
      </c>
      <c r="C27" s="61" t="s">
        <v>551</v>
      </c>
      <c r="D27" s="61"/>
      <c r="E27" s="63" t="s">
        <v>301</v>
      </c>
      <c r="F27" s="63" t="s">
        <v>301</v>
      </c>
      <c r="G27" s="63" t="s">
        <v>301</v>
      </c>
      <c r="H27" s="63" t="s">
        <v>301</v>
      </c>
      <c r="I27" s="63" t="s">
        <v>301</v>
      </c>
      <c r="J27" s="63" t="s">
        <v>301</v>
      </c>
      <c r="K27" s="63" t="s">
        <v>301</v>
      </c>
      <c r="L27" s="63" t="s">
        <v>301</v>
      </c>
      <c r="M27" s="63" t="s">
        <v>301</v>
      </c>
      <c r="N27" s="63" t="s">
        <v>301</v>
      </c>
      <c r="O27" s="63" t="s">
        <v>301</v>
      </c>
      <c r="P27" s="63" t="s">
        <v>301</v>
      </c>
      <c r="U27" s="218" t="str">
        <f t="shared" si="4"/>
        <v/>
      </c>
    </row>
    <row r="28" spans="2:21">
      <c r="B28" s="47" t="s">
        <v>552</v>
      </c>
      <c r="C28" s="61" t="s">
        <v>553</v>
      </c>
      <c r="D28" s="61"/>
      <c r="E28" s="63" t="s">
        <v>301</v>
      </c>
      <c r="F28" s="63" t="s">
        <v>301</v>
      </c>
      <c r="G28" s="63" t="s">
        <v>301</v>
      </c>
      <c r="H28" s="63" t="s">
        <v>301</v>
      </c>
      <c r="I28" s="63" t="s">
        <v>301</v>
      </c>
      <c r="J28" s="63" t="s">
        <v>301</v>
      </c>
      <c r="K28" s="63" t="s">
        <v>301</v>
      </c>
      <c r="L28" s="63" t="s">
        <v>301</v>
      </c>
      <c r="M28" s="63" t="s">
        <v>301</v>
      </c>
      <c r="N28" s="63" t="s">
        <v>301</v>
      </c>
      <c r="O28" s="63" t="s">
        <v>301</v>
      </c>
      <c r="P28" s="63" t="s">
        <v>301</v>
      </c>
      <c r="U28" s="218" t="str">
        <f t="shared" si="4"/>
        <v/>
      </c>
    </row>
    <row r="29" spans="2:21">
      <c r="B29" s="47" t="s">
        <v>362</v>
      </c>
      <c r="C29" s="61" t="s">
        <v>554</v>
      </c>
      <c r="D29" s="61"/>
      <c r="E29" s="63">
        <v>3.8000000000000003</v>
      </c>
      <c r="F29" s="63">
        <v>4.3</v>
      </c>
      <c r="G29" s="63">
        <v>7.3</v>
      </c>
      <c r="H29" s="63">
        <v>5.8</v>
      </c>
      <c r="I29" s="63">
        <v>5.8</v>
      </c>
      <c r="J29" s="63">
        <v>5.3</v>
      </c>
      <c r="K29" s="63">
        <v>7.3</v>
      </c>
      <c r="L29" s="63">
        <v>6.3</v>
      </c>
      <c r="M29" s="63">
        <v>6.2</v>
      </c>
      <c r="N29" s="63">
        <v>6.1000000000000005</v>
      </c>
      <c r="O29" s="63">
        <v>7.5</v>
      </c>
      <c r="P29" s="63">
        <v>4.9000000000000004</v>
      </c>
      <c r="U29" s="218">
        <f t="shared" si="4"/>
        <v>1</v>
      </c>
    </row>
    <row r="30" spans="2:21">
      <c r="B30" s="47" t="s">
        <v>555</v>
      </c>
      <c r="C30" s="61" t="s">
        <v>556</v>
      </c>
      <c r="D30" s="61"/>
      <c r="E30" s="63" t="s">
        <v>301</v>
      </c>
      <c r="F30" s="63" t="s">
        <v>301</v>
      </c>
      <c r="G30" s="63" t="s">
        <v>301</v>
      </c>
      <c r="H30" s="63" t="s">
        <v>301</v>
      </c>
      <c r="I30" s="63" t="s">
        <v>301</v>
      </c>
      <c r="J30" s="63" t="s">
        <v>301</v>
      </c>
      <c r="K30" s="63" t="s">
        <v>301</v>
      </c>
      <c r="L30" s="63" t="s">
        <v>301</v>
      </c>
      <c r="M30" s="63" t="s">
        <v>301</v>
      </c>
      <c r="N30" s="63" t="s">
        <v>301</v>
      </c>
      <c r="O30" s="63" t="s">
        <v>301</v>
      </c>
      <c r="P30" s="63" t="s">
        <v>301</v>
      </c>
      <c r="U30" s="218" t="str">
        <f t="shared" si="4"/>
        <v/>
      </c>
    </row>
    <row r="31" spans="2:21">
      <c r="B31" s="47" t="s">
        <v>557</v>
      </c>
      <c r="C31" s="61" t="s">
        <v>558</v>
      </c>
      <c r="D31" s="61"/>
      <c r="E31" s="63" t="s">
        <v>301</v>
      </c>
      <c r="F31" s="63" t="s">
        <v>301</v>
      </c>
      <c r="G31" s="63" t="s">
        <v>301</v>
      </c>
      <c r="H31" s="63" t="s">
        <v>301</v>
      </c>
      <c r="I31" s="63" t="s">
        <v>301</v>
      </c>
      <c r="J31" s="63" t="s">
        <v>301</v>
      </c>
      <c r="K31" s="63" t="s">
        <v>301</v>
      </c>
      <c r="L31" s="63" t="s">
        <v>301</v>
      </c>
      <c r="M31" s="63" t="s">
        <v>301</v>
      </c>
      <c r="N31" s="63" t="s">
        <v>301</v>
      </c>
      <c r="O31" s="63" t="s">
        <v>301</v>
      </c>
      <c r="P31" s="63" t="s">
        <v>301</v>
      </c>
      <c r="U31" s="218" t="str">
        <f t="shared" si="4"/>
        <v/>
      </c>
    </row>
    <row r="32" spans="2:21">
      <c r="B32" s="47" t="s">
        <v>559</v>
      </c>
      <c r="C32" s="61" t="s">
        <v>560</v>
      </c>
      <c r="D32" s="61"/>
      <c r="E32" s="63">
        <v>-21.5</v>
      </c>
      <c r="F32" s="63">
        <v>-24.6</v>
      </c>
      <c r="G32" s="63">
        <v>-11</v>
      </c>
      <c r="H32" s="63">
        <v>-20.6</v>
      </c>
      <c r="I32" s="63">
        <v>-20.2</v>
      </c>
      <c r="J32" s="63">
        <v>-25.8</v>
      </c>
      <c r="K32" s="63">
        <v>-12.6</v>
      </c>
      <c r="L32" s="63">
        <v>-14.3</v>
      </c>
      <c r="M32" s="63">
        <v>-34.1</v>
      </c>
      <c r="N32" s="63">
        <v>-25.1</v>
      </c>
      <c r="O32" s="63">
        <v>-21.5</v>
      </c>
      <c r="P32" s="63">
        <v>2.6</v>
      </c>
      <c r="U32" s="218">
        <f t="shared" si="4"/>
        <v>1</v>
      </c>
    </row>
    <row r="33" spans="2:21">
      <c r="B33" s="47" t="s">
        <v>561</v>
      </c>
      <c r="C33" s="61" t="s">
        <v>562</v>
      </c>
      <c r="D33" s="61"/>
      <c r="E33" s="63">
        <v>19.600000000000001</v>
      </c>
      <c r="F33" s="63">
        <v>34.200000000000003</v>
      </c>
      <c r="G33" s="63">
        <v>18.600000000000001</v>
      </c>
      <c r="H33" s="63">
        <v>18.600000000000001</v>
      </c>
      <c r="I33" s="63">
        <v>22.900000000000002</v>
      </c>
      <c r="J33" s="63">
        <v>1.9000000000000001</v>
      </c>
      <c r="K33" s="63">
        <v>11.200000000000001</v>
      </c>
      <c r="L33" s="63">
        <v>32.5</v>
      </c>
      <c r="M33" s="63">
        <v>17.100000000000001</v>
      </c>
      <c r="N33" s="63">
        <v>-1234.7</v>
      </c>
      <c r="O33" s="63">
        <v>-39.6</v>
      </c>
      <c r="P33" s="63">
        <v>-356.90000000000003</v>
      </c>
      <c r="U33" s="218">
        <f t="shared" si="4"/>
        <v>1</v>
      </c>
    </row>
    <row r="34" spans="2:21">
      <c r="B34" s="47" t="s">
        <v>563</v>
      </c>
      <c r="C34" s="61" t="s">
        <v>564</v>
      </c>
      <c r="D34" s="61"/>
      <c r="E34" s="63" t="s">
        <v>301</v>
      </c>
      <c r="F34" s="63" t="s">
        <v>301</v>
      </c>
      <c r="G34" s="63" t="s">
        <v>301</v>
      </c>
      <c r="H34" s="63" t="s">
        <v>301</v>
      </c>
      <c r="I34" s="63" t="s">
        <v>301</v>
      </c>
      <c r="J34" s="63" t="s">
        <v>301</v>
      </c>
      <c r="K34" s="63" t="s">
        <v>301</v>
      </c>
      <c r="L34" s="63" t="s">
        <v>301</v>
      </c>
      <c r="M34" s="63" t="s">
        <v>301</v>
      </c>
      <c r="N34" s="63" t="s">
        <v>301</v>
      </c>
      <c r="O34" s="63" t="s">
        <v>301</v>
      </c>
      <c r="P34" s="63" t="s">
        <v>301</v>
      </c>
      <c r="U34" s="218" t="str">
        <f t="shared" si="4"/>
        <v/>
      </c>
    </row>
    <row r="35" spans="2:21">
      <c r="B35" s="47" t="s">
        <v>565</v>
      </c>
      <c r="C35" s="61" t="s">
        <v>566</v>
      </c>
      <c r="D35" s="61"/>
      <c r="E35" s="63">
        <v>112.10000000000001</v>
      </c>
      <c r="F35" s="63">
        <v>-70.3</v>
      </c>
      <c r="G35" s="63">
        <v>-317.5</v>
      </c>
      <c r="H35" s="63">
        <v>-115.10000000000001</v>
      </c>
      <c r="I35" s="63">
        <v>229.1</v>
      </c>
      <c r="J35" s="63">
        <v>-240.4</v>
      </c>
      <c r="K35" s="63">
        <v>-288.8</v>
      </c>
      <c r="L35" s="63">
        <v>421</v>
      </c>
      <c r="M35" s="63">
        <v>180.20000000000002</v>
      </c>
      <c r="N35" s="63">
        <v>-120</v>
      </c>
      <c r="O35" s="63">
        <v>-143.6</v>
      </c>
      <c r="P35" s="63">
        <v>48.800000000000004</v>
      </c>
      <c r="U35" s="218">
        <f t="shared" si="4"/>
        <v>1</v>
      </c>
    </row>
    <row r="36" spans="2:21">
      <c r="B36" s="47" t="s">
        <v>567</v>
      </c>
      <c r="C36" s="61" t="s">
        <v>568</v>
      </c>
      <c r="D36" s="61"/>
      <c r="E36" s="63">
        <v>-57</v>
      </c>
      <c r="F36" s="63">
        <v>46.7</v>
      </c>
      <c r="G36" s="63">
        <v>-192.1</v>
      </c>
      <c r="H36" s="63">
        <v>-43.7</v>
      </c>
      <c r="I36" s="63">
        <v>-46.5</v>
      </c>
      <c r="J36" s="63">
        <v>100</v>
      </c>
      <c r="K36" s="63">
        <v>-257.89999999999998</v>
      </c>
      <c r="L36" s="63">
        <v>-165.4</v>
      </c>
      <c r="M36" s="63">
        <v>60.1</v>
      </c>
      <c r="N36" s="63">
        <v>290.40000000000003</v>
      </c>
      <c r="O36" s="63">
        <v>127.3</v>
      </c>
      <c r="P36" s="63">
        <v>116.8</v>
      </c>
      <c r="U36" s="218">
        <f t="shared" si="4"/>
        <v>1</v>
      </c>
    </row>
    <row r="37" spans="2:21">
      <c r="B37" s="47" t="s">
        <v>569</v>
      </c>
      <c r="C37" s="61" t="s">
        <v>570</v>
      </c>
      <c r="D37" s="61"/>
      <c r="E37" s="63">
        <v>-60.300000000000004</v>
      </c>
      <c r="F37" s="63">
        <v>-2.8000000000000003</v>
      </c>
      <c r="G37" s="63">
        <v>-54.5</v>
      </c>
      <c r="H37" s="63">
        <v>93.3</v>
      </c>
      <c r="I37" s="63">
        <v>-57.9</v>
      </c>
      <c r="J37" s="63">
        <v>184.4</v>
      </c>
      <c r="K37" s="63">
        <v>-53.9</v>
      </c>
      <c r="L37" s="63">
        <v>-143.4</v>
      </c>
      <c r="M37" s="63">
        <v>-364.7</v>
      </c>
      <c r="N37" s="63">
        <v>-64</v>
      </c>
      <c r="O37" s="63">
        <v>1.6</v>
      </c>
      <c r="P37" s="63">
        <v>107.2</v>
      </c>
      <c r="U37" s="218">
        <f t="shared" si="4"/>
        <v>1</v>
      </c>
    </row>
    <row r="38" spans="2:21">
      <c r="B38" s="47" t="s">
        <v>571</v>
      </c>
      <c r="C38" s="61" t="s">
        <v>572</v>
      </c>
      <c r="D38" s="61"/>
      <c r="E38" s="63">
        <v>0.4</v>
      </c>
      <c r="F38" s="63">
        <v>627.5</v>
      </c>
      <c r="G38" s="63">
        <v>-590.70000000000005</v>
      </c>
      <c r="H38" s="63">
        <v>-38.1</v>
      </c>
      <c r="I38" s="63">
        <v>1.7</v>
      </c>
      <c r="J38" s="63">
        <v>679.2</v>
      </c>
      <c r="K38" s="63">
        <v>-665.9</v>
      </c>
      <c r="L38" s="63">
        <v>-11.200000000000001</v>
      </c>
      <c r="M38" s="63">
        <v>-1.1000000000000001</v>
      </c>
      <c r="N38" s="63">
        <v>479.1</v>
      </c>
      <c r="O38" s="63">
        <v>-393.40000000000003</v>
      </c>
      <c r="P38" s="63">
        <v>-88</v>
      </c>
      <c r="U38" s="218">
        <f t="shared" si="4"/>
        <v>1</v>
      </c>
    </row>
    <row r="39" spans="2:21">
      <c r="B39" s="47" t="s">
        <v>573</v>
      </c>
      <c r="C39" s="61" t="s">
        <v>574</v>
      </c>
      <c r="D39" s="61"/>
      <c r="E39" s="63">
        <v>-12.3</v>
      </c>
      <c r="F39" s="63">
        <v>-68.3</v>
      </c>
      <c r="G39" s="63">
        <v>24</v>
      </c>
      <c r="H39" s="63">
        <v>-4.3</v>
      </c>
      <c r="I39" s="63">
        <v>-23.2</v>
      </c>
      <c r="J39" s="63">
        <v>22.6</v>
      </c>
      <c r="K39" s="63">
        <v>23</v>
      </c>
      <c r="L39" s="63">
        <v>-95.600000000000009</v>
      </c>
      <c r="M39" s="63">
        <v>-24.3</v>
      </c>
      <c r="N39" s="63">
        <v>34.1</v>
      </c>
      <c r="O39" s="63">
        <v>27.400000000000002</v>
      </c>
      <c r="P39" s="63">
        <v>-23.900000000000002</v>
      </c>
      <c r="U39" s="218">
        <f t="shared" si="4"/>
        <v>1</v>
      </c>
    </row>
    <row r="40" spans="2:21">
      <c r="B40" s="47" t="s">
        <v>575</v>
      </c>
      <c r="C40" s="61" t="s">
        <v>576</v>
      </c>
      <c r="D40" s="61"/>
      <c r="E40" s="63" t="s">
        <v>301</v>
      </c>
      <c r="F40" s="63" t="s">
        <v>301</v>
      </c>
      <c r="G40" s="63" t="s">
        <v>301</v>
      </c>
      <c r="H40" s="63" t="s">
        <v>301</v>
      </c>
      <c r="I40" s="63" t="s">
        <v>301</v>
      </c>
      <c r="J40" s="63" t="s">
        <v>301</v>
      </c>
      <c r="K40" s="63" t="s">
        <v>301</v>
      </c>
      <c r="L40" s="63" t="s">
        <v>301</v>
      </c>
      <c r="M40" s="63" t="s">
        <v>301</v>
      </c>
      <c r="N40" s="63" t="s">
        <v>301</v>
      </c>
      <c r="O40" s="63" t="s">
        <v>301</v>
      </c>
      <c r="P40" s="63" t="s">
        <v>301</v>
      </c>
      <c r="U40" s="218" t="str">
        <f t="shared" si="4"/>
        <v/>
      </c>
    </row>
    <row r="41" spans="2:21">
      <c r="B41" s="47" t="s">
        <v>577</v>
      </c>
      <c r="C41" s="61" t="s">
        <v>578</v>
      </c>
      <c r="D41" s="61"/>
      <c r="E41" s="63">
        <v>91.7</v>
      </c>
      <c r="F41" s="63">
        <v>-259.7</v>
      </c>
      <c r="G41" s="63">
        <v>248.20000000000002</v>
      </c>
      <c r="H41" s="63">
        <v>21.6</v>
      </c>
      <c r="I41" s="63">
        <v>114.3</v>
      </c>
      <c r="J41" s="63">
        <v>-419.6</v>
      </c>
      <c r="K41" s="63">
        <v>120.5</v>
      </c>
      <c r="L41" s="63">
        <v>1.4000000000000001</v>
      </c>
      <c r="M41" s="63">
        <v>157.80000000000001</v>
      </c>
      <c r="N41" s="63">
        <v>-381.8</v>
      </c>
      <c r="O41" s="63">
        <v>186</v>
      </c>
      <c r="P41" s="63">
        <v>48.800000000000004</v>
      </c>
      <c r="U41" s="218">
        <f t="shared" si="4"/>
        <v>1</v>
      </c>
    </row>
    <row r="42" spans="2:21" ht="10.8" thickBot="1">
      <c r="B42" s="64" t="s">
        <v>579</v>
      </c>
      <c r="C42" s="61" t="s">
        <v>580</v>
      </c>
      <c r="D42" s="61"/>
      <c r="E42" s="164">
        <v>316.10000000000002</v>
      </c>
      <c r="F42" s="164">
        <v>575.80000000000007</v>
      </c>
      <c r="G42" s="164">
        <v>-608.80000000000007</v>
      </c>
      <c r="H42" s="164">
        <v>175.3</v>
      </c>
      <c r="I42" s="164">
        <v>397.40000000000003</v>
      </c>
      <c r="J42" s="164">
        <v>618.5</v>
      </c>
      <c r="K42" s="164">
        <v>-863.9</v>
      </c>
      <c r="L42" s="164">
        <v>117.2</v>
      </c>
      <c r="M42" s="164">
        <v>67.5</v>
      </c>
      <c r="N42" s="164">
        <v>292.8</v>
      </c>
      <c r="O42" s="164">
        <v>-164.4</v>
      </c>
      <c r="P42" s="164">
        <v>294.8</v>
      </c>
      <c r="U42" s="217">
        <v>1</v>
      </c>
    </row>
    <row r="43" spans="2:21" ht="10.8" thickTop="1">
      <c r="B43" s="66"/>
      <c r="C43" s="61" t="s">
        <v>272</v>
      </c>
      <c r="D43" s="61"/>
      <c r="E43" s="63"/>
      <c r="F43" s="63"/>
      <c r="G43" s="63"/>
      <c r="H43" s="63"/>
      <c r="I43" s="63"/>
      <c r="J43" s="63"/>
      <c r="K43" s="63"/>
      <c r="L43" s="63"/>
      <c r="M43" s="63"/>
      <c r="N43" s="63"/>
      <c r="O43" s="63"/>
      <c r="P43" s="63"/>
      <c r="U43" s="217">
        <v>1</v>
      </c>
    </row>
    <row r="44" spans="2:21">
      <c r="B44" s="47" t="s">
        <v>581</v>
      </c>
      <c r="C44" s="61" t="s">
        <v>582</v>
      </c>
      <c r="D44" s="61"/>
      <c r="E44" s="63">
        <v>-29.5</v>
      </c>
      <c r="F44" s="63">
        <v>-23.7</v>
      </c>
      <c r="G44" s="63">
        <v>-50.300000000000004</v>
      </c>
      <c r="H44" s="63">
        <v>-23.400000000000002</v>
      </c>
      <c r="I44" s="63">
        <v>-34.700000000000003</v>
      </c>
      <c r="J44" s="63">
        <v>-33.9</v>
      </c>
      <c r="K44" s="63">
        <v>-46.9</v>
      </c>
      <c r="L44" s="63">
        <v>-28.900000000000002</v>
      </c>
      <c r="M44" s="63">
        <v>-33</v>
      </c>
      <c r="N44" s="63">
        <v>-25.1</v>
      </c>
      <c r="O44" s="63">
        <v>-20.7</v>
      </c>
      <c r="P44" s="63">
        <v>-9.9</v>
      </c>
      <c r="U44" s="218">
        <f t="shared" ref="U44:U52" si="5">IF(COUNT(E44:P44)&lt;&gt;0,1,"")</f>
        <v>1</v>
      </c>
    </row>
    <row r="45" spans="2:21">
      <c r="B45" s="47" t="s">
        <v>583</v>
      </c>
      <c r="C45" s="61" t="s">
        <v>584</v>
      </c>
      <c r="D45" s="61"/>
      <c r="E45" s="63" t="s">
        <v>301</v>
      </c>
      <c r="F45" s="63" t="s">
        <v>301</v>
      </c>
      <c r="G45" s="63" t="s">
        <v>301</v>
      </c>
      <c r="H45" s="63" t="s">
        <v>301</v>
      </c>
      <c r="I45" s="63" t="s">
        <v>301</v>
      </c>
      <c r="J45" s="63" t="s">
        <v>301</v>
      </c>
      <c r="K45" s="63" t="s">
        <v>301</v>
      </c>
      <c r="L45" s="63" t="s">
        <v>301</v>
      </c>
      <c r="M45" s="63" t="s">
        <v>301</v>
      </c>
      <c r="N45" s="63" t="s">
        <v>301</v>
      </c>
      <c r="O45" s="63" t="s">
        <v>301</v>
      </c>
      <c r="P45" s="63" t="s">
        <v>301</v>
      </c>
      <c r="U45" s="218" t="str">
        <f t="shared" si="5"/>
        <v/>
      </c>
    </row>
    <row r="46" spans="2:21">
      <c r="B46" s="47" t="s">
        <v>585</v>
      </c>
      <c r="C46" s="61" t="s">
        <v>586</v>
      </c>
      <c r="D46" s="61"/>
      <c r="E46" s="63">
        <v>-2</v>
      </c>
      <c r="F46" s="63">
        <v>-0.6</v>
      </c>
      <c r="G46" s="63">
        <v>-1</v>
      </c>
      <c r="H46" s="63">
        <v>0.5</v>
      </c>
      <c r="I46" s="63">
        <v>-191</v>
      </c>
      <c r="J46" s="63">
        <v>-6.7</v>
      </c>
      <c r="K46" s="63">
        <v>-3.1</v>
      </c>
      <c r="L46" s="63">
        <v>-0.1</v>
      </c>
      <c r="M46" s="63">
        <v>-0.9</v>
      </c>
      <c r="N46" s="63">
        <v>-12.4</v>
      </c>
      <c r="O46" s="63">
        <v>-0.3</v>
      </c>
      <c r="P46" s="63">
        <v>-1.5</v>
      </c>
      <c r="U46" s="218">
        <f t="shared" si="5"/>
        <v>1</v>
      </c>
    </row>
    <row r="47" spans="2:21">
      <c r="B47" s="47" t="s">
        <v>587</v>
      </c>
      <c r="C47" s="61" t="s">
        <v>588</v>
      </c>
      <c r="D47" s="61"/>
      <c r="E47" s="63" t="s">
        <v>301</v>
      </c>
      <c r="F47" s="63" t="s">
        <v>301</v>
      </c>
      <c r="G47" s="63" t="s">
        <v>301</v>
      </c>
      <c r="H47" s="63" t="s">
        <v>301</v>
      </c>
      <c r="I47" s="63" t="s">
        <v>301</v>
      </c>
      <c r="J47" s="63" t="s">
        <v>301</v>
      </c>
      <c r="K47" s="63" t="s">
        <v>301</v>
      </c>
      <c r="L47" s="63" t="s">
        <v>301</v>
      </c>
      <c r="M47" s="63" t="s">
        <v>301</v>
      </c>
      <c r="N47" s="63" t="s">
        <v>301</v>
      </c>
      <c r="O47" s="63" t="s">
        <v>301</v>
      </c>
      <c r="P47" s="63" t="s">
        <v>301</v>
      </c>
      <c r="U47" s="218" t="str">
        <f t="shared" si="5"/>
        <v/>
      </c>
    </row>
    <row r="48" spans="2:21">
      <c r="B48" s="47" t="s">
        <v>589</v>
      </c>
      <c r="C48" s="61" t="s">
        <v>590</v>
      </c>
      <c r="D48" s="61"/>
      <c r="E48" s="63" t="s">
        <v>301</v>
      </c>
      <c r="F48" s="63" t="s">
        <v>301</v>
      </c>
      <c r="G48" s="63" t="s">
        <v>301</v>
      </c>
      <c r="H48" s="63" t="s">
        <v>301</v>
      </c>
      <c r="I48" s="63" t="s">
        <v>301</v>
      </c>
      <c r="J48" s="63">
        <v>50.5</v>
      </c>
      <c r="K48" s="63" t="s">
        <v>301</v>
      </c>
      <c r="L48" s="63">
        <v>5.8</v>
      </c>
      <c r="M48" s="63">
        <v>0</v>
      </c>
      <c r="N48" s="63">
        <v>0</v>
      </c>
      <c r="O48" s="63" t="s">
        <v>301</v>
      </c>
      <c r="P48" s="63" t="s">
        <v>301</v>
      </c>
      <c r="U48" s="218">
        <f t="shared" si="5"/>
        <v>1</v>
      </c>
    </row>
    <row r="49" spans="2:21">
      <c r="B49" s="47" t="s">
        <v>591</v>
      </c>
      <c r="C49" s="61" t="s">
        <v>592</v>
      </c>
      <c r="D49" s="61"/>
      <c r="E49" s="63">
        <v>0</v>
      </c>
      <c r="F49" s="63">
        <v>18.8</v>
      </c>
      <c r="G49" s="63" t="s">
        <v>301</v>
      </c>
      <c r="H49" s="63" t="s">
        <v>301</v>
      </c>
      <c r="I49" s="63" t="s">
        <v>301</v>
      </c>
      <c r="J49" s="63">
        <v>6.8</v>
      </c>
      <c r="K49" s="63" t="s">
        <v>301</v>
      </c>
      <c r="L49" s="63" t="s">
        <v>301</v>
      </c>
      <c r="M49" s="63">
        <v>-11.9</v>
      </c>
      <c r="N49" s="63">
        <v>14.8</v>
      </c>
      <c r="O49" s="63" t="s">
        <v>301</v>
      </c>
      <c r="P49" s="63" t="s">
        <v>301</v>
      </c>
      <c r="U49" s="218">
        <f t="shared" si="5"/>
        <v>1</v>
      </c>
    </row>
    <row r="50" spans="2:21">
      <c r="B50" s="47" t="s">
        <v>593</v>
      </c>
      <c r="C50" s="61" t="s">
        <v>594</v>
      </c>
      <c r="D50" s="61"/>
      <c r="E50" s="63" t="s">
        <v>301</v>
      </c>
      <c r="F50" s="63" t="s">
        <v>301</v>
      </c>
      <c r="G50" s="63" t="s">
        <v>301</v>
      </c>
      <c r="H50" s="63" t="s">
        <v>301</v>
      </c>
      <c r="I50" s="63" t="s">
        <v>301</v>
      </c>
      <c r="J50" s="63" t="s">
        <v>301</v>
      </c>
      <c r="K50" s="63" t="s">
        <v>301</v>
      </c>
      <c r="L50" s="63" t="s">
        <v>301</v>
      </c>
      <c r="M50" s="63" t="s">
        <v>301</v>
      </c>
      <c r="N50" s="63" t="s">
        <v>301</v>
      </c>
      <c r="O50" s="63" t="s">
        <v>301</v>
      </c>
      <c r="P50" s="63" t="s">
        <v>301</v>
      </c>
      <c r="U50" s="218" t="str">
        <f t="shared" si="5"/>
        <v/>
      </c>
    </row>
    <row r="51" spans="2:21">
      <c r="B51" s="47" t="s">
        <v>595</v>
      </c>
      <c r="C51" s="61" t="s">
        <v>596</v>
      </c>
      <c r="D51" s="61"/>
      <c r="E51" s="63" t="s">
        <v>301</v>
      </c>
      <c r="F51" s="63" t="s">
        <v>301</v>
      </c>
      <c r="G51" s="63" t="s">
        <v>301</v>
      </c>
      <c r="H51" s="63" t="s">
        <v>301</v>
      </c>
      <c r="I51" s="63" t="s">
        <v>301</v>
      </c>
      <c r="J51" s="63" t="s">
        <v>301</v>
      </c>
      <c r="K51" s="63" t="s">
        <v>301</v>
      </c>
      <c r="L51" s="63" t="s">
        <v>301</v>
      </c>
      <c r="M51" s="63" t="s">
        <v>301</v>
      </c>
      <c r="N51" s="63" t="s">
        <v>301</v>
      </c>
      <c r="O51" s="63" t="s">
        <v>301</v>
      </c>
      <c r="P51" s="63" t="s">
        <v>301</v>
      </c>
      <c r="U51" s="218" t="str">
        <f t="shared" si="5"/>
        <v/>
      </c>
    </row>
    <row r="52" spans="2:21">
      <c r="B52" s="47" t="s">
        <v>597</v>
      </c>
      <c r="C52" s="61" t="s">
        <v>598</v>
      </c>
      <c r="D52" s="61"/>
      <c r="E52" s="63">
        <v>13.6</v>
      </c>
      <c r="F52" s="63">
        <v>-7.4</v>
      </c>
      <c r="G52" s="63">
        <v>-4.6000000000000005</v>
      </c>
      <c r="H52" s="63">
        <v>13.5</v>
      </c>
      <c r="I52" s="63">
        <v>-3.2</v>
      </c>
      <c r="J52" s="63">
        <v>11.1</v>
      </c>
      <c r="K52" s="63">
        <v>-4.4000000000000004</v>
      </c>
      <c r="L52" s="63">
        <v>-0.9</v>
      </c>
      <c r="M52" s="63">
        <v>-2.5</v>
      </c>
      <c r="N52" s="63">
        <v>-4.9000000000000004</v>
      </c>
      <c r="O52" s="63">
        <v>-2.7</v>
      </c>
      <c r="P52" s="63">
        <v>-4.5</v>
      </c>
      <c r="U52" s="218">
        <f t="shared" si="5"/>
        <v>1</v>
      </c>
    </row>
    <row r="53" spans="2:21" ht="10.8" thickBot="1">
      <c r="B53" s="64" t="s">
        <v>599</v>
      </c>
      <c r="C53" s="61" t="s">
        <v>600</v>
      </c>
      <c r="D53" s="61"/>
      <c r="E53" s="164">
        <v>-17.900000000000002</v>
      </c>
      <c r="F53" s="164">
        <v>-12.9</v>
      </c>
      <c r="G53" s="164">
        <v>-55.9</v>
      </c>
      <c r="H53" s="164">
        <v>-9.4</v>
      </c>
      <c r="I53" s="164">
        <v>-228.9</v>
      </c>
      <c r="J53" s="164">
        <v>27.8</v>
      </c>
      <c r="K53" s="164">
        <v>-54.4</v>
      </c>
      <c r="L53" s="164">
        <v>-24.1</v>
      </c>
      <c r="M53" s="164">
        <v>-48.300000000000004</v>
      </c>
      <c r="N53" s="164">
        <v>-27.6</v>
      </c>
      <c r="O53" s="164">
        <v>-23.7</v>
      </c>
      <c r="P53" s="164">
        <v>-15.9</v>
      </c>
      <c r="U53" s="217">
        <v>1</v>
      </c>
    </row>
    <row r="54" spans="2:21" ht="10.8" thickTop="1">
      <c r="B54" s="66"/>
      <c r="C54" s="61" t="s">
        <v>272</v>
      </c>
      <c r="D54" s="61"/>
      <c r="E54" s="63"/>
      <c r="F54" s="63"/>
      <c r="G54" s="63"/>
      <c r="H54" s="63"/>
      <c r="I54" s="63"/>
      <c r="J54" s="63"/>
      <c r="K54" s="63"/>
      <c r="L54" s="63"/>
      <c r="M54" s="63"/>
      <c r="N54" s="63"/>
      <c r="O54" s="63"/>
      <c r="P54" s="63"/>
      <c r="U54" s="217">
        <v>1</v>
      </c>
    </row>
    <row r="55" spans="2:21">
      <c r="B55" s="47" t="s">
        <v>601</v>
      </c>
      <c r="C55" s="61" t="s">
        <v>602</v>
      </c>
      <c r="D55" s="61"/>
      <c r="E55" s="63" t="s">
        <v>301</v>
      </c>
      <c r="F55" s="63" t="s">
        <v>301</v>
      </c>
      <c r="G55" s="63">
        <v>583.30000000000007</v>
      </c>
      <c r="H55" s="63" t="s">
        <v>301</v>
      </c>
      <c r="I55" s="63" t="s">
        <v>301</v>
      </c>
      <c r="J55" s="63" t="s">
        <v>301</v>
      </c>
      <c r="K55" s="63">
        <v>941.4</v>
      </c>
      <c r="L55" s="63" t="s">
        <v>301</v>
      </c>
      <c r="M55" s="63" t="s">
        <v>301</v>
      </c>
      <c r="N55" s="63" t="s">
        <v>301</v>
      </c>
      <c r="O55" s="63">
        <v>379.90000000000003</v>
      </c>
      <c r="P55" s="63" t="s">
        <v>301</v>
      </c>
      <c r="U55" s="218">
        <f t="shared" ref="U55:U56" si="6">IF(COUNT(E55:P55)&lt;&gt;0,1,"")</f>
        <v>1</v>
      </c>
    </row>
    <row r="56" spans="2:21">
      <c r="B56" s="47" t="s">
        <v>603</v>
      </c>
      <c r="C56" s="61" t="s">
        <v>604</v>
      </c>
      <c r="D56" s="61"/>
      <c r="E56" s="63" t="s">
        <v>301</v>
      </c>
      <c r="F56" s="63" t="s">
        <v>301</v>
      </c>
      <c r="G56" s="63">
        <v>0.5</v>
      </c>
      <c r="H56" s="63" t="s">
        <v>301</v>
      </c>
      <c r="I56" s="63" t="s">
        <v>301</v>
      </c>
      <c r="J56" s="63" t="s">
        <v>301</v>
      </c>
      <c r="K56" s="63" t="s">
        <v>301</v>
      </c>
      <c r="L56" s="63" t="s">
        <v>301</v>
      </c>
      <c r="M56" s="63" t="s">
        <v>301</v>
      </c>
      <c r="N56" s="63" t="s">
        <v>301</v>
      </c>
      <c r="O56" s="63" t="s">
        <v>301</v>
      </c>
      <c r="P56" s="63" t="s">
        <v>301</v>
      </c>
      <c r="U56" s="218">
        <f t="shared" si="6"/>
        <v>1</v>
      </c>
    </row>
    <row r="57" spans="2:21">
      <c r="B57" s="64" t="s">
        <v>605</v>
      </c>
      <c r="C57" s="61" t="s">
        <v>606</v>
      </c>
      <c r="D57" s="61"/>
      <c r="E57" s="165">
        <v>-421.2</v>
      </c>
      <c r="F57" s="165">
        <v>979.30000000000007</v>
      </c>
      <c r="G57" s="165">
        <v>583.80000000000007</v>
      </c>
      <c r="H57" s="165">
        <v>137.70000000000002</v>
      </c>
      <c r="I57" s="165">
        <v>-320.10000000000002</v>
      </c>
      <c r="J57" s="165">
        <v>-286.2</v>
      </c>
      <c r="K57" s="165">
        <v>941.4</v>
      </c>
      <c r="L57" s="165">
        <v>1276.3</v>
      </c>
      <c r="M57" s="165">
        <v>-560.70000000000005</v>
      </c>
      <c r="N57" s="165">
        <v>242.3</v>
      </c>
      <c r="O57" s="165">
        <v>379.90000000000003</v>
      </c>
      <c r="P57" s="165">
        <v>-148.4</v>
      </c>
      <c r="U57" s="217">
        <v>1</v>
      </c>
    </row>
    <row r="58" spans="2:21">
      <c r="B58" s="47" t="s">
        <v>607</v>
      </c>
      <c r="C58" s="61" t="s">
        <v>608</v>
      </c>
      <c r="D58" s="61"/>
      <c r="E58" s="63" t="s">
        <v>301</v>
      </c>
      <c r="F58" s="63" t="s">
        <v>301</v>
      </c>
      <c r="G58" s="63" t="s">
        <v>301</v>
      </c>
      <c r="H58" s="63" t="s">
        <v>301</v>
      </c>
      <c r="I58" s="63" t="s">
        <v>301</v>
      </c>
      <c r="J58" s="63" t="s">
        <v>301</v>
      </c>
      <c r="K58" s="63" t="s">
        <v>301</v>
      </c>
      <c r="L58" s="63" t="s">
        <v>301</v>
      </c>
      <c r="M58" s="63" t="s">
        <v>301</v>
      </c>
      <c r="N58" s="63" t="s">
        <v>301</v>
      </c>
      <c r="O58" s="63" t="s">
        <v>301</v>
      </c>
      <c r="P58" s="63" t="s">
        <v>301</v>
      </c>
      <c r="U58" s="218" t="str">
        <f t="shared" ref="U58:U59" si="7">IF(COUNT(E58:P58)&lt;&gt;0,1,"")</f>
        <v/>
      </c>
    </row>
    <row r="59" spans="2:21">
      <c r="B59" s="47" t="s">
        <v>609</v>
      </c>
      <c r="C59" s="61" t="s">
        <v>610</v>
      </c>
      <c r="D59" s="61"/>
      <c r="E59" s="166" t="s">
        <v>301</v>
      </c>
      <c r="F59" s="166" t="s">
        <v>301</v>
      </c>
      <c r="G59" s="166" t="s">
        <v>301</v>
      </c>
      <c r="H59" s="166" t="s">
        <v>301</v>
      </c>
      <c r="I59" s="166" t="s">
        <v>301</v>
      </c>
      <c r="J59" s="166" t="s">
        <v>301</v>
      </c>
      <c r="K59" s="166" t="s">
        <v>301</v>
      </c>
      <c r="L59" s="166" t="s">
        <v>301</v>
      </c>
      <c r="M59" s="166" t="s">
        <v>301</v>
      </c>
      <c r="N59" s="166" t="s">
        <v>301</v>
      </c>
      <c r="O59" s="166" t="s">
        <v>301</v>
      </c>
      <c r="P59" s="166" t="s">
        <v>301</v>
      </c>
      <c r="U59" s="218" t="str">
        <f t="shared" si="7"/>
        <v/>
      </c>
    </row>
    <row r="60" spans="2:21">
      <c r="B60" s="64" t="s">
        <v>611</v>
      </c>
      <c r="C60" s="61" t="s">
        <v>612</v>
      </c>
      <c r="D60" s="61"/>
      <c r="E60" s="165">
        <v>0</v>
      </c>
      <c r="F60" s="165">
        <v>-1200.5</v>
      </c>
      <c r="G60" s="165" t="s">
        <v>301</v>
      </c>
      <c r="H60" s="165">
        <v>-0.3</v>
      </c>
      <c r="I60" s="165">
        <v>-0.8</v>
      </c>
      <c r="J60" s="165">
        <v>-0.3</v>
      </c>
      <c r="K60" s="165" t="s">
        <v>301</v>
      </c>
      <c r="L60" s="165">
        <v>-800</v>
      </c>
      <c r="M60" s="165">
        <v>0</v>
      </c>
      <c r="N60" s="165">
        <v>-400</v>
      </c>
      <c r="O60" s="165" t="s">
        <v>301</v>
      </c>
      <c r="P60" s="165" t="s">
        <v>301</v>
      </c>
      <c r="U60" s="217">
        <v>1</v>
      </c>
    </row>
    <row r="61" spans="2:21">
      <c r="B61" s="66"/>
      <c r="C61" s="61" t="s">
        <v>272</v>
      </c>
      <c r="D61" s="61"/>
      <c r="E61" s="63"/>
      <c r="F61" s="63"/>
      <c r="G61" s="63"/>
      <c r="H61" s="63"/>
      <c r="I61" s="63"/>
      <c r="J61" s="63"/>
      <c r="K61" s="63"/>
      <c r="L61" s="63"/>
      <c r="M61" s="63"/>
      <c r="N61" s="63"/>
      <c r="O61" s="63"/>
      <c r="P61" s="63"/>
      <c r="U61" s="217">
        <v>1</v>
      </c>
    </row>
    <row r="62" spans="2:21">
      <c r="B62" s="47" t="s">
        <v>613</v>
      </c>
      <c r="C62" s="61" t="s">
        <v>614</v>
      </c>
      <c r="D62" s="61"/>
      <c r="E62" s="63">
        <v>0.3</v>
      </c>
      <c r="F62" s="63">
        <v>2</v>
      </c>
      <c r="G62" s="63">
        <v>7.1000000000000005</v>
      </c>
      <c r="H62" s="63">
        <v>1.2</v>
      </c>
      <c r="I62" s="63">
        <v>0.1</v>
      </c>
      <c r="J62" s="63">
        <v>1</v>
      </c>
      <c r="K62" s="63">
        <v>2.3000000000000003</v>
      </c>
      <c r="L62" s="63">
        <v>1.6</v>
      </c>
      <c r="M62" s="63">
        <v>1.3</v>
      </c>
      <c r="N62" s="63">
        <v>0.1</v>
      </c>
      <c r="O62" s="63" t="s">
        <v>301</v>
      </c>
      <c r="P62" s="63">
        <v>0.2</v>
      </c>
      <c r="U62" s="218">
        <f t="shared" ref="U62:U65" si="8">IF(COUNT(E62:P62)&lt;&gt;0,1,"")</f>
        <v>1</v>
      </c>
    </row>
    <row r="63" spans="2:21">
      <c r="B63" s="47" t="s">
        <v>615</v>
      </c>
      <c r="C63" s="61" t="s">
        <v>616</v>
      </c>
      <c r="D63" s="61"/>
      <c r="E63" s="63">
        <v>-200.1</v>
      </c>
      <c r="F63" s="63">
        <v>-100</v>
      </c>
      <c r="G63" s="63">
        <v>-8.6</v>
      </c>
      <c r="H63" s="63">
        <v>0</v>
      </c>
      <c r="I63" s="63">
        <v>-0.3</v>
      </c>
      <c r="J63" s="63">
        <v>-100</v>
      </c>
      <c r="K63" s="63">
        <v>-30.7</v>
      </c>
      <c r="L63" s="63">
        <v>-50.5</v>
      </c>
      <c r="M63" s="63">
        <v>0</v>
      </c>
      <c r="N63" s="63">
        <v>0</v>
      </c>
      <c r="O63" s="63">
        <v>-1.7</v>
      </c>
      <c r="P63" s="63">
        <v>-0.1</v>
      </c>
      <c r="U63" s="218">
        <f t="shared" si="8"/>
        <v>1</v>
      </c>
    </row>
    <row r="64" spans="2:21">
      <c r="B64" s="47" t="s">
        <v>617</v>
      </c>
      <c r="C64" s="61" t="s">
        <v>618</v>
      </c>
      <c r="D64" s="61"/>
      <c r="E64" s="63" t="s">
        <v>301</v>
      </c>
      <c r="F64" s="63" t="s">
        <v>301</v>
      </c>
      <c r="G64" s="63" t="s">
        <v>301</v>
      </c>
      <c r="H64" s="63" t="s">
        <v>301</v>
      </c>
      <c r="I64" s="63" t="s">
        <v>301</v>
      </c>
      <c r="J64" s="63" t="s">
        <v>301</v>
      </c>
      <c r="K64" s="63" t="s">
        <v>301</v>
      </c>
      <c r="L64" s="63" t="s">
        <v>301</v>
      </c>
      <c r="M64" s="63" t="s">
        <v>301</v>
      </c>
      <c r="N64" s="63" t="s">
        <v>301</v>
      </c>
      <c r="O64" s="63" t="s">
        <v>301</v>
      </c>
      <c r="P64" s="63" t="s">
        <v>301</v>
      </c>
      <c r="U64" s="218" t="str">
        <f t="shared" si="8"/>
        <v/>
      </c>
    </row>
    <row r="65" spans="2:21">
      <c r="B65" s="47" t="s">
        <v>619</v>
      </c>
      <c r="C65" s="61" t="s">
        <v>620</v>
      </c>
      <c r="D65" s="61"/>
      <c r="E65" s="63" t="s">
        <v>301</v>
      </c>
      <c r="F65" s="63" t="s">
        <v>301</v>
      </c>
      <c r="G65" s="63" t="s">
        <v>301</v>
      </c>
      <c r="H65" s="63" t="s">
        <v>301</v>
      </c>
      <c r="I65" s="63" t="s">
        <v>301</v>
      </c>
      <c r="J65" s="63" t="s">
        <v>301</v>
      </c>
      <c r="K65" s="63" t="s">
        <v>301</v>
      </c>
      <c r="L65" s="63" t="s">
        <v>301</v>
      </c>
      <c r="M65" s="63" t="s">
        <v>301</v>
      </c>
      <c r="N65" s="63" t="s">
        <v>301</v>
      </c>
      <c r="O65" s="63" t="s">
        <v>301</v>
      </c>
      <c r="P65" s="63" t="s">
        <v>301</v>
      </c>
      <c r="U65" s="218" t="str">
        <f t="shared" si="8"/>
        <v/>
      </c>
    </row>
    <row r="66" spans="2:21">
      <c r="B66" s="47"/>
      <c r="C66" s="61" t="s">
        <v>272</v>
      </c>
      <c r="D66" s="61"/>
      <c r="E66" s="63"/>
      <c r="F66" s="63"/>
      <c r="G66" s="63"/>
      <c r="H66" s="63"/>
      <c r="I66" s="63"/>
      <c r="J66" s="63"/>
      <c r="K66" s="63"/>
      <c r="L66" s="63"/>
      <c r="M66" s="63"/>
      <c r="N66" s="63"/>
      <c r="O66" s="63"/>
      <c r="P66" s="63"/>
      <c r="U66" s="217">
        <v>1</v>
      </c>
    </row>
    <row r="67" spans="2:21">
      <c r="B67" s="47" t="s">
        <v>621</v>
      </c>
      <c r="C67" s="61" t="s">
        <v>622</v>
      </c>
      <c r="D67" s="61"/>
      <c r="E67" s="63">
        <v>-61.9</v>
      </c>
      <c r="F67" s="63">
        <v>-61</v>
      </c>
      <c r="G67" s="63">
        <v>-66.8</v>
      </c>
      <c r="H67" s="63">
        <v>-66.900000000000006</v>
      </c>
      <c r="I67" s="63">
        <v>-66.900000000000006</v>
      </c>
      <c r="J67" s="63">
        <v>-66.900000000000006</v>
      </c>
      <c r="K67" s="63">
        <v>-72.7</v>
      </c>
      <c r="L67" s="63">
        <v>-72.7</v>
      </c>
      <c r="M67" s="63">
        <v>-72.5</v>
      </c>
      <c r="N67" s="63">
        <v>-72.600000000000009</v>
      </c>
      <c r="O67" s="63">
        <v>-72.5</v>
      </c>
      <c r="P67" s="63">
        <v>-72.7</v>
      </c>
      <c r="U67" s="218">
        <f t="shared" ref="U67:U69" si="9">IF(COUNT(E67:P67)&lt;&gt;0,1,"")</f>
        <v>1</v>
      </c>
    </row>
    <row r="68" spans="2:21">
      <c r="B68" s="47" t="s">
        <v>623</v>
      </c>
      <c r="C68" s="61" t="s">
        <v>624</v>
      </c>
      <c r="D68" s="61"/>
      <c r="E68" s="63" t="s">
        <v>301</v>
      </c>
      <c r="F68" s="63" t="s">
        <v>301</v>
      </c>
      <c r="G68" s="63" t="s">
        <v>301</v>
      </c>
      <c r="H68" s="63" t="s">
        <v>301</v>
      </c>
      <c r="I68" s="63" t="s">
        <v>301</v>
      </c>
      <c r="J68" s="63" t="s">
        <v>301</v>
      </c>
      <c r="K68" s="63" t="s">
        <v>301</v>
      </c>
      <c r="L68" s="63" t="s">
        <v>301</v>
      </c>
      <c r="M68" s="63" t="s">
        <v>301</v>
      </c>
      <c r="N68" s="63" t="s">
        <v>301</v>
      </c>
      <c r="O68" s="63" t="s">
        <v>301</v>
      </c>
      <c r="P68" s="63" t="s">
        <v>301</v>
      </c>
      <c r="U68" s="218" t="str">
        <f t="shared" si="9"/>
        <v/>
      </c>
    </row>
    <row r="69" spans="2:21">
      <c r="B69" s="47" t="s">
        <v>625</v>
      </c>
      <c r="C69" s="61" t="s">
        <v>626</v>
      </c>
      <c r="D69" s="61"/>
      <c r="E69" s="166" t="s">
        <v>301</v>
      </c>
      <c r="F69" s="166" t="s">
        <v>301</v>
      </c>
      <c r="G69" s="166" t="s">
        <v>301</v>
      </c>
      <c r="H69" s="166" t="s">
        <v>301</v>
      </c>
      <c r="I69" s="166" t="s">
        <v>301</v>
      </c>
      <c r="J69" s="166" t="s">
        <v>301</v>
      </c>
      <c r="K69" s="166" t="s">
        <v>301</v>
      </c>
      <c r="L69" s="166" t="s">
        <v>301</v>
      </c>
      <c r="M69" s="166" t="s">
        <v>301</v>
      </c>
      <c r="N69" s="166" t="s">
        <v>301</v>
      </c>
      <c r="O69" s="166" t="s">
        <v>301</v>
      </c>
      <c r="P69" s="166" t="s">
        <v>301</v>
      </c>
      <c r="U69" s="218" t="str">
        <f t="shared" si="9"/>
        <v/>
      </c>
    </row>
    <row r="70" spans="2:21">
      <c r="B70" s="64" t="s">
        <v>627</v>
      </c>
      <c r="C70" s="61" t="s">
        <v>628</v>
      </c>
      <c r="D70" s="61"/>
      <c r="E70" s="165">
        <v>-61.9</v>
      </c>
      <c r="F70" s="165">
        <v>-61</v>
      </c>
      <c r="G70" s="165">
        <v>-66.8</v>
      </c>
      <c r="H70" s="165">
        <v>-66.900000000000006</v>
      </c>
      <c r="I70" s="165">
        <v>-66.900000000000006</v>
      </c>
      <c r="J70" s="165">
        <v>-66.900000000000006</v>
      </c>
      <c r="K70" s="165">
        <v>-72.7</v>
      </c>
      <c r="L70" s="165">
        <v>-72.7</v>
      </c>
      <c r="M70" s="165">
        <v>-72.5</v>
      </c>
      <c r="N70" s="165">
        <v>-72.600000000000009</v>
      </c>
      <c r="O70" s="165">
        <v>-72.5</v>
      </c>
      <c r="P70" s="165">
        <v>-72.7</v>
      </c>
      <c r="U70" s="217">
        <v>1</v>
      </c>
    </row>
    <row r="71" spans="2:21">
      <c r="B71" s="66"/>
      <c r="C71" s="61" t="s">
        <v>272</v>
      </c>
      <c r="D71" s="61"/>
      <c r="E71" s="63"/>
      <c r="F71" s="63"/>
      <c r="G71" s="63"/>
      <c r="H71" s="63"/>
      <c r="I71" s="63"/>
      <c r="J71" s="63"/>
      <c r="K71" s="63"/>
      <c r="L71" s="63"/>
      <c r="M71" s="63"/>
      <c r="N71" s="63"/>
      <c r="O71" s="63"/>
      <c r="P71" s="63"/>
      <c r="U71" s="217">
        <v>1</v>
      </c>
    </row>
    <row r="72" spans="2:21">
      <c r="B72" s="47" t="s">
        <v>629</v>
      </c>
      <c r="C72" s="61" t="s">
        <v>630</v>
      </c>
      <c r="D72" s="61"/>
      <c r="E72" s="63" t="s">
        <v>301</v>
      </c>
      <c r="F72" s="63" t="s">
        <v>301</v>
      </c>
      <c r="G72" s="63" t="s">
        <v>301</v>
      </c>
      <c r="H72" s="63" t="s">
        <v>301</v>
      </c>
      <c r="I72" s="63" t="s">
        <v>301</v>
      </c>
      <c r="J72" s="63" t="s">
        <v>301</v>
      </c>
      <c r="K72" s="63" t="s">
        <v>301</v>
      </c>
      <c r="L72" s="63" t="s">
        <v>301</v>
      </c>
      <c r="M72" s="63" t="s">
        <v>301</v>
      </c>
      <c r="N72" s="63" t="s">
        <v>301</v>
      </c>
      <c r="O72" s="63" t="s">
        <v>301</v>
      </c>
      <c r="P72" s="63" t="s">
        <v>301</v>
      </c>
      <c r="U72" s="218" t="str">
        <f t="shared" ref="U72:U73" si="10">IF(COUNT(E72:P72)&lt;&gt;0,1,"")</f>
        <v/>
      </c>
    </row>
    <row r="73" spans="2:21">
      <c r="B73" s="47" t="s">
        <v>631</v>
      </c>
      <c r="C73" s="61" t="s">
        <v>632</v>
      </c>
      <c r="D73" s="61"/>
      <c r="E73" s="63">
        <v>0</v>
      </c>
      <c r="F73" s="63">
        <v>-0.70000000000000007</v>
      </c>
      <c r="G73" s="63" t="s">
        <v>301</v>
      </c>
      <c r="H73" s="63">
        <v>-1.5</v>
      </c>
      <c r="I73" s="63">
        <v>0</v>
      </c>
      <c r="J73" s="63">
        <v>17.3</v>
      </c>
      <c r="K73" s="63" t="s">
        <v>301</v>
      </c>
      <c r="L73" s="63">
        <v>-0.4</v>
      </c>
      <c r="M73" s="63">
        <v>-0.6</v>
      </c>
      <c r="N73" s="63">
        <v>-0.4</v>
      </c>
      <c r="O73" s="63" t="s">
        <v>301</v>
      </c>
      <c r="P73" s="63" t="s">
        <v>301</v>
      </c>
      <c r="U73" s="218">
        <f t="shared" si="10"/>
        <v>1</v>
      </c>
    </row>
    <row r="74" spans="2:21" ht="10.8" thickBot="1">
      <c r="B74" s="64" t="s">
        <v>633</v>
      </c>
      <c r="C74" s="61" t="s">
        <v>634</v>
      </c>
      <c r="D74" s="61"/>
      <c r="E74" s="164">
        <v>-682.9</v>
      </c>
      <c r="F74" s="164">
        <v>-380.90000000000003</v>
      </c>
      <c r="G74" s="164">
        <v>515.5</v>
      </c>
      <c r="H74" s="164">
        <v>70.2</v>
      </c>
      <c r="I74" s="164">
        <v>-388</v>
      </c>
      <c r="J74" s="164">
        <v>-435.1</v>
      </c>
      <c r="K74" s="164">
        <v>840.30000000000007</v>
      </c>
      <c r="L74" s="164">
        <v>354.3</v>
      </c>
      <c r="M74" s="164">
        <v>-632.5</v>
      </c>
      <c r="N74" s="164">
        <v>-230.6</v>
      </c>
      <c r="O74" s="164">
        <v>305.7</v>
      </c>
      <c r="P74" s="164">
        <v>-221</v>
      </c>
      <c r="U74" s="217">
        <v>1</v>
      </c>
    </row>
    <row r="75" spans="2:21" ht="10.8" thickTop="1">
      <c r="B75" s="66"/>
      <c r="C75" s="61" t="s">
        <v>272</v>
      </c>
      <c r="D75" s="61"/>
      <c r="E75" s="63"/>
      <c r="F75" s="63"/>
      <c r="G75" s="63"/>
      <c r="H75" s="63"/>
      <c r="I75" s="63"/>
      <c r="J75" s="63"/>
      <c r="K75" s="63"/>
      <c r="L75" s="63"/>
      <c r="M75" s="63"/>
      <c r="N75" s="63"/>
      <c r="O75" s="63"/>
      <c r="P75" s="63"/>
      <c r="U75" s="217">
        <v>1</v>
      </c>
    </row>
    <row r="76" spans="2:21">
      <c r="B76" s="47" t="s">
        <v>635</v>
      </c>
      <c r="C76" s="61" t="s">
        <v>636</v>
      </c>
      <c r="D76" s="61"/>
      <c r="E76" s="63">
        <v>-2.8000000000000003</v>
      </c>
      <c r="F76" s="63">
        <v>-6.2</v>
      </c>
      <c r="G76" s="63">
        <v>-2.5</v>
      </c>
      <c r="H76" s="63">
        <v>-9.7000000000000011</v>
      </c>
      <c r="I76" s="63">
        <v>-8.1999999999999993</v>
      </c>
      <c r="J76" s="63">
        <v>-3</v>
      </c>
      <c r="K76" s="63">
        <v>0.4</v>
      </c>
      <c r="L76" s="63">
        <v>-0.3</v>
      </c>
      <c r="M76" s="63">
        <v>-4.4000000000000004</v>
      </c>
      <c r="N76" s="63">
        <v>-56</v>
      </c>
      <c r="O76" s="63">
        <v>-2.2000000000000002</v>
      </c>
      <c r="P76" s="63">
        <v>-4.2</v>
      </c>
      <c r="U76" s="218">
        <f t="shared" ref="U76:U77" si="11">IF(COUNT(E76:P76)&lt;&gt;0,1,"")</f>
        <v>1</v>
      </c>
    </row>
    <row r="77" spans="2:21">
      <c r="B77" s="47" t="s">
        <v>637</v>
      </c>
      <c r="C77" s="61" t="s">
        <v>638</v>
      </c>
      <c r="D77" s="61"/>
      <c r="E77" s="63" t="s">
        <v>301</v>
      </c>
      <c r="F77" s="63" t="s">
        <v>301</v>
      </c>
      <c r="G77" s="63" t="s">
        <v>301</v>
      </c>
      <c r="H77" s="63" t="s">
        <v>301</v>
      </c>
      <c r="I77" s="63" t="s">
        <v>301</v>
      </c>
      <c r="J77" s="63" t="s">
        <v>301</v>
      </c>
      <c r="K77" s="63" t="s">
        <v>301</v>
      </c>
      <c r="L77" s="63" t="s">
        <v>301</v>
      </c>
      <c r="M77" s="63" t="s">
        <v>301</v>
      </c>
      <c r="N77" s="63" t="s">
        <v>301</v>
      </c>
      <c r="O77" s="63" t="s">
        <v>301</v>
      </c>
      <c r="P77" s="63" t="s">
        <v>301</v>
      </c>
      <c r="U77" s="218" t="str">
        <f t="shared" si="11"/>
        <v/>
      </c>
    </row>
    <row r="78" spans="2:21" ht="10.8" thickBot="1">
      <c r="B78" s="64" t="s">
        <v>639</v>
      </c>
      <c r="C78" s="61" t="s">
        <v>640</v>
      </c>
      <c r="D78" s="61"/>
      <c r="E78" s="164">
        <v>-387.5</v>
      </c>
      <c r="F78" s="164">
        <v>175.8</v>
      </c>
      <c r="G78" s="164">
        <v>-151.70000000000002</v>
      </c>
      <c r="H78" s="164">
        <v>226.4</v>
      </c>
      <c r="I78" s="164">
        <v>-227.70000000000002</v>
      </c>
      <c r="J78" s="164">
        <v>208.20000000000002</v>
      </c>
      <c r="K78" s="164">
        <v>-77.600000000000009</v>
      </c>
      <c r="L78" s="164">
        <v>447.1</v>
      </c>
      <c r="M78" s="164">
        <v>-617.70000000000005</v>
      </c>
      <c r="N78" s="164">
        <v>-21.400000000000002</v>
      </c>
      <c r="O78" s="164">
        <v>115.4</v>
      </c>
      <c r="P78" s="164">
        <v>53.7</v>
      </c>
      <c r="U78" s="217">
        <v>1</v>
      </c>
    </row>
    <row r="79" spans="2:21" ht="10.8" thickTop="1">
      <c r="B79" s="66"/>
      <c r="C79" s="61" t="s">
        <v>272</v>
      </c>
      <c r="D79" s="61"/>
      <c r="E79" s="83"/>
      <c r="F79" s="83"/>
      <c r="G79" s="83"/>
      <c r="H79" s="83"/>
      <c r="I79" s="83"/>
      <c r="J79" s="83"/>
      <c r="K79" s="83"/>
      <c r="L79" s="83"/>
      <c r="M79" s="83"/>
      <c r="N79" s="83"/>
      <c r="O79" s="83"/>
      <c r="P79" s="83"/>
      <c r="U79" s="217">
        <v>1</v>
      </c>
    </row>
    <row r="80" spans="2:21">
      <c r="B80" s="62" t="s">
        <v>445</v>
      </c>
      <c r="C80" s="61" t="s">
        <v>272</v>
      </c>
      <c r="D80" s="61"/>
      <c r="E80" s="168"/>
      <c r="F80" s="168"/>
      <c r="G80" s="168"/>
      <c r="H80" s="168"/>
      <c r="I80" s="168"/>
      <c r="J80" s="168"/>
      <c r="K80" s="168"/>
      <c r="L80" s="168"/>
      <c r="M80" s="168"/>
      <c r="N80" s="168"/>
      <c r="O80" s="168"/>
      <c r="P80" s="168"/>
      <c r="U80" s="217">
        <v>1</v>
      </c>
    </row>
    <row r="81" spans="2:21">
      <c r="B81" s="47" t="s">
        <v>641</v>
      </c>
      <c r="C81" s="61" t="s">
        <v>642</v>
      </c>
      <c r="D81" s="61"/>
      <c r="E81" s="169">
        <v>24.900000000000002</v>
      </c>
      <c r="F81" s="169">
        <v>40.800000000000004</v>
      </c>
      <c r="G81" s="169">
        <v>14.9</v>
      </c>
      <c r="H81" s="169">
        <v>46.300000000000004</v>
      </c>
      <c r="I81" s="169">
        <v>30</v>
      </c>
      <c r="J81" s="169">
        <v>52.800000000000004</v>
      </c>
      <c r="K81" s="169">
        <v>39.6</v>
      </c>
      <c r="L81" s="169">
        <v>61.5</v>
      </c>
      <c r="M81" s="169">
        <v>33.9</v>
      </c>
      <c r="N81" s="169">
        <v>94.600000000000009</v>
      </c>
      <c r="O81" s="169">
        <v>27.2</v>
      </c>
      <c r="P81" s="169">
        <v>98</v>
      </c>
      <c r="U81" s="218">
        <f t="shared" ref="U81:U90" si="12">IF(COUNT(E81:P81)&lt;&gt;0,1,"")</f>
        <v>1</v>
      </c>
    </row>
    <row r="82" spans="2:21">
      <c r="B82" s="47" t="s">
        <v>643</v>
      </c>
      <c r="C82" s="61" t="s">
        <v>644</v>
      </c>
      <c r="D82" s="61"/>
      <c r="E82" s="63">
        <v>22</v>
      </c>
      <c r="F82" s="63">
        <v>52</v>
      </c>
      <c r="G82" s="63">
        <v>11.4</v>
      </c>
      <c r="H82" s="63">
        <v>41.800000000000004</v>
      </c>
      <c r="I82" s="63">
        <v>38.5</v>
      </c>
      <c r="J82" s="63">
        <v>30.3</v>
      </c>
      <c r="K82" s="63">
        <v>23.2</v>
      </c>
      <c r="L82" s="63">
        <v>82</v>
      </c>
      <c r="M82" s="63">
        <v>38</v>
      </c>
      <c r="N82" s="63">
        <v>36.9</v>
      </c>
      <c r="O82" s="63">
        <v>20.900000000000002</v>
      </c>
      <c r="P82" s="63">
        <v>87</v>
      </c>
      <c r="U82" s="218">
        <f t="shared" si="12"/>
        <v>1</v>
      </c>
    </row>
    <row r="83" spans="2:21">
      <c r="B83" s="47" t="s">
        <v>464</v>
      </c>
      <c r="C83" s="61" t="s">
        <v>465</v>
      </c>
      <c r="D83" s="61"/>
      <c r="E83" s="63" t="s">
        <v>301</v>
      </c>
      <c r="F83" s="63">
        <v>10.6</v>
      </c>
      <c r="G83" s="63" t="s">
        <v>301</v>
      </c>
      <c r="H83" s="63" t="s">
        <v>301</v>
      </c>
      <c r="I83" s="63" t="s">
        <v>301</v>
      </c>
      <c r="J83" s="63">
        <v>-52.7</v>
      </c>
      <c r="K83" s="63" t="s">
        <v>301</v>
      </c>
      <c r="L83" s="63" t="s">
        <v>301</v>
      </c>
      <c r="M83" s="63" t="s">
        <v>301</v>
      </c>
      <c r="N83" s="63">
        <v>-1292.8</v>
      </c>
      <c r="O83" s="63" t="s">
        <v>301</v>
      </c>
      <c r="P83" s="63" t="s">
        <v>301</v>
      </c>
      <c r="U83" s="218">
        <f t="shared" si="12"/>
        <v>1</v>
      </c>
    </row>
    <row r="84" spans="2:21">
      <c r="B84" s="47" t="s">
        <v>645</v>
      </c>
      <c r="C84" s="61" t="s">
        <v>646</v>
      </c>
      <c r="D84" s="61"/>
      <c r="E84" s="63">
        <v>-93.600000000000009</v>
      </c>
      <c r="F84" s="63">
        <v>-263.8</v>
      </c>
      <c r="G84" s="63">
        <v>680.6</v>
      </c>
      <c r="H84" s="63">
        <v>-57.6</v>
      </c>
      <c r="I84" s="63">
        <v>-165.5</v>
      </c>
      <c r="J84" s="63">
        <v>-317.40000000000003</v>
      </c>
      <c r="K84" s="63">
        <v>1136.4000000000001</v>
      </c>
      <c r="L84" s="63">
        <v>-98.4</v>
      </c>
      <c r="M84" s="63">
        <v>12.9</v>
      </c>
      <c r="N84" s="63">
        <v>-267.8</v>
      </c>
      <c r="O84" s="63">
        <v>163.30000000000001</v>
      </c>
      <c r="P84" s="63">
        <v>-167.9</v>
      </c>
      <c r="U84" s="218">
        <f t="shared" si="12"/>
        <v>1</v>
      </c>
    </row>
    <row r="85" spans="2:21">
      <c r="B85" s="47" t="s">
        <v>647</v>
      </c>
      <c r="C85" s="61" t="s">
        <v>648</v>
      </c>
      <c r="D85" s="61"/>
      <c r="E85" s="63">
        <v>242.125</v>
      </c>
      <c r="F85" s="63">
        <v>489.78750000000002</v>
      </c>
      <c r="G85" s="63">
        <v>-504.63749999999999</v>
      </c>
      <c r="H85" s="63">
        <v>252.875</v>
      </c>
      <c r="I85" s="63">
        <v>283.32499999999999</v>
      </c>
      <c r="J85" s="63">
        <v>553.33749999999998</v>
      </c>
      <c r="K85" s="63">
        <v>-965.30000000000007</v>
      </c>
      <c r="L85" s="63">
        <v>164.47499999999999</v>
      </c>
      <c r="M85" s="63">
        <v>28.05</v>
      </c>
      <c r="N85" s="63">
        <v>332.625</v>
      </c>
      <c r="O85" s="63">
        <v>-97.55</v>
      </c>
      <c r="P85" s="63">
        <v>260.92500000000001</v>
      </c>
      <c r="U85" s="218">
        <f t="shared" si="12"/>
        <v>1</v>
      </c>
    </row>
    <row r="86" spans="2:21">
      <c r="B86" s="47" t="s">
        <v>649</v>
      </c>
      <c r="C86" s="61" t="s">
        <v>650</v>
      </c>
      <c r="D86" s="61"/>
      <c r="E86" s="63">
        <v>262.8125</v>
      </c>
      <c r="F86" s="63">
        <v>510.41250000000002</v>
      </c>
      <c r="G86" s="63">
        <v>-485.95</v>
      </c>
      <c r="H86" s="63">
        <v>274.9375</v>
      </c>
      <c r="I86" s="63">
        <v>309.45</v>
      </c>
      <c r="J86" s="63">
        <v>581.33749999999998</v>
      </c>
      <c r="K86" s="63">
        <v>-933.17500000000007</v>
      </c>
      <c r="L86" s="63">
        <v>204.78749999999999</v>
      </c>
      <c r="M86" s="63">
        <v>68.424999999999997</v>
      </c>
      <c r="N86" s="63">
        <v>368.0625</v>
      </c>
      <c r="O86" s="63">
        <v>-58.987500000000004</v>
      </c>
      <c r="P86" s="63">
        <v>300.67500000000001</v>
      </c>
      <c r="U86" s="218">
        <f t="shared" si="12"/>
        <v>1</v>
      </c>
    </row>
    <row r="87" spans="2:21">
      <c r="B87" s="47" t="s">
        <v>651</v>
      </c>
      <c r="C87" s="61" t="s">
        <v>652</v>
      </c>
      <c r="D87" s="61"/>
      <c r="E87" s="63">
        <v>-421.2</v>
      </c>
      <c r="F87" s="63">
        <v>-221.20000000000002</v>
      </c>
      <c r="G87" s="63">
        <v>583.80000000000007</v>
      </c>
      <c r="H87" s="63">
        <v>137.4</v>
      </c>
      <c r="I87" s="63">
        <v>-320.90000000000003</v>
      </c>
      <c r="J87" s="63">
        <v>-286.5</v>
      </c>
      <c r="K87" s="63">
        <v>941.4</v>
      </c>
      <c r="L87" s="63">
        <v>476.3</v>
      </c>
      <c r="M87" s="63">
        <v>-560.70000000000005</v>
      </c>
      <c r="N87" s="63">
        <v>-157.70000000000002</v>
      </c>
      <c r="O87" s="63">
        <v>379.90000000000003</v>
      </c>
      <c r="P87" s="63">
        <v>-148.4</v>
      </c>
      <c r="U87" s="218">
        <f t="shared" si="12"/>
        <v>1</v>
      </c>
    </row>
    <row r="88" spans="2:21">
      <c r="B88" s="47" t="s">
        <v>653</v>
      </c>
      <c r="C88" s="61" t="s">
        <v>654</v>
      </c>
      <c r="D88" s="61"/>
      <c r="E88" s="63" t="s">
        <v>301</v>
      </c>
      <c r="F88" s="63" t="s">
        <v>301</v>
      </c>
      <c r="G88" s="63" t="s">
        <v>301</v>
      </c>
      <c r="H88" s="63" t="s">
        <v>301</v>
      </c>
      <c r="I88" s="63" t="s">
        <v>301</v>
      </c>
      <c r="J88" s="63" t="s">
        <v>301</v>
      </c>
      <c r="K88" s="63" t="s">
        <v>301</v>
      </c>
      <c r="L88" s="63" t="s">
        <v>301</v>
      </c>
      <c r="M88" s="63" t="s">
        <v>301</v>
      </c>
      <c r="N88" s="63" t="s">
        <v>301</v>
      </c>
      <c r="O88" s="63" t="s">
        <v>301</v>
      </c>
      <c r="P88" s="63" t="s">
        <v>301</v>
      </c>
      <c r="U88" s="218" t="str">
        <f t="shared" si="12"/>
        <v/>
      </c>
    </row>
    <row r="89" spans="2:21">
      <c r="B89" s="47" t="s">
        <v>655</v>
      </c>
      <c r="C89" s="61" t="s">
        <v>656</v>
      </c>
      <c r="D89" s="61"/>
      <c r="E89" s="63">
        <v>16.8</v>
      </c>
      <c r="F89" s="63">
        <v>2.9</v>
      </c>
      <c r="G89" s="63" t="s">
        <v>301</v>
      </c>
      <c r="H89" s="63" t="s">
        <v>301</v>
      </c>
      <c r="I89" s="63" t="s">
        <v>301</v>
      </c>
      <c r="J89" s="63" t="s">
        <v>301</v>
      </c>
      <c r="K89" s="63" t="s">
        <v>301</v>
      </c>
      <c r="L89" s="63" t="s">
        <v>301</v>
      </c>
      <c r="M89" s="63" t="s">
        <v>301</v>
      </c>
      <c r="N89" s="63" t="s">
        <v>301</v>
      </c>
      <c r="O89" s="63" t="s">
        <v>301</v>
      </c>
      <c r="P89" s="63" t="s">
        <v>301</v>
      </c>
      <c r="U89" s="218">
        <f t="shared" si="12"/>
        <v>1</v>
      </c>
    </row>
    <row r="90" spans="2:21">
      <c r="B90" s="47" t="s">
        <v>657</v>
      </c>
      <c r="C90" s="61" t="s">
        <v>658</v>
      </c>
      <c r="D90" s="61"/>
      <c r="E90" s="63" t="s">
        <v>301</v>
      </c>
      <c r="F90" s="63" t="s">
        <v>301</v>
      </c>
      <c r="G90" s="63" t="s">
        <v>301</v>
      </c>
      <c r="H90" s="63" t="s">
        <v>301</v>
      </c>
      <c r="I90" s="63" t="s">
        <v>301</v>
      </c>
      <c r="J90" s="63" t="s">
        <v>301</v>
      </c>
      <c r="K90" s="63" t="s">
        <v>301</v>
      </c>
      <c r="L90" s="63" t="s">
        <v>301</v>
      </c>
      <c r="M90" s="63" t="s">
        <v>301</v>
      </c>
      <c r="N90" s="63" t="s">
        <v>301</v>
      </c>
      <c r="O90" s="63" t="s">
        <v>301</v>
      </c>
      <c r="P90" s="63" t="s">
        <v>301</v>
      </c>
      <c r="U90" s="218" t="str">
        <f t="shared" si="12"/>
        <v/>
      </c>
    </row>
    <row r="91" spans="2:21">
      <c r="B91" s="47" t="s">
        <v>476</v>
      </c>
      <c r="C91" s="61" t="s">
        <v>659</v>
      </c>
      <c r="D91" s="61"/>
      <c r="E91" s="81" t="s">
        <v>869</v>
      </c>
      <c r="F91" s="81" t="s">
        <v>869</v>
      </c>
      <c r="G91" s="81" t="s">
        <v>870</v>
      </c>
      <c r="H91" s="81" t="s">
        <v>870</v>
      </c>
      <c r="I91" s="81" t="s">
        <v>870</v>
      </c>
      <c r="J91" s="81" t="s">
        <v>870</v>
      </c>
      <c r="K91" s="81" t="s">
        <v>870</v>
      </c>
      <c r="L91" s="81" t="s">
        <v>870</v>
      </c>
      <c r="M91" s="81" t="s">
        <v>2276</v>
      </c>
      <c r="N91" s="81" t="s">
        <v>2276</v>
      </c>
      <c r="O91" s="81" t="s">
        <v>2276</v>
      </c>
      <c r="P91" s="81" t="s">
        <v>2276</v>
      </c>
    </row>
    <row r="92" spans="2:21" ht="36" customHeight="1">
      <c r="B92" s="47" t="s">
        <v>479</v>
      </c>
      <c r="C92" s="61" t="s">
        <v>660</v>
      </c>
      <c r="D92" s="61"/>
      <c r="E92" s="82" t="s">
        <v>2287</v>
      </c>
      <c r="F92" s="82" t="s">
        <v>2287</v>
      </c>
      <c r="G92" s="82" t="s">
        <v>871</v>
      </c>
      <c r="H92" s="82" t="s">
        <v>2287</v>
      </c>
      <c r="I92" s="82" t="s">
        <v>2287</v>
      </c>
      <c r="J92" s="82" t="s">
        <v>2287</v>
      </c>
      <c r="K92" s="82" t="s">
        <v>871</v>
      </c>
      <c r="L92" s="82" t="s">
        <v>2287</v>
      </c>
      <c r="M92" s="82" t="s">
        <v>2287</v>
      </c>
      <c r="N92" s="82" t="s">
        <v>2287</v>
      </c>
      <c r="O92" s="82" t="s">
        <v>871</v>
      </c>
      <c r="P92" s="82" t="s">
        <v>2287</v>
      </c>
    </row>
    <row r="93" spans="2:21">
      <c r="B93" s="97"/>
      <c r="C93" s="103"/>
      <c r="D93" s="103"/>
      <c r="E93" s="98"/>
      <c r="F93" s="98"/>
      <c r="G93" s="98"/>
      <c r="H93" s="98"/>
      <c r="I93" s="98"/>
      <c r="J93" s="98"/>
      <c r="K93" s="98"/>
      <c r="L93" s="98"/>
      <c r="M93" s="98"/>
      <c r="N93" s="98"/>
      <c r="O93" s="98"/>
      <c r="P93" s="98"/>
    </row>
  </sheetData>
  <pageMargins left="0.25" right="0.25" top="0.25" bottom="0.25" header="0" footer="0"/>
  <pageSetup paperSize="9" scale="5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HideEmpty2">
                <anchor moveWithCells="1" sizeWithCells="1">
                  <from>
                    <xdr:col>6</xdr:col>
                    <xdr:colOff>30480</xdr:colOff>
                    <xdr:row>0</xdr:row>
                    <xdr:rowOff>114300</xdr:rowOff>
                  </from>
                  <to>
                    <xdr:col>7</xdr:col>
                    <xdr:colOff>152400</xdr:colOff>
                    <xdr:row>2</xdr:row>
                    <xdr:rowOff>45720</xdr:rowOff>
                  </to>
                </anchor>
              </controlPr>
            </control>
          </mc:Choice>
        </mc:AlternateContent>
        <mc:AlternateContent xmlns:mc="http://schemas.openxmlformats.org/markup-compatibility/2006">
          <mc:Choice Requires="x14">
            <control shapeId="5122" r:id="rId5" name="Button 2">
              <controlPr defaultSize="0" print="0" autoFill="0" autoPict="0" macro="[0]!UnhideAll">
                <anchor moveWithCells="1" sizeWithCells="1">
                  <from>
                    <xdr:col>7</xdr:col>
                    <xdr:colOff>297180</xdr:colOff>
                    <xdr:row>0</xdr:row>
                    <xdr:rowOff>114300</xdr:rowOff>
                  </from>
                  <to>
                    <xdr:col>8</xdr:col>
                    <xdr:colOff>419100</xdr:colOff>
                    <xdr:row>2</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2:V153"/>
  <sheetViews>
    <sheetView showGridLines="0" zoomScaleNormal="100" workbookViewId="0"/>
  </sheetViews>
  <sheetFormatPr defaultRowHeight="10.199999999999999" outlineLevelRow="1" outlineLevelCol="1"/>
  <cols>
    <col min="1" max="1" width="2" customWidth="1"/>
    <col min="2" max="2" width="36.140625" customWidth="1"/>
    <col min="3" max="3" width="16.85546875" style="2" hidden="1" customWidth="1" outlineLevel="1"/>
    <col min="4" max="4" width="15" style="2" hidden="1" customWidth="1" outlineLevel="1"/>
    <col min="5" max="5" width="15" style="2" customWidth="1" collapsed="1"/>
    <col min="6" max="6" width="15" style="2" customWidth="1"/>
    <col min="7" max="18" width="13.42578125" customWidth="1"/>
    <col min="21" max="21" width="9.28515625" hidden="1" customWidth="1" outlineLevel="1"/>
    <col min="22" max="22" width="9.28515625" collapsed="1"/>
  </cols>
  <sheetData>
    <row r="2" spans="1:16">
      <c r="B2" t="s">
        <v>2275</v>
      </c>
    </row>
    <row r="3" spans="1:16">
      <c r="A3" s="47"/>
      <c r="B3" s="47"/>
    </row>
    <row r="4" spans="1:16" ht="16.2" thickBot="1">
      <c r="A4" s="47"/>
      <c r="B4" s="50" t="str">
        <f>G15&amp;IF(G16="",""," ("&amp;G16&amp;")")</f>
        <v>FMC Corporation (NYSE:FMC) (FMC-US)</v>
      </c>
      <c r="C4" s="100"/>
      <c r="D4" s="100"/>
      <c r="E4" s="100"/>
      <c r="F4" s="100"/>
      <c r="G4" s="53"/>
      <c r="H4" s="53"/>
      <c r="I4" s="53"/>
      <c r="J4" s="51"/>
      <c r="K4" s="51"/>
      <c r="L4" s="51"/>
      <c r="M4" s="51"/>
      <c r="N4" s="51"/>
      <c r="O4" s="51"/>
      <c r="P4" s="119" t="s">
        <v>2280</v>
      </c>
    </row>
    <row r="5" spans="1:16" ht="17.25" customHeight="1">
      <c r="A5" s="47"/>
      <c r="B5" s="54" t="str">
        <f>"Data in "&amp;Curr_Sym</f>
        <v>Data in ($M)</v>
      </c>
    </row>
    <row r="6" spans="1:16" hidden="1" outlineLevel="1">
      <c r="B6" s="56"/>
      <c r="C6" s="57" t="str">
        <f ca="1">_xll.SNL.Clients.Office.Excel.Functions.SPGTable($E$6:$O$6,$C$15:$C$152,$E$7:$O$7,"Options: Curr="&amp;Sel_Curr&amp;", Mag="&amp;Sel_Mag&amp;",ConvMethod="&amp;Sel_Conv&amp;", NA=NA, Term=en-US")</f>
        <v>SPGTable</v>
      </c>
      <c r="D6" s="57"/>
      <c r="E6" s="59" t="str">
        <f t="shared" ref="E6:O6" si="0">Focus_Co</f>
        <v>FMC</v>
      </c>
      <c r="F6" s="59"/>
      <c r="G6" s="59" t="str">
        <f t="shared" si="0"/>
        <v>FMC</v>
      </c>
      <c r="H6" s="59"/>
      <c r="I6" s="59" t="str">
        <f t="shared" si="0"/>
        <v>FMC</v>
      </c>
      <c r="J6" s="59"/>
      <c r="K6" s="59" t="str">
        <f t="shared" si="0"/>
        <v>FMC</v>
      </c>
      <c r="L6" s="59"/>
      <c r="M6" s="59" t="str">
        <f t="shared" si="0"/>
        <v>FMC</v>
      </c>
      <c r="N6" s="59"/>
      <c r="O6" s="59" t="str">
        <f t="shared" si="0"/>
        <v>FMC</v>
      </c>
      <c r="P6" s="59"/>
    </row>
    <row r="7" spans="1:16" hidden="1" outlineLevel="1">
      <c r="B7" s="56"/>
      <c r="C7" s="57" t="str">
        <f ca="1">_xll.SNL.Clients.Office.Excel.Functions.SPGTable($F$10:$P$10,$D$29:$D$80,$F$11:$P$11,"Options: Curr="&amp;Sel_Curr&amp;", Mag="&amp;Sel_Mag&amp;",ConvMethod="&amp;Sel_Conv&amp;", NA=NA, Term=en-US")</f>
        <v>SPGTable</v>
      </c>
      <c r="D7" s="57"/>
      <c r="E7" s="59" t="str">
        <f>LEFT(G7,LEN(G7)-1)&amp;RIGHT(G7,1)+1</f>
        <v>FQ-5</v>
      </c>
      <c r="F7" s="59"/>
      <c r="G7" s="59" t="str">
        <f>LEFT(I7,LEN(I7)-1)&amp;RIGHT(I7,1)+1</f>
        <v>FQ-4</v>
      </c>
      <c r="H7" s="59"/>
      <c r="I7" s="59" t="str">
        <f>LEFT(K7,LEN(K7)-1)&amp;RIGHT(K7,1)+1</f>
        <v>FQ-3</v>
      </c>
      <c r="J7" s="59"/>
      <c r="K7" s="59" t="str">
        <f>LEFT(M7,LEN(M7)-1)&amp;RIGHT(M7,1)+1</f>
        <v>FQ-2</v>
      </c>
      <c r="L7" s="59"/>
      <c r="M7" s="59" t="str">
        <f>VLOOKUP(Period,FormatTable,2,FALSE)</f>
        <v>FQ-1</v>
      </c>
      <c r="N7" s="59"/>
      <c r="O7" s="59" t="str">
        <f>Period</f>
        <v>FQ0</v>
      </c>
      <c r="P7" s="59"/>
    </row>
    <row r="8" spans="1:16" hidden="1" outlineLevel="1">
      <c r="B8" s="56"/>
      <c r="C8" s="57"/>
      <c r="D8" s="57"/>
      <c r="E8" s="209">
        <f ca="1">IF(Date="","",Date)</f>
        <v>45536</v>
      </c>
      <c r="F8" s="59"/>
      <c r="G8" s="209">
        <f ca="1">IF(Date="","",Date)</f>
        <v>45536</v>
      </c>
      <c r="H8" s="59"/>
      <c r="I8" s="209">
        <f ca="1">IF(Date="","",Date)</f>
        <v>45536</v>
      </c>
      <c r="J8" s="59"/>
      <c r="K8" s="209">
        <f ca="1">IF(Date="","",Date)</f>
        <v>45536</v>
      </c>
      <c r="L8" s="59"/>
      <c r="M8" s="209">
        <f ca="1">IF(Date="","",Date)</f>
        <v>45536</v>
      </c>
      <c r="N8" s="59"/>
      <c r="O8" s="209">
        <f ca="1">IF(Date="","",Date)</f>
        <v>45536</v>
      </c>
      <c r="P8" s="59"/>
    </row>
    <row r="9" spans="1:16" hidden="1" outlineLevel="1">
      <c r="B9" s="56"/>
      <c r="C9" s="57"/>
      <c r="D9" s="57"/>
      <c r="E9" s="59"/>
      <c r="F9" s="59"/>
      <c r="G9" s="59"/>
      <c r="H9" s="59"/>
      <c r="I9" s="59"/>
      <c r="J9" s="59"/>
      <c r="K9" s="59"/>
      <c r="L9" s="59"/>
      <c r="M9" s="59"/>
      <c r="N9" s="59"/>
      <c r="O9" s="59"/>
      <c r="P9" s="59"/>
    </row>
    <row r="10" spans="1:16" hidden="1" outlineLevel="1">
      <c r="B10" s="56"/>
      <c r="C10" s="57"/>
      <c r="D10" s="57"/>
      <c r="E10" s="59"/>
      <c r="F10" s="59" t="str">
        <f t="shared" ref="F10:P10" si="1">Focus_Co</f>
        <v>FMC</v>
      </c>
      <c r="G10" s="59"/>
      <c r="H10" s="59" t="str">
        <f t="shared" si="1"/>
        <v>FMC</v>
      </c>
      <c r="I10" s="59"/>
      <c r="J10" s="59" t="str">
        <f t="shared" si="1"/>
        <v>FMC</v>
      </c>
      <c r="K10" s="59"/>
      <c r="L10" s="59" t="str">
        <f t="shared" si="1"/>
        <v>FMC</v>
      </c>
      <c r="M10" s="59"/>
      <c r="N10" s="59" t="str">
        <f t="shared" si="1"/>
        <v>FMC</v>
      </c>
      <c r="O10" s="59"/>
      <c r="P10" s="59" t="str">
        <f t="shared" si="1"/>
        <v>FMC</v>
      </c>
    </row>
    <row r="11" spans="1:16" hidden="1" outlineLevel="1">
      <c r="B11" s="56"/>
      <c r="C11" s="57"/>
      <c r="D11" s="57"/>
      <c r="E11" s="59"/>
      <c r="F11" s="59" t="str">
        <f>LEFT(H11,LEN(H11)-1)&amp;RIGHT(H11,1)+1</f>
        <v>FQ-5</v>
      </c>
      <c r="G11" s="59"/>
      <c r="H11" s="59" t="str">
        <f>LEFT(J11,LEN(J11)-1)&amp;RIGHT(J11,1)+1</f>
        <v>FQ-4</v>
      </c>
      <c r="I11" s="59"/>
      <c r="J11" s="59" t="str">
        <f>LEFT(L11,LEN(L11)-1)&amp;RIGHT(L11,1)+1</f>
        <v>FQ-3</v>
      </c>
      <c r="K11" s="59"/>
      <c r="L11" s="59" t="str">
        <f>LEFT(N11,LEN(N11)-1)&amp;RIGHT(N11,1)+1</f>
        <v>FQ-2</v>
      </c>
      <c r="M11" s="59"/>
      <c r="N11" s="59" t="str">
        <f>VLOOKUP(Period,FormatTable,2,FALSE)</f>
        <v>FQ-1</v>
      </c>
      <c r="O11" s="59"/>
      <c r="P11" s="59" t="str">
        <f>Period</f>
        <v>FQ0</v>
      </c>
    </row>
    <row r="12" spans="1:16" hidden="1" outlineLevel="1">
      <c r="B12" s="56"/>
      <c r="C12" s="57"/>
      <c r="D12" s="57"/>
      <c r="E12" s="59"/>
      <c r="F12" s="209">
        <f ca="1">IF(Date="","",Date)</f>
        <v>45536</v>
      </c>
      <c r="G12" s="59"/>
      <c r="H12" s="209">
        <f ca="1">IF(Date="","",Date)</f>
        <v>45536</v>
      </c>
      <c r="I12" s="59"/>
      <c r="J12" s="209">
        <f ca="1">IF(Date="","",Date)</f>
        <v>45536</v>
      </c>
      <c r="K12" s="59"/>
      <c r="L12" s="209">
        <f ca="1">IF(Date="","",Date)</f>
        <v>45536</v>
      </c>
      <c r="M12" s="59"/>
      <c r="N12" s="209">
        <f ca="1">IF(Date="","",Date)</f>
        <v>45536</v>
      </c>
      <c r="O12" s="59"/>
      <c r="P12" s="209">
        <f ca="1">IF(Date="","",Date)</f>
        <v>45536</v>
      </c>
    </row>
    <row r="13" spans="1:16" hidden="1" outlineLevel="1">
      <c r="B13" s="56"/>
      <c r="C13" s="101"/>
      <c r="D13" s="101"/>
      <c r="E13" s="101"/>
      <c r="F13" s="101"/>
      <c r="G13" s="47"/>
      <c r="H13" s="47"/>
      <c r="I13" s="55"/>
      <c r="J13" s="55"/>
      <c r="K13" s="55"/>
    </row>
    <row r="14" spans="1:16" hidden="1" outlineLevel="1">
      <c r="B14" s="56"/>
      <c r="C14" s="101"/>
      <c r="D14" s="101"/>
      <c r="E14" s="101"/>
      <c r="F14" s="101"/>
      <c r="G14" s="47"/>
      <c r="H14" s="47"/>
      <c r="I14" s="55"/>
      <c r="J14" s="55"/>
      <c r="K14" s="55"/>
    </row>
    <row r="15" spans="1:16" hidden="1" outlineLevel="1">
      <c r="B15" s="56"/>
      <c r="C15" s="61" t="s">
        <v>322</v>
      </c>
      <c r="D15" s="61"/>
      <c r="E15" s="61" t="s">
        <v>2289</v>
      </c>
      <c r="F15" s="61"/>
      <c r="G15" s="247" t="s">
        <v>2289</v>
      </c>
      <c r="H15" s="247"/>
      <c r="I15" s="91" t="s">
        <v>2289</v>
      </c>
      <c r="J15" s="55"/>
      <c r="K15" s="91" t="s">
        <v>2289</v>
      </c>
      <c r="L15" s="248"/>
      <c r="M15" s="2" t="s">
        <v>2289</v>
      </c>
      <c r="N15" s="248"/>
      <c r="O15" s="248" t="s">
        <v>2289</v>
      </c>
    </row>
    <row r="16" spans="1:16" hidden="1" outlineLevel="1">
      <c r="B16" s="56"/>
      <c r="C16" s="61" t="s">
        <v>323</v>
      </c>
      <c r="D16" s="61"/>
      <c r="E16" s="61" t="s">
        <v>2290</v>
      </c>
      <c r="F16" s="61"/>
      <c r="G16" s="247" t="s">
        <v>2290</v>
      </c>
      <c r="H16" s="247"/>
      <c r="I16" s="55" t="s">
        <v>2290</v>
      </c>
      <c r="J16" s="55"/>
      <c r="K16" s="55" t="s">
        <v>2290</v>
      </c>
      <c r="L16" s="248"/>
      <c r="M16" s="248" t="s">
        <v>2290</v>
      </c>
      <c r="N16" s="248"/>
      <c r="O16" s="248" t="s">
        <v>2290</v>
      </c>
    </row>
    <row r="17" spans="1:21" ht="22.5" customHeight="1" collapsed="1">
      <c r="B17" s="62" t="s">
        <v>325</v>
      </c>
      <c r="C17" s="61" t="s">
        <v>326</v>
      </c>
      <c r="D17" s="61"/>
      <c r="E17" s="162">
        <v>45016</v>
      </c>
      <c r="F17" s="162" t="s">
        <v>1594</v>
      </c>
      <c r="G17" s="162">
        <v>45107</v>
      </c>
      <c r="H17" s="162" t="s">
        <v>1594</v>
      </c>
      <c r="I17" s="162">
        <v>45199</v>
      </c>
      <c r="J17" s="162" t="s">
        <v>1594</v>
      </c>
      <c r="K17" s="162">
        <v>45291</v>
      </c>
      <c r="L17" s="162" t="s">
        <v>1594</v>
      </c>
      <c r="M17" s="162">
        <v>45382</v>
      </c>
      <c r="N17" s="162" t="s">
        <v>1594</v>
      </c>
      <c r="O17" s="162">
        <v>45473</v>
      </c>
      <c r="P17" s="162" t="s">
        <v>1594</v>
      </c>
    </row>
    <row r="18" spans="1:21">
      <c r="C18" s="61"/>
      <c r="D18" s="61"/>
      <c r="E18" s="15"/>
      <c r="F18" s="15"/>
      <c r="G18" s="15"/>
      <c r="H18" s="15"/>
      <c r="I18" s="15"/>
      <c r="J18" s="15"/>
      <c r="K18" s="15"/>
      <c r="L18" s="15"/>
      <c r="M18" s="15"/>
      <c r="N18" s="15"/>
      <c r="O18" s="15"/>
      <c r="U18" t="s">
        <v>2274</v>
      </c>
    </row>
    <row r="19" spans="1:21">
      <c r="B19" t="s">
        <v>877</v>
      </c>
      <c r="C19" s="61" t="s">
        <v>29</v>
      </c>
      <c r="D19" s="61"/>
      <c r="E19" s="85">
        <v>4365.8</v>
      </c>
      <c r="F19" s="115">
        <f>IFERROR((E19/E$23)*100,"NA")</f>
        <v>55.542409322799379</v>
      </c>
      <c r="G19" s="85">
        <v>4831.2</v>
      </c>
      <c r="H19" s="115">
        <f>IFERROR((G19/G$23)*100,"NA")</f>
        <v>58.855346831371968</v>
      </c>
      <c r="I19" s="85">
        <v>4263.3</v>
      </c>
      <c r="J19" s="115">
        <f>IFERROR((I19/I$23)*100,"NA")</f>
        <v>56.260392198263354</v>
      </c>
      <c r="K19" s="85">
        <v>4105.2</v>
      </c>
      <c r="L19" s="115">
        <f>IFERROR((K19/K$23)*100,"NA")</f>
        <v>48.078139273417186</v>
      </c>
      <c r="M19" s="85">
        <v>4484.7</v>
      </c>
      <c r="N19" s="115">
        <f>IFERROR((M19/M$23)*100,"NA")</f>
        <v>50.860778443113766</v>
      </c>
      <c r="O19" s="85">
        <v>4322</v>
      </c>
      <c r="P19" s="115">
        <f>IFERROR((O19/O$23)*100,"NA")</f>
        <v>48.547069990003031</v>
      </c>
      <c r="U19" s="218">
        <f t="shared" ref="U19:U21" si="2">IF(COUNT(E19:P19)&lt;&gt;0,1,"")</f>
        <v>1</v>
      </c>
    </row>
    <row r="20" spans="1:21">
      <c r="B20" t="s">
        <v>878</v>
      </c>
      <c r="C20" s="61" t="s">
        <v>32</v>
      </c>
      <c r="D20" s="61"/>
      <c r="E20" s="85">
        <v>3470.7000000000003</v>
      </c>
      <c r="F20" s="116">
        <f>IFERROR((E20/E$23)*100,"NA")</f>
        <v>44.154803251784287</v>
      </c>
      <c r="G20" s="85">
        <v>3353</v>
      </c>
      <c r="H20" s="116">
        <f>IFERROR((G20/G$23)*100,"NA")</f>
        <v>40.847403942206952</v>
      </c>
      <c r="I20" s="85">
        <v>3290.9</v>
      </c>
      <c r="J20" s="116">
        <f>IFERROR((I20/I$23)*100,"NA")</f>
        <v>43.428171764892184</v>
      </c>
      <c r="K20" s="85">
        <v>4410.9000000000015</v>
      </c>
      <c r="L20" s="116">
        <f>IFERROR((K20/K$23)*100,"NA")</f>
        <v>51.658351486192132</v>
      </c>
      <c r="M20" s="85">
        <v>4311.5</v>
      </c>
      <c r="N20" s="116">
        <f>IFERROR((M20/M$23)*100,"NA")</f>
        <v>48.896525131555066</v>
      </c>
      <c r="O20" s="85">
        <v>4559.4000000000015</v>
      </c>
      <c r="P20" s="116">
        <f t="shared" ref="P20" si="3">IFERROR((O20/O$23)*100,"NA")</f>
        <v>51.213676749750093</v>
      </c>
      <c r="U20" s="218">
        <f t="shared" si="2"/>
        <v>1</v>
      </c>
    </row>
    <row r="21" spans="1:21">
      <c r="B21" t="s">
        <v>879</v>
      </c>
      <c r="C21" s="61" t="s">
        <v>31</v>
      </c>
      <c r="D21" s="61"/>
      <c r="E21" s="85">
        <v>23.8</v>
      </c>
      <c r="F21" s="116">
        <f>IFERROR((E21/E$23)*100,"NA")</f>
        <v>0.30278742541633269</v>
      </c>
      <c r="G21" s="85">
        <v>24.400000000000002</v>
      </c>
      <c r="H21" s="116">
        <f>IFERROR((G21/G$23)*100,"NA")</f>
        <v>0.2972492264210706</v>
      </c>
      <c r="I21" s="85">
        <v>23.6</v>
      </c>
      <c r="J21" s="116">
        <f>IFERROR((I21/I$23)*100,"NA")</f>
        <v>0.31143603684446675</v>
      </c>
      <c r="K21" s="85">
        <v>22.5</v>
      </c>
      <c r="L21" s="116">
        <f>IFERROR((K21/K$23)*100,"NA")</f>
        <v>0.2635092403906964</v>
      </c>
      <c r="M21" s="85">
        <v>21.400000000000002</v>
      </c>
      <c r="N21" s="116">
        <f>IFERROR((M21/M$23)*100,"NA")</f>
        <v>0.2426964253311559</v>
      </c>
      <c r="O21" s="85">
        <v>21.3</v>
      </c>
      <c r="P21" s="116">
        <f t="shared" ref="P21" si="4">IFERROR((O21/O$23)*100,"NA")</f>
        <v>0.23925326024689139</v>
      </c>
      <c r="U21" s="218">
        <f t="shared" si="2"/>
        <v>1</v>
      </c>
    </row>
    <row r="22" spans="1:21">
      <c r="B22" t="s">
        <v>880</v>
      </c>
      <c r="C22" s="61" t="s">
        <v>30</v>
      </c>
      <c r="D22" s="61"/>
      <c r="E22" s="173" t="s">
        <v>301</v>
      </c>
      <c r="F22" s="178" t="str">
        <f>IFERROR((E22/E$23)*100,"NA")</f>
        <v>NA</v>
      </c>
      <c r="G22" s="173" t="s">
        <v>301</v>
      </c>
      <c r="H22" s="178" t="str">
        <f>IFERROR((G22/G$23)*100,"NA")</f>
        <v>NA</v>
      </c>
      <c r="I22" s="173" t="s">
        <v>301</v>
      </c>
      <c r="J22" s="178" t="str">
        <f>IFERROR((I22/I$23)*100,"NA")</f>
        <v>NA</v>
      </c>
      <c r="K22" s="173" t="s">
        <v>301</v>
      </c>
      <c r="L22" s="178" t="str">
        <f>IFERROR((K22/K$23)*100,"NA")</f>
        <v>NA</v>
      </c>
      <c r="M22" s="173" t="s">
        <v>301</v>
      </c>
      <c r="N22" s="178" t="str">
        <f>IFERROR((M22/M$23)*100,"NA")</f>
        <v>NA</v>
      </c>
      <c r="O22" s="173" t="s">
        <v>301</v>
      </c>
      <c r="P22" s="178" t="str">
        <f t="shared" ref="P22" si="5">IFERROR((O22/O$23)*100,"NA")</f>
        <v>NA</v>
      </c>
      <c r="U22" s="218" t="str">
        <f t="shared" ref="U22" si="6">IF(COUNT(E22:P22)&lt;&gt;0,1,"")</f>
        <v/>
      </c>
    </row>
    <row r="23" spans="1:21">
      <c r="B23" s="90" t="s">
        <v>881</v>
      </c>
      <c r="C23" s="61" t="s">
        <v>808</v>
      </c>
      <c r="D23" s="61"/>
      <c r="E23" s="160">
        <v>7860.3</v>
      </c>
      <c r="F23" s="219">
        <f>IFERROR((E23/E$23)*100,"NA")</f>
        <v>100</v>
      </c>
      <c r="G23" s="160">
        <v>8208.6</v>
      </c>
      <c r="H23" s="219">
        <f>IFERROR((G23/G$23)*100,"NA")</f>
        <v>100</v>
      </c>
      <c r="I23" s="160">
        <v>7577.8</v>
      </c>
      <c r="J23" s="219">
        <f>IFERROR((I23/I$23)*100,"NA")</f>
        <v>100</v>
      </c>
      <c r="K23" s="160">
        <v>8538.6</v>
      </c>
      <c r="L23" s="219">
        <f>IFERROR((K23/K$23)*100,"NA")</f>
        <v>100</v>
      </c>
      <c r="M23" s="160">
        <v>8817.6</v>
      </c>
      <c r="N23" s="219">
        <f>IFERROR((M23/M$23)*100,"NA")</f>
        <v>100</v>
      </c>
      <c r="O23" s="160">
        <v>8902.7000000000007</v>
      </c>
      <c r="P23" s="219">
        <f t="shared" ref="P23" si="7">IFERROR((O23/O$23)*100,"NA")</f>
        <v>100</v>
      </c>
      <c r="U23" s="217">
        <v>1</v>
      </c>
    </row>
    <row r="24" spans="1:21">
      <c r="C24" s="61"/>
      <c r="D24" s="61"/>
      <c r="E24" s="15"/>
      <c r="F24" s="15"/>
      <c r="G24" s="15"/>
      <c r="H24" s="15"/>
      <c r="I24" s="15"/>
      <c r="J24" s="15"/>
      <c r="K24" s="15"/>
      <c r="L24" s="15"/>
      <c r="M24" s="15"/>
      <c r="N24" s="15"/>
      <c r="O24" s="15"/>
      <c r="P24" s="3"/>
      <c r="U24" s="217">
        <v>1</v>
      </c>
    </row>
    <row r="25" spans="1:21">
      <c r="B25" s="180" t="s">
        <v>1150</v>
      </c>
      <c r="C25" s="158"/>
      <c r="D25" s="158"/>
      <c r="E25" s="233"/>
      <c r="F25" s="233"/>
      <c r="G25" s="233"/>
      <c r="H25" s="233"/>
      <c r="I25" s="233"/>
      <c r="J25" s="233"/>
      <c r="K25" s="233"/>
      <c r="L25" s="233"/>
      <c r="M25" s="233"/>
      <c r="N25" s="233"/>
      <c r="O25" s="233"/>
      <c r="P25" s="21"/>
      <c r="U25" s="217">
        <v>1</v>
      </c>
    </row>
    <row r="26" spans="1:21">
      <c r="B26" s="179"/>
      <c r="C26" s="61"/>
      <c r="D26" s="61"/>
      <c r="E26" s="15"/>
      <c r="F26" s="15"/>
      <c r="G26" s="15"/>
      <c r="H26" s="15"/>
      <c r="I26" s="15"/>
      <c r="J26" s="15"/>
      <c r="K26" s="15"/>
      <c r="L26" s="15"/>
      <c r="M26" s="15"/>
      <c r="N26" s="15"/>
      <c r="O26" s="15"/>
      <c r="P26" s="3"/>
      <c r="U26" s="217">
        <v>1</v>
      </c>
    </row>
    <row r="27" spans="1:21">
      <c r="B27" s="180" t="s">
        <v>325</v>
      </c>
      <c r="C27" s="158"/>
      <c r="D27" s="158"/>
      <c r="E27" s="170">
        <f>E17</f>
        <v>45016</v>
      </c>
      <c r="F27" s="234"/>
      <c r="G27" s="170">
        <f>G17</f>
        <v>45107</v>
      </c>
      <c r="H27" s="234"/>
      <c r="I27" s="170">
        <f>I17</f>
        <v>45199</v>
      </c>
      <c r="J27" s="234"/>
      <c r="K27" s="170">
        <f>K17</f>
        <v>45291</v>
      </c>
      <c r="L27" s="234"/>
      <c r="M27" s="170">
        <f>M17</f>
        <v>45382</v>
      </c>
      <c r="N27" s="234"/>
      <c r="O27" s="170">
        <f>O17</f>
        <v>45473</v>
      </c>
      <c r="P27" s="21"/>
      <c r="U27" s="217">
        <v>1</v>
      </c>
    </row>
    <row r="28" spans="1:21">
      <c r="C28" s="61"/>
      <c r="D28" s="61"/>
      <c r="E28" s="15"/>
      <c r="F28" s="15"/>
      <c r="G28" s="15"/>
      <c r="H28" s="15"/>
      <c r="I28" s="15"/>
      <c r="J28" s="15"/>
      <c r="K28" s="15"/>
      <c r="L28" s="15"/>
      <c r="M28" s="15"/>
      <c r="N28" s="15"/>
      <c r="O28" s="15"/>
      <c r="P28" s="3"/>
      <c r="U28" s="217">
        <v>1</v>
      </c>
    </row>
    <row r="29" spans="1:21">
      <c r="B29" t="s">
        <v>893</v>
      </c>
      <c r="C29" s="61" t="s">
        <v>882</v>
      </c>
      <c r="D29" s="61" t="s">
        <v>905</v>
      </c>
      <c r="E29" s="85">
        <v>1205.7</v>
      </c>
      <c r="F29" s="45">
        <v>27.617000000000001</v>
      </c>
      <c r="G29" s="85">
        <v>1001.5</v>
      </c>
      <c r="H29" s="45">
        <v>20.73</v>
      </c>
      <c r="I29" s="85">
        <v>467.3</v>
      </c>
      <c r="J29" s="45">
        <v>10.961</v>
      </c>
      <c r="K29" s="85">
        <v>739.5</v>
      </c>
      <c r="L29" s="45">
        <v>18.013999999999999</v>
      </c>
      <c r="M29" s="85">
        <v>1109.2</v>
      </c>
      <c r="N29" s="45">
        <v>24.733000000000001</v>
      </c>
      <c r="O29" s="85">
        <v>952</v>
      </c>
      <c r="P29" s="45">
        <v>22.027000000000001</v>
      </c>
      <c r="U29" s="218">
        <f t="shared" ref="U29:U36" si="8">IF(COUNT(E29:P29)&lt;&gt;0,1,"")</f>
        <v>1</v>
      </c>
    </row>
    <row r="30" spans="1:21">
      <c r="B30" t="s">
        <v>894</v>
      </c>
      <c r="C30" s="61" t="s">
        <v>883</v>
      </c>
      <c r="D30" s="61" t="s">
        <v>906</v>
      </c>
      <c r="E30" s="85">
        <v>182</v>
      </c>
      <c r="F30" s="45">
        <v>4.1689999999999996</v>
      </c>
      <c r="G30" s="85">
        <v>162.80000000000001</v>
      </c>
      <c r="H30" s="45">
        <v>3.37</v>
      </c>
      <c r="I30" s="85">
        <v>132.4</v>
      </c>
      <c r="J30" s="45">
        <v>3.1059999999999999</v>
      </c>
      <c r="K30" s="85">
        <v>98</v>
      </c>
      <c r="L30" s="45">
        <v>2.387</v>
      </c>
      <c r="M30" s="85">
        <v>108.2</v>
      </c>
      <c r="N30" s="45">
        <v>2.4129999999999998</v>
      </c>
      <c r="O30" s="85">
        <v>116.9</v>
      </c>
      <c r="P30" s="45">
        <v>2.7050000000000001</v>
      </c>
      <c r="U30" s="218">
        <f t="shared" si="8"/>
        <v>1</v>
      </c>
    </row>
    <row r="31" spans="1:21">
      <c r="B31" t="s">
        <v>895</v>
      </c>
      <c r="C31" s="61" t="s">
        <v>884</v>
      </c>
      <c r="D31" s="61" t="s">
        <v>907</v>
      </c>
      <c r="E31" s="85">
        <v>800</v>
      </c>
      <c r="F31" s="45">
        <v>18.324000000000002</v>
      </c>
      <c r="G31" s="85">
        <v>0</v>
      </c>
      <c r="H31" s="45">
        <v>0</v>
      </c>
      <c r="I31" s="85">
        <v>0</v>
      </c>
      <c r="J31" s="45">
        <v>0</v>
      </c>
      <c r="K31" s="85">
        <v>0</v>
      </c>
      <c r="L31" s="45">
        <v>0</v>
      </c>
      <c r="M31" s="85" t="s">
        <v>301</v>
      </c>
      <c r="N31" s="45" t="s">
        <v>301</v>
      </c>
      <c r="O31" s="85" t="s">
        <v>301</v>
      </c>
      <c r="P31" s="45" t="s">
        <v>301</v>
      </c>
      <c r="U31" s="218">
        <f t="shared" si="8"/>
        <v>1</v>
      </c>
    </row>
    <row r="32" spans="1:21">
      <c r="A32" t="s">
        <v>2285</v>
      </c>
      <c r="B32" t="s">
        <v>896</v>
      </c>
      <c r="C32" s="61" t="s">
        <v>885</v>
      </c>
      <c r="D32" s="61" t="s">
        <v>908</v>
      </c>
      <c r="E32" s="85">
        <v>2248.6</v>
      </c>
      <c r="F32" s="45">
        <v>51.505000000000003</v>
      </c>
      <c r="G32" s="85">
        <v>3748.6</v>
      </c>
      <c r="H32" s="45">
        <v>77.590999999999994</v>
      </c>
      <c r="I32" s="85">
        <v>3748.6</v>
      </c>
      <c r="J32" s="45">
        <v>87.927000000000007</v>
      </c>
      <c r="K32" s="85">
        <v>3048.1</v>
      </c>
      <c r="L32" s="45">
        <v>74.25</v>
      </c>
      <c r="M32" s="85">
        <v>3048.1</v>
      </c>
      <c r="N32" s="45">
        <v>67.966999999999999</v>
      </c>
      <c r="O32" s="85">
        <v>3048.1</v>
      </c>
      <c r="P32" s="45">
        <v>70.525000000000006</v>
      </c>
      <c r="U32" s="218">
        <f t="shared" si="8"/>
        <v>1</v>
      </c>
    </row>
    <row r="33" spans="2:21">
      <c r="B33" t="s">
        <v>897</v>
      </c>
      <c r="C33" s="61" t="s">
        <v>886</v>
      </c>
      <c r="D33" s="61" t="s">
        <v>909</v>
      </c>
      <c r="E33" s="85" t="s">
        <v>301</v>
      </c>
      <c r="F33" s="45" t="s">
        <v>301</v>
      </c>
      <c r="G33" s="85" t="s">
        <v>301</v>
      </c>
      <c r="H33" s="45" t="s">
        <v>301</v>
      </c>
      <c r="I33" s="85" t="s">
        <v>301</v>
      </c>
      <c r="J33" s="45" t="s">
        <v>301</v>
      </c>
      <c r="K33" s="85" t="s">
        <v>301</v>
      </c>
      <c r="L33" s="45" t="s">
        <v>301</v>
      </c>
      <c r="M33" s="85" t="s">
        <v>301</v>
      </c>
      <c r="N33" s="45" t="s">
        <v>301</v>
      </c>
      <c r="O33" s="85" t="s">
        <v>301</v>
      </c>
      <c r="P33" s="45" t="s">
        <v>301</v>
      </c>
      <c r="U33" s="218" t="str">
        <f t="shared" si="8"/>
        <v/>
      </c>
    </row>
    <row r="34" spans="2:21">
      <c r="B34" t="s">
        <v>1677</v>
      </c>
      <c r="C34" s="61" t="s">
        <v>961</v>
      </c>
      <c r="D34" s="61" t="s">
        <v>999</v>
      </c>
      <c r="E34" s="85" t="s">
        <v>301</v>
      </c>
      <c r="F34" s="45" t="s">
        <v>301</v>
      </c>
      <c r="G34" s="85" t="s">
        <v>301</v>
      </c>
      <c r="H34" s="45" t="s">
        <v>301</v>
      </c>
      <c r="I34" s="85" t="s">
        <v>301</v>
      </c>
      <c r="J34" s="45" t="s">
        <v>301</v>
      </c>
      <c r="K34" s="85" t="s">
        <v>301</v>
      </c>
      <c r="L34" s="45" t="s">
        <v>301</v>
      </c>
      <c r="M34" s="85" t="s">
        <v>301</v>
      </c>
      <c r="N34" s="45" t="s">
        <v>301</v>
      </c>
      <c r="O34" s="85" t="s">
        <v>301</v>
      </c>
      <c r="P34" s="45" t="s">
        <v>301</v>
      </c>
      <c r="U34" s="218" t="str">
        <f t="shared" si="8"/>
        <v/>
      </c>
    </row>
    <row r="35" spans="2:21">
      <c r="B35" t="s">
        <v>898</v>
      </c>
      <c r="C35" s="61" t="s">
        <v>887</v>
      </c>
      <c r="D35" s="61" t="s">
        <v>910</v>
      </c>
      <c r="E35" s="85">
        <v>153.20000000000002</v>
      </c>
      <c r="F35" s="45">
        <v>3.5089999999999999</v>
      </c>
      <c r="G35" s="85">
        <v>148.70000000000002</v>
      </c>
      <c r="H35" s="45">
        <v>3.0779999999999998</v>
      </c>
      <c r="I35" s="85">
        <v>147.6</v>
      </c>
      <c r="J35" s="45">
        <v>3.4620000000000002</v>
      </c>
      <c r="K35" s="85">
        <v>147.6</v>
      </c>
      <c r="L35" s="45">
        <v>3.5950000000000002</v>
      </c>
      <c r="M35" s="85">
        <v>149</v>
      </c>
      <c r="N35" s="45">
        <v>3.3220000000000001</v>
      </c>
      <c r="O35" s="85">
        <v>142.9</v>
      </c>
      <c r="P35" s="45">
        <v>3.306</v>
      </c>
      <c r="U35" s="218">
        <f t="shared" si="8"/>
        <v>1</v>
      </c>
    </row>
    <row r="36" spans="2:21">
      <c r="B36" t="s">
        <v>899</v>
      </c>
      <c r="C36" s="61" t="s">
        <v>888</v>
      </c>
      <c r="D36" s="61" t="s">
        <v>911</v>
      </c>
      <c r="E36" s="85">
        <v>90.9</v>
      </c>
      <c r="F36" s="45">
        <v>2.0819999999999999</v>
      </c>
      <c r="G36" s="85">
        <v>96.100000000000009</v>
      </c>
      <c r="H36" s="45">
        <v>1.9890000000000001</v>
      </c>
      <c r="I36" s="85">
        <v>93.100000000000009</v>
      </c>
      <c r="J36" s="45">
        <v>2.1840000000000002</v>
      </c>
      <c r="K36" s="85">
        <v>96.5</v>
      </c>
      <c r="L36" s="45">
        <v>2.351</v>
      </c>
      <c r="M36" s="85">
        <v>93.7</v>
      </c>
      <c r="N36" s="45">
        <v>2.089</v>
      </c>
      <c r="O36" s="85">
        <v>84.4</v>
      </c>
      <c r="P36" s="45">
        <v>1.9530000000000001</v>
      </c>
      <c r="U36" s="218">
        <f t="shared" si="8"/>
        <v>1</v>
      </c>
    </row>
    <row r="37" spans="2:21">
      <c r="B37" s="90" t="s">
        <v>900</v>
      </c>
      <c r="C37" s="61" t="s">
        <v>889</v>
      </c>
      <c r="D37" s="61" t="s">
        <v>912</v>
      </c>
      <c r="E37" s="87">
        <v>4680.4000000000015</v>
      </c>
      <c r="F37" s="117">
        <v>107.206</v>
      </c>
      <c r="G37" s="87">
        <v>5157.7</v>
      </c>
      <c r="H37" s="117">
        <v>106.758</v>
      </c>
      <c r="I37" s="87">
        <v>4589</v>
      </c>
      <c r="J37" s="117">
        <v>107.64</v>
      </c>
      <c r="K37" s="87">
        <v>4129.7</v>
      </c>
      <c r="L37" s="117">
        <v>100.59699999999999</v>
      </c>
      <c r="M37" s="87">
        <v>4508.2</v>
      </c>
      <c r="N37" s="117">
        <v>100.524</v>
      </c>
      <c r="O37" s="87">
        <v>4344.3</v>
      </c>
      <c r="P37" s="117">
        <v>100.51600000000001</v>
      </c>
      <c r="U37" s="217">
        <v>1</v>
      </c>
    </row>
    <row r="38" spans="2:21">
      <c r="C38" s="61"/>
      <c r="D38" s="61"/>
      <c r="E38" s="85"/>
      <c r="F38" s="93"/>
      <c r="G38" s="85"/>
      <c r="H38" s="93"/>
      <c r="I38" s="85"/>
      <c r="J38" s="22"/>
      <c r="K38" s="85"/>
      <c r="L38" s="22"/>
      <c r="M38" s="85"/>
      <c r="N38" s="22"/>
      <c r="O38" s="85"/>
      <c r="P38" s="22"/>
      <c r="U38" s="217">
        <v>1</v>
      </c>
    </row>
    <row r="39" spans="2:21">
      <c r="B39" t="s">
        <v>901</v>
      </c>
      <c r="C39" s="61" t="s">
        <v>890</v>
      </c>
      <c r="D39" s="61" t="s">
        <v>913</v>
      </c>
      <c r="E39" s="85" t="s">
        <v>301</v>
      </c>
      <c r="F39" s="45" t="s">
        <v>301</v>
      </c>
      <c r="G39" s="85" t="s">
        <v>301</v>
      </c>
      <c r="H39" s="45" t="s">
        <v>301</v>
      </c>
      <c r="I39" s="85" t="s">
        <v>301</v>
      </c>
      <c r="J39" s="45" t="s">
        <v>301</v>
      </c>
      <c r="K39" s="85" t="s">
        <v>301</v>
      </c>
      <c r="L39" s="45" t="s">
        <v>301</v>
      </c>
      <c r="M39" s="85" t="s">
        <v>301</v>
      </c>
      <c r="N39" s="45" t="s">
        <v>301</v>
      </c>
      <c r="O39" s="85" t="s">
        <v>301</v>
      </c>
      <c r="P39" s="45" t="s">
        <v>301</v>
      </c>
      <c r="U39" s="218" t="str">
        <f t="shared" ref="U39:U41" si="9">IF(COUNT(E39:P39)&lt;&gt;0,1,"")</f>
        <v/>
      </c>
    </row>
    <row r="40" spans="2:21">
      <c r="B40" t="s">
        <v>902</v>
      </c>
      <c r="C40" s="61" t="s">
        <v>891</v>
      </c>
      <c r="D40" s="61" t="s">
        <v>914</v>
      </c>
      <c r="E40" s="85" t="s">
        <v>301</v>
      </c>
      <c r="F40" s="45" t="s">
        <v>301</v>
      </c>
      <c r="G40" s="85" t="s">
        <v>301</v>
      </c>
      <c r="H40" s="45" t="s">
        <v>301</v>
      </c>
      <c r="I40" s="85" t="s">
        <v>301</v>
      </c>
      <c r="J40" s="45" t="s">
        <v>301</v>
      </c>
      <c r="K40" s="85" t="s">
        <v>301</v>
      </c>
      <c r="L40" s="45" t="s">
        <v>301</v>
      </c>
      <c r="M40" s="85" t="s">
        <v>301</v>
      </c>
      <c r="N40" s="45" t="s">
        <v>301</v>
      </c>
      <c r="O40" s="85" t="s">
        <v>301</v>
      </c>
      <c r="P40" s="45" t="s">
        <v>301</v>
      </c>
      <c r="U40" s="218" t="str">
        <f t="shared" si="9"/>
        <v/>
      </c>
    </row>
    <row r="41" spans="2:21">
      <c r="B41" t="s">
        <v>903</v>
      </c>
      <c r="C41" s="61" t="s">
        <v>892</v>
      </c>
      <c r="D41" s="61" t="s">
        <v>915</v>
      </c>
      <c r="E41" s="173">
        <v>-314.60000000000002</v>
      </c>
      <c r="F41" s="181">
        <v>-7.2060000000000004</v>
      </c>
      <c r="G41" s="173">
        <v>-326.5</v>
      </c>
      <c r="H41" s="181">
        <v>-6.758</v>
      </c>
      <c r="I41" s="173">
        <v>-325.7</v>
      </c>
      <c r="J41" s="181">
        <v>-7.64</v>
      </c>
      <c r="K41" s="173">
        <v>-24.5</v>
      </c>
      <c r="L41" s="181">
        <v>-0.59699999999999998</v>
      </c>
      <c r="M41" s="173">
        <v>-23.5</v>
      </c>
      <c r="N41" s="181">
        <v>-0.52400000000000002</v>
      </c>
      <c r="O41" s="173">
        <v>-22.3</v>
      </c>
      <c r="P41" s="181">
        <v>-0.51600000000000001</v>
      </c>
      <c r="U41" s="218">
        <f t="shared" si="9"/>
        <v>1</v>
      </c>
    </row>
    <row r="42" spans="2:21">
      <c r="B42" s="90" t="s">
        <v>904</v>
      </c>
      <c r="C42" s="61"/>
      <c r="D42" s="61"/>
      <c r="E42" s="160">
        <f>IFERROR(IF(COUNT(E37:E41)=0,"NA",SUM(E37:E41)),"NA")</f>
        <v>4365.8000000000011</v>
      </c>
      <c r="F42" s="220">
        <f>IFERROR(IF(COUNT(F37:F41)=0,"NA",SUM(F37:F41)),"NA")</f>
        <v>100</v>
      </c>
      <c r="G42" s="160">
        <f>IFERROR(IF(COUNT(G37:G41)=0,"NA",SUM(G37:G41)),"NA")</f>
        <v>4831.2</v>
      </c>
      <c r="H42" s="220">
        <f>IFERROR(IF(COUNT(H37:H41)=0,"NA",SUM(H37:H41)),"NA")</f>
        <v>100</v>
      </c>
      <c r="I42" s="160">
        <f>IFERROR(IF(COUNT(I37:I41)=0,"NA",SUM(I37:I41)),"NA")</f>
        <v>4263.3</v>
      </c>
      <c r="J42" s="220">
        <f>IFERROR(IF(COUNT(J37:J41)=0,"NA",SUM(J37:J41)),"NA")</f>
        <v>100</v>
      </c>
      <c r="K42" s="160">
        <f>IFERROR(IF(COUNT(K37:K41)=0,"NA",SUM(K37:K41)),"NA")</f>
        <v>4105.2</v>
      </c>
      <c r="L42" s="220">
        <f>IFERROR(IF(COUNT(L37:L41)=0,"NA",SUM(L37:L41)),"NA")</f>
        <v>100</v>
      </c>
      <c r="M42" s="160">
        <f>IFERROR(IF(COUNT(M37:M41)=0,"NA",SUM(M37:M41)),"NA")</f>
        <v>4484.7</v>
      </c>
      <c r="N42" s="220">
        <f>IFERROR(IF(COUNT(N37:N41)=0,"NA",SUM(N37:N41)),"NA")</f>
        <v>100</v>
      </c>
      <c r="O42" s="160">
        <f>IFERROR(IF(COUNT(O37:O41)=0,"NA",SUM(O37:O41)),"NA")</f>
        <v>4322</v>
      </c>
      <c r="P42" s="220">
        <f>IFERROR(IF(COUNT(P37:P41)=0,"NA",SUM(P37:P41)),"NA")</f>
        <v>100</v>
      </c>
      <c r="U42" s="217">
        <v>1</v>
      </c>
    </row>
    <row r="43" spans="2:21">
      <c r="C43" s="61"/>
      <c r="D43" s="61"/>
      <c r="E43" s="15"/>
      <c r="F43" s="22"/>
      <c r="G43" s="22"/>
      <c r="H43" s="22"/>
      <c r="I43" s="22"/>
      <c r="J43" s="22"/>
      <c r="K43" s="22"/>
      <c r="L43" s="22"/>
      <c r="M43" s="22"/>
      <c r="N43" s="22"/>
      <c r="O43" s="22"/>
      <c r="P43" s="22"/>
      <c r="U43" s="217">
        <v>1</v>
      </c>
    </row>
    <row r="44" spans="2:21">
      <c r="B44" s="92" t="s">
        <v>916</v>
      </c>
      <c r="C44" s="61"/>
      <c r="D44" s="61"/>
      <c r="E44" s="15"/>
      <c r="F44" s="22"/>
      <c r="G44" s="22"/>
      <c r="H44" s="22"/>
      <c r="I44" s="22"/>
      <c r="J44" s="22"/>
      <c r="K44" s="22"/>
      <c r="L44" s="22"/>
      <c r="M44" s="22"/>
      <c r="N44" s="22"/>
      <c r="O44" s="22"/>
      <c r="P44" s="22"/>
      <c r="U44" s="217">
        <v>1</v>
      </c>
    </row>
    <row r="45" spans="2:21">
      <c r="B45" s="2" t="s">
        <v>921</v>
      </c>
      <c r="C45" s="61" t="s">
        <v>917</v>
      </c>
      <c r="D45" s="61"/>
      <c r="E45" s="85">
        <v>626.9</v>
      </c>
      <c r="F45" s="85"/>
      <c r="G45" s="85">
        <v>755.4</v>
      </c>
      <c r="H45" s="85"/>
      <c r="I45" s="85">
        <v>1289.6000000000001</v>
      </c>
      <c r="J45" s="85"/>
      <c r="K45" s="85">
        <v>1009</v>
      </c>
      <c r="L45" s="85"/>
      <c r="M45" s="85">
        <v>639.6</v>
      </c>
      <c r="N45" s="85"/>
      <c r="O45" s="85">
        <v>795.4</v>
      </c>
      <c r="P45" s="22"/>
      <c r="U45" s="218">
        <f t="shared" ref="U45:U49" si="10">IF(COUNT(E45:P45)&lt;&gt;0,1,"")</f>
        <v>1</v>
      </c>
    </row>
    <row r="46" spans="2:21">
      <c r="B46" s="2" t="s">
        <v>922</v>
      </c>
      <c r="C46" s="61" t="s">
        <v>918</v>
      </c>
      <c r="D46" s="61"/>
      <c r="E46" s="85" t="s">
        <v>301</v>
      </c>
      <c r="F46" s="85"/>
      <c r="G46" s="85" t="s">
        <v>301</v>
      </c>
      <c r="H46" s="85"/>
      <c r="I46" s="85" t="s">
        <v>301</v>
      </c>
      <c r="J46" s="85"/>
      <c r="K46" s="85" t="s">
        <v>301</v>
      </c>
      <c r="L46" s="85"/>
      <c r="M46" s="85" t="s">
        <v>301</v>
      </c>
      <c r="N46" s="85"/>
      <c r="O46" s="85" t="s">
        <v>301</v>
      </c>
      <c r="P46" s="22"/>
      <c r="U46" s="218" t="str">
        <f t="shared" si="10"/>
        <v/>
      </c>
    </row>
    <row r="47" spans="2:21">
      <c r="B47" s="2" t="s">
        <v>923</v>
      </c>
      <c r="C47" s="61" t="s">
        <v>919</v>
      </c>
      <c r="D47" s="61"/>
      <c r="E47" s="85" t="s">
        <v>301</v>
      </c>
      <c r="F47" s="85"/>
      <c r="G47" s="85" t="s">
        <v>301</v>
      </c>
      <c r="H47" s="85"/>
      <c r="I47" s="85" t="s">
        <v>301</v>
      </c>
      <c r="J47" s="85"/>
      <c r="K47" s="85" t="s">
        <v>301</v>
      </c>
      <c r="L47" s="85"/>
      <c r="M47" s="85" t="s">
        <v>301</v>
      </c>
      <c r="N47" s="85"/>
      <c r="O47" s="85" t="s">
        <v>301</v>
      </c>
      <c r="P47" s="22"/>
      <c r="U47" s="218" t="str">
        <f t="shared" si="10"/>
        <v/>
      </c>
    </row>
    <row r="48" spans="2:21">
      <c r="B48" s="2" t="s">
        <v>1678</v>
      </c>
      <c r="C48" s="61" t="s">
        <v>1679</v>
      </c>
      <c r="D48" s="61"/>
      <c r="E48" s="85" t="s">
        <v>301</v>
      </c>
      <c r="F48" s="85"/>
      <c r="G48" s="85" t="s">
        <v>301</v>
      </c>
      <c r="H48" s="85"/>
      <c r="I48" s="85" t="s">
        <v>301</v>
      </c>
      <c r="J48" s="85"/>
      <c r="K48" s="85" t="s">
        <v>301</v>
      </c>
      <c r="L48" s="85"/>
      <c r="M48" s="85" t="s">
        <v>301</v>
      </c>
      <c r="N48" s="85"/>
      <c r="O48" s="85" t="s">
        <v>301</v>
      </c>
      <c r="P48" s="22"/>
      <c r="U48" s="218" t="str">
        <f t="shared" si="10"/>
        <v/>
      </c>
    </row>
    <row r="49" spans="2:21">
      <c r="B49" s="2" t="s">
        <v>924</v>
      </c>
      <c r="C49" s="61" t="s">
        <v>920</v>
      </c>
      <c r="D49" s="61"/>
      <c r="E49" s="173" t="s">
        <v>301</v>
      </c>
      <c r="F49" s="85"/>
      <c r="G49" s="173" t="s">
        <v>301</v>
      </c>
      <c r="H49" s="85"/>
      <c r="I49" s="173" t="s">
        <v>301</v>
      </c>
      <c r="J49" s="85"/>
      <c r="K49" s="173" t="s">
        <v>301</v>
      </c>
      <c r="L49" s="85"/>
      <c r="M49" s="173" t="s">
        <v>301</v>
      </c>
      <c r="N49" s="85"/>
      <c r="O49" s="173" t="s">
        <v>301</v>
      </c>
      <c r="P49" s="22"/>
      <c r="U49" s="218" t="str">
        <f t="shared" si="10"/>
        <v/>
      </c>
    </row>
    <row r="50" spans="2:21">
      <c r="B50" s="90" t="s">
        <v>926</v>
      </c>
      <c r="C50" s="61" t="s">
        <v>925</v>
      </c>
      <c r="D50" s="61"/>
      <c r="E50" s="160">
        <v>626.9</v>
      </c>
      <c r="F50" s="85"/>
      <c r="G50" s="160">
        <v>755.4</v>
      </c>
      <c r="H50" s="85"/>
      <c r="I50" s="160">
        <v>1289.6000000000001</v>
      </c>
      <c r="J50" s="85"/>
      <c r="K50" s="160">
        <v>1009</v>
      </c>
      <c r="L50" s="85"/>
      <c r="M50" s="160">
        <v>639.6</v>
      </c>
      <c r="N50" s="85"/>
      <c r="O50" s="160">
        <v>795.4</v>
      </c>
      <c r="P50" s="22"/>
      <c r="U50" s="217">
        <v>1</v>
      </c>
    </row>
    <row r="51" spans="2:21">
      <c r="B51" s="2"/>
      <c r="C51" s="61"/>
      <c r="D51" s="61"/>
      <c r="E51" s="15"/>
      <c r="F51" s="22"/>
      <c r="G51" s="22"/>
      <c r="H51" s="22"/>
      <c r="I51" s="22"/>
      <c r="J51" s="22"/>
      <c r="K51" s="22"/>
      <c r="L51" s="22"/>
      <c r="M51" s="22"/>
      <c r="N51" s="22"/>
      <c r="O51" s="22"/>
      <c r="P51" s="22"/>
      <c r="U51" s="217">
        <v>1</v>
      </c>
    </row>
    <row r="52" spans="2:21">
      <c r="B52" s="92" t="s">
        <v>927</v>
      </c>
      <c r="C52" s="61"/>
      <c r="D52" s="61"/>
      <c r="E52" s="15"/>
      <c r="F52" s="22"/>
      <c r="G52" s="22"/>
      <c r="H52" s="22"/>
      <c r="I52" s="22"/>
      <c r="J52" s="22"/>
      <c r="K52" s="22"/>
      <c r="L52" s="22"/>
      <c r="M52" s="22"/>
      <c r="N52" s="22"/>
      <c r="O52" s="22"/>
      <c r="P52" s="22"/>
      <c r="U52" s="217">
        <v>1</v>
      </c>
    </row>
    <row r="53" spans="2:21">
      <c r="B53" s="2" t="s">
        <v>669</v>
      </c>
      <c r="C53" s="61" t="s">
        <v>28</v>
      </c>
      <c r="D53" s="61"/>
      <c r="E53" s="85">
        <v>501.1</v>
      </c>
      <c r="F53" s="93"/>
      <c r="G53" s="85">
        <v>941.5</v>
      </c>
      <c r="H53" s="93"/>
      <c r="I53" s="85">
        <v>323.8</v>
      </c>
      <c r="J53" s="93"/>
      <c r="K53" s="85">
        <v>302.40000000000003</v>
      </c>
      <c r="L53" s="93"/>
      <c r="M53" s="85">
        <v>420.5</v>
      </c>
      <c r="N53" s="93"/>
      <c r="O53" s="85">
        <v>471.5</v>
      </c>
      <c r="P53" s="250"/>
      <c r="U53" s="218">
        <f t="shared" ref="U53:U80" si="11">IF(COUNT(E53:P53)&lt;&gt;0,1,"")</f>
        <v>1</v>
      </c>
    </row>
    <row r="54" spans="2:21">
      <c r="B54" s="2" t="s">
        <v>803</v>
      </c>
      <c r="C54" s="61" t="s">
        <v>804</v>
      </c>
      <c r="D54" s="61"/>
      <c r="E54" s="85">
        <v>3864.7000000000003</v>
      </c>
      <c r="F54" s="93"/>
      <c r="G54" s="85">
        <v>3889.7000000000003</v>
      </c>
      <c r="H54" s="93"/>
      <c r="I54" s="85">
        <v>3939.5</v>
      </c>
      <c r="J54" s="93"/>
      <c r="K54" s="85">
        <v>3802.8</v>
      </c>
      <c r="L54" s="93"/>
      <c r="M54" s="85">
        <v>4064.2000000000003</v>
      </c>
      <c r="N54" s="93"/>
      <c r="O54" s="85">
        <v>3850.5</v>
      </c>
      <c r="P54" s="250"/>
      <c r="U54" s="218">
        <f t="shared" si="11"/>
        <v>1</v>
      </c>
    </row>
    <row r="55" spans="2:21">
      <c r="B55" s="2" t="s">
        <v>934</v>
      </c>
      <c r="C55" s="61" t="s">
        <v>928</v>
      </c>
      <c r="D55" s="61" t="s">
        <v>940</v>
      </c>
      <c r="E55" s="85">
        <v>4680.4000000000015</v>
      </c>
      <c r="F55" s="45">
        <v>107.206</v>
      </c>
      <c r="G55" s="85">
        <v>5157.7</v>
      </c>
      <c r="H55" s="45">
        <v>106.758</v>
      </c>
      <c r="I55" s="85">
        <v>4589</v>
      </c>
      <c r="J55" s="45">
        <v>107.64</v>
      </c>
      <c r="K55" s="85">
        <v>4129.7</v>
      </c>
      <c r="L55" s="45">
        <v>100.59699999999999</v>
      </c>
      <c r="M55" s="85">
        <v>4508.2</v>
      </c>
      <c r="N55" s="45">
        <v>100.524</v>
      </c>
      <c r="O55" s="85">
        <v>4344.3</v>
      </c>
      <c r="P55" s="45">
        <v>100.51600000000001</v>
      </c>
      <c r="U55" s="218">
        <f t="shared" si="11"/>
        <v>1</v>
      </c>
    </row>
    <row r="56" spans="2:21">
      <c r="B56" s="2" t="s">
        <v>935</v>
      </c>
      <c r="C56" s="61" t="s">
        <v>929</v>
      </c>
      <c r="D56" s="61" t="s">
        <v>941</v>
      </c>
      <c r="E56" s="85" t="s">
        <v>301</v>
      </c>
      <c r="F56" s="45" t="s">
        <v>301</v>
      </c>
      <c r="G56" s="85" t="s">
        <v>301</v>
      </c>
      <c r="H56" s="45" t="s">
        <v>301</v>
      </c>
      <c r="I56" s="85" t="s">
        <v>301</v>
      </c>
      <c r="J56" s="45" t="s">
        <v>301</v>
      </c>
      <c r="K56" s="85" t="s">
        <v>301</v>
      </c>
      <c r="L56" s="45" t="s">
        <v>301</v>
      </c>
      <c r="M56" s="85" t="s">
        <v>301</v>
      </c>
      <c r="N56" s="45" t="s">
        <v>301</v>
      </c>
      <c r="O56" s="85" t="s">
        <v>301</v>
      </c>
      <c r="P56" s="45" t="s">
        <v>301</v>
      </c>
      <c r="U56" s="218" t="str">
        <f t="shared" si="11"/>
        <v/>
      </c>
    </row>
    <row r="57" spans="2:21">
      <c r="B57" s="2" t="s">
        <v>936</v>
      </c>
      <c r="C57" s="61" t="s">
        <v>930</v>
      </c>
      <c r="D57" s="61" t="s">
        <v>942</v>
      </c>
      <c r="E57" s="85" t="s">
        <v>301</v>
      </c>
      <c r="F57" s="45" t="s">
        <v>301</v>
      </c>
      <c r="G57" s="85" t="s">
        <v>301</v>
      </c>
      <c r="H57" s="45" t="s">
        <v>301</v>
      </c>
      <c r="I57" s="85" t="s">
        <v>301</v>
      </c>
      <c r="J57" s="45" t="s">
        <v>301</v>
      </c>
      <c r="K57" s="85" t="s">
        <v>301</v>
      </c>
      <c r="L57" s="45" t="s">
        <v>301</v>
      </c>
      <c r="M57" s="85" t="s">
        <v>301</v>
      </c>
      <c r="N57" s="45" t="s">
        <v>301</v>
      </c>
      <c r="O57" s="85" t="s">
        <v>301</v>
      </c>
      <c r="P57" s="45" t="s">
        <v>301</v>
      </c>
      <c r="U57" s="218" t="str">
        <f t="shared" si="11"/>
        <v/>
      </c>
    </row>
    <row r="58" spans="2:21">
      <c r="B58" s="2" t="s">
        <v>937</v>
      </c>
      <c r="C58" s="61" t="s">
        <v>931</v>
      </c>
      <c r="D58" s="61" t="s">
        <v>943</v>
      </c>
      <c r="E58" s="85" t="s">
        <v>301</v>
      </c>
      <c r="F58" s="45" t="s">
        <v>301</v>
      </c>
      <c r="G58" s="85" t="s">
        <v>301</v>
      </c>
      <c r="H58" s="45" t="s">
        <v>301</v>
      </c>
      <c r="I58" s="85" t="s">
        <v>301</v>
      </c>
      <c r="J58" s="45" t="s">
        <v>301</v>
      </c>
      <c r="K58" s="85" t="s">
        <v>301</v>
      </c>
      <c r="L58" s="45" t="s">
        <v>301</v>
      </c>
      <c r="M58" s="85" t="s">
        <v>301</v>
      </c>
      <c r="N58" s="45" t="s">
        <v>301</v>
      </c>
      <c r="O58" s="85" t="s">
        <v>301</v>
      </c>
      <c r="P58" s="45" t="s">
        <v>301</v>
      </c>
      <c r="U58" s="218" t="str">
        <f t="shared" si="11"/>
        <v/>
      </c>
    </row>
    <row r="59" spans="2:21">
      <c r="B59" s="2" t="s">
        <v>938</v>
      </c>
      <c r="C59" s="61" t="s">
        <v>932</v>
      </c>
      <c r="D59" s="61" t="s">
        <v>944</v>
      </c>
      <c r="E59" s="85" t="s">
        <v>301</v>
      </c>
      <c r="F59" s="45" t="s">
        <v>301</v>
      </c>
      <c r="G59" s="85" t="s">
        <v>301</v>
      </c>
      <c r="H59" s="45" t="s">
        <v>301</v>
      </c>
      <c r="I59" s="85" t="s">
        <v>301</v>
      </c>
      <c r="J59" s="45" t="s">
        <v>301</v>
      </c>
      <c r="K59" s="85" t="s">
        <v>301</v>
      </c>
      <c r="L59" s="45" t="s">
        <v>301</v>
      </c>
      <c r="M59" s="85" t="s">
        <v>301</v>
      </c>
      <c r="N59" s="45" t="s">
        <v>301</v>
      </c>
      <c r="O59" s="85" t="s">
        <v>301</v>
      </c>
      <c r="P59" s="45" t="s">
        <v>301</v>
      </c>
      <c r="U59" s="218" t="str">
        <f t="shared" si="11"/>
        <v/>
      </c>
    </row>
    <row r="60" spans="2:21">
      <c r="B60" s="2" t="s">
        <v>939</v>
      </c>
      <c r="C60" s="61" t="s">
        <v>933</v>
      </c>
      <c r="D60" s="61" t="s">
        <v>945</v>
      </c>
      <c r="E60" s="85" t="s">
        <v>301</v>
      </c>
      <c r="F60" s="45" t="s">
        <v>301</v>
      </c>
      <c r="G60" s="85" t="s">
        <v>301</v>
      </c>
      <c r="H60" s="45" t="s">
        <v>301</v>
      </c>
      <c r="I60" s="85" t="s">
        <v>301</v>
      </c>
      <c r="J60" s="45" t="s">
        <v>301</v>
      </c>
      <c r="K60" s="85" t="s">
        <v>301</v>
      </c>
      <c r="L60" s="45" t="s">
        <v>301</v>
      </c>
      <c r="M60" s="85" t="s">
        <v>301</v>
      </c>
      <c r="N60" s="45" t="s">
        <v>301</v>
      </c>
      <c r="O60" s="85" t="s">
        <v>301</v>
      </c>
      <c r="P60" s="45" t="s">
        <v>301</v>
      </c>
      <c r="U60" s="218" t="str">
        <f t="shared" si="11"/>
        <v/>
      </c>
    </row>
    <row r="61" spans="2:21">
      <c r="B61" s="2" t="s">
        <v>729</v>
      </c>
      <c r="C61" s="61" t="s">
        <v>730</v>
      </c>
      <c r="D61" s="61" t="s">
        <v>946</v>
      </c>
      <c r="E61" s="85">
        <v>1387.7</v>
      </c>
      <c r="F61" s="45">
        <v>31.786000000000001</v>
      </c>
      <c r="G61" s="85">
        <v>1164.3</v>
      </c>
      <c r="H61" s="45">
        <v>24.1</v>
      </c>
      <c r="I61" s="85">
        <v>599.70000000000005</v>
      </c>
      <c r="J61" s="45">
        <v>14.067</v>
      </c>
      <c r="K61" s="85">
        <v>837.5</v>
      </c>
      <c r="L61" s="45">
        <v>20.401</v>
      </c>
      <c r="M61" s="85">
        <v>1217.4000000000001</v>
      </c>
      <c r="N61" s="45">
        <v>27.146000000000001</v>
      </c>
      <c r="O61" s="85">
        <v>1068.9000000000001</v>
      </c>
      <c r="P61" s="45">
        <v>24.731999999999999</v>
      </c>
      <c r="U61" s="218">
        <f t="shared" si="11"/>
        <v>1</v>
      </c>
    </row>
    <row r="62" spans="2:21">
      <c r="B62" s="2" t="s">
        <v>966</v>
      </c>
      <c r="C62" s="61" t="s">
        <v>947</v>
      </c>
      <c r="D62" s="61" t="s">
        <v>985</v>
      </c>
      <c r="E62" s="85">
        <v>513.70000000000005</v>
      </c>
      <c r="F62" s="45">
        <v>11.766</v>
      </c>
      <c r="G62" s="85">
        <v>518.5</v>
      </c>
      <c r="H62" s="45">
        <v>10.731999999999999</v>
      </c>
      <c r="I62" s="85">
        <v>516.6</v>
      </c>
      <c r="J62" s="45">
        <v>12.117000000000001</v>
      </c>
      <c r="K62" s="85">
        <v>120.9</v>
      </c>
      <c r="L62" s="45">
        <v>2.9449999999999998</v>
      </c>
      <c r="M62" s="85">
        <v>121.8</v>
      </c>
      <c r="N62" s="45">
        <v>2.7160000000000002</v>
      </c>
      <c r="O62" s="85">
        <v>111.4</v>
      </c>
      <c r="P62" s="45">
        <v>2.5779999999999998</v>
      </c>
      <c r="U62" s="218">
        <f t="shared" si="11"/>
        <v>1</v>
      </c>
    </row>
    <row r="63" spans="2:21">
      <c r="B63" s="2" t="s">
        <v>967</v>
      </c>
      <c r="C63" s="61" t="s">
        <v>948</v>
      </c>
      <c r="D63" s="61" t="s">
        <v>986</v>
      </c>
      <c r="E63" s="85">
        <v>2464.4</v>
      </c>
      <c r="F63" s="45">
        <v>56.448</v>
      </c>
      <c r="G63" s="85">
        <v>3148.4</v>
      </c>
      <c r="H63" s="45">
        <v>65.168000000000006</v>
      </c>
      <c r="I63" s="85">
        <v>3147</v>
      </c>
      <c r="J63" s="45">
        <v>73.816000000000003</v>
      </c>
      <c r="K63" s="85">
        <v>3146.8</v>
      </c>
      <c r="L63" s="45">
        <v>76.653999999999996</v>
      </c>
      <c r="M63" s="85">
        <v>3145.5</v>
      </c>
      <c r="N63" s="45">
        <v>70.138000000000005</v>
      </c>
      <c r="O63" s="85">
        <v>3141.7000000000003</v>
      </c>
      <c r="P63" s="45">
        <v>72.691000000000003</v>
      </c>
      <c r="U63" s="218">
        <f t="shared" si="11"/>
        <v>1</v>
      </c>
    </row>
    <row r="64" spans="2:21">
      <c r="B64" s="2" t="s">
        <v>968</v>
      </c>
      <c r="C64" s="61" t="s">
        <v>949</v>
      </c>
      <c r="D64" s="61" t="s">
        <v>987</v>
      </c>
      <c r="E64" s="85">
        <v>982</v>
      </c>
      <c r="F64" s="45">
        <v>22.492999999999999</v>
      </c>
      <c r="G64" s="85">
        <v>162.80000000000001</v>
      </c>
      <c r="H64" s="45">
        <v>3.37</v>
      </c>
      <c r="I64" s="85">
        <v>132.4</v>
      </c>
      <c r="J64" s="45">
        <v>3.1059999999999999</v>
      </c>
      <c r="K64" s="85">
        <v>98</v>
      </c>
      <c r="L64" s="45">
        <v>2.387</v>
      </c>
      <c r="M64" s="85">
        <v>108.2</v>
      </c>
      <c r="N64" s="45">
        <v>2.4129999999999998</v>
      </c>
      <c r="O64" s="85">
        <v>116.9</v>
      </c>
      <c r="P64" s="45">
        <v>2.7050000000000001</v>
      </c>
      <c r="U64" s="218">
        <f t="shared" si="11"/>
        <v>1</v>
      </c>
    </row>
    <row r="65" spans="2:21">
      <c r="B65" s="2" t="s">
        <v>969</v>
      </c>
      <c r="C65" s="61" t="s">
        <v>950</v>
      </c>
      <c r="D65" s="61" t="s">
        <v>988</v>
      </c>
      <c r="E65" s="85">
        <v>153.20000000000002</v>
      </c>
      <c r="F65" s="45">
        <v>3.5089999999999999</v>
      </c>
      <c r="G65" s="85">
        <v>148.70000000000002</v>
      </c>
      <c r="H65" s="45">
        <v>3.0779999999999998</v>
      </c>
      <c r="I65" s="85">
        <v>147.6</v>
      </c>
      <c r="J65" s="45">
        <v>3.4620000000000002</v>
      </c>
      <c r="K65" s="85">
        <v>147.6</v>
      </c>
      <c r="L65" s="45">
        <v>3.5950000000000002</v>
      </c>
      <c r="M65" s="85">
        <v>149</v>
      </c>
      <c r="N65" s="45">
        <v>3.3220000000000001</v>
      </c>
      <c r="O65" s="85">
        <v>142.9</v>
      </c>
      <c r="P65" s="45">
        <v>3.306</v>
      </c>
      <c r="U65" s="218">
        <f t="shared" si="11"/>
        <v>1</v>
      </c>
    </row>
    <row r="66" spans="2:21">
      <c r="B66" s="2" t="s">
        <v>970</v>
      </c>
      <c r="C66" s="61" t="s">
        <v>951</v>
      </c>
      <c r="D66" s="61" t="s">
        <v>989</v>
      </c>
      <c r="E66" s="85" t="s">
        <v>301</v>
      </c>
      <c r="F66" s="45" t="s">
        <v>301</v>
      </c>
      <c r="G66" s="85" t="s">
        <v>301</v>
      </c>
      <c r="H66" s="45" t="s">
        <v>301</v>
      </c>
      <c r="I66" s="85" t="s">
        <v>301</v>
      </c>
      <c r="J66" s="45" t="s">
        <v>301</v>
      </c>
      <c r="K66" s="85" t="s">
        <v>301</v>
      </c>
      <c r="L66" s="45" t="s">
        <v>301</v>
      </c>
      <c r="M66" s="85" t="s">
        <v>301</v>
      </c>
      <c r="N66" s="45" t="s">
        <v>301</v>
      </c>
      <c r="O66" s="85" t="s">
        <v>301</v>
      </c>
      <c r="P66" s="45" t="s">
        <v>301</v>
      </c>
      <c r="U66" s="218" t="str">
        <f t="shared" si="11"/>
        <v/>
      </c>
    </row>
    <row r="67" spans="2:21">
      <c r="B67" s="2" t="s">
        <v>971</v>
      </c>
      <c r="C67" s="61" t="s">
        <v>952</v>
      </c>
      <c r="D67" s="61" t="s">
        <v>990</v>
      </c>
      <c r="E67" s="85" t="s">
        <v>301</v>
      </c>
      <c r="F67" s="45" t="s">
        <v>301</v>
      </c>
      <c r="G67" s="85" t="s">
        <v>301</v>
      </c>
      <c r="H67" s="45" t="s">
        <v>301</v>
      </c>
      <c r="I67" s="85" t="s">
        <v>301</v>
      </c>
      <c r="J67" s="45" t="s">
        <v>301</v>
      </c>
      <c r="K67" s="85" t="s">
        <v>301</v>
      </c>
      <c r="L67" s="45" t="s">
        <v>301</v>
      </c>
      <c r="M67" s="85" t="s">
        <v>301</v>
      </c>
      <c r="N67" s="45" t="s">
        <v>301</v>
      </c>
      <c r="O67" s="85" t="s">
        <v>301</v>
      </c>
      <c r="P67" s="45" t="s">
        <v>301</v>
      </c>
      <c r="U67" s="218" t="str">
        <f t="shared" si="11"/>
        <v/>
      </c>
    </row>
    <row r="68" spans="2:21">
      <c r="B68" s="2" t="s">
        <v>972</v>
      </c>
      <c r="C68" s="61" t="s">
        <v>953</v>
      </c>
      <c r="D68" s="61" t="s">
        <v>991</v>
      </c>
      <c r="E68" s="85">
        <v>153.20000000000002</v>
      </c>
      <c r="F68" s="45">
        <v>3.5089999999999999</v>
      </c>
      <c r="G68" s="85">
        <v>148.70000000000002</v>
      </c>
      <c r="H68" s="45">
        <v>3.0779999999999998</v>
      </c>
      <c r="I68" s="85">
        <v>147.6</v>
      </c>
      <c r="J68" s="45">
        <v>3.4620000000000002</v>
      </c>
      <c r="K68" s="85">
        <v>147.6</v>
      </c>
      <c r="L68" s="45">
        <v>3.5950000000000002</v>
      </c>
      <c r="M68" s="85">
        <v>149</v>
      </c>
      <c r="N68" s="45">
        <v>3.3220000000000001</v>
      </c>
      <c r="O68" s="85">
        <v>142.9</v>
      </c>
      <c r="P68" s="45">
        <v>3.306</v>
      </c>
      <c r="U68" s="218">
        <f t="shared" si="11"/>
        <v>1</v>
      </c>
    </row>
    <row r="69" spans="2:21">
      <c r="B69" s="2" t="s">
        <v>973</v>
      </c>
      <c r="C69" s="61" t="s">
        <v>954</v>
      </c>
      <c r="D69" s="61" t="s">
        <v>992</v>
      </c>
      <c r="E69" s="85">
        <v>4527.2</v>
      </c>
      <c r="F69" s="45">
        <v>103.697</v>
      </c>
      <c r="G69" s="85">
        <v>5009</v>
      </c>
      <c r="H69" s="45">
        <v>103.68</v>
      </c>
      <c r="I69" s="85">
        <v>4441.4000000000015</v>
      </c>
      <c r="J69" s="45">
        <v>104.178</v>
      </c>
      <c r="K69" s="85">
        <v>3982.1</v>
      </c>
      <c r="L69" s="45">
        <v>97.001000000000005</v>
      </c>
      <c r="M69" s="85">
        <v>4359.2</v>
      </c>
      <c r="N69" s="45">
        <v>97.201999999999998</v>
      </c>
      <c r="O69" s="85">
        <v>4201.3999999999996</v>
      </c>
      <c r="P69" s="45">
        <v>97.21</v>
      </c>
      <c r="U69" s="218">
        <f t="shared" si="11"/>
        <v>1</v>
      </c>
    </row>
    <row r="70" spans="2:21">
      <c r="B70" s="2" t="s">
        <v>974</v>
      </c>
      <c r="C70" s="61" t="s">
        <v>955</v>
      </c>
      <c r="D70" s="61" t="s">
        <v>993</v>
      </c>
      <c r="E70" s="85">
        <v>2248.6</v>
      </c>
      <c r="F70" s="45">
        <v>51.505000000000003</v>
      </c>
      <c r="G70" s="85">
        <v>3748.6</v>
      </c>
      <c r="H70" s="45">
        <v>77.590999999999994</v>
      </c>
      <c r="I70" s="85">
        <v>3748.6</v>
      </c>
      <c r="J70" s="45">
        <v>87.927000000000007</v>
      </c>
      <c r="K70" s="85">
        <v>3048.1</v>
      </c>
      <c r="L70" s="45">
        <v>74.25</v>
      </c>
      <c r="M70" s="85">
        <v>3048.1</v>
      </c>
      <c r="N70" s="45">
        <v>67.966999999999999</v>
      </c>
      <c r="O70" s="85">
        <v>3048.1</v>
      </c>
      <c r="P70" s="45">
        <v>70.525000000000006</v>
      </c>
      <c r="U70" s="218">
        <f t="shared" si="11"/>
        <v>1</v>
      </c>
    </row>
    <row r="71" spans="2:21">
      <c r="B71" s="2" t="s">
        <v>975</v>
      </c>
      <c r="C71" s="61" t="s">
        <v>956</v>
      </c>
      <c r="D71" s="61" t="s">
        <v>994</v>
      </c>
      <c r="E71" s="85" t="s">
        <v>301</v>
      </c>
      <c r="F71" s="45" t="s">
        <v>301</v>
      </c>
      <c r="G71" s="85" t="s">
        <v>301</v>
      </c>
      <c r="H71" s="45" t="s">
        <v>301</v>
      </c>
      <c r="I71" s="85" t="s">
        <v>301</v>
      </c>
      <c r="J71" s="45" t="s">
        <v>301</v>
      </c>
      <c r="K71" s="85" t="s">
        <v>301</v>
      </c>
      <c r="L71" s="45" t="s">
        <v>301</v>
      </c>
      <c r="M71" s="85" t="s">
        <v>301</v>
      </c>
      <c r="N71" s="45" t="s">
        <v>301</v>
      </c>
      <c r="O71" s="85" t="s">
        <v>301</v>
      </c>
      <c r="P71" s="45" t="s">
        <v>301</v>
      </c>
      <c r="U71" s="218" t="str">
        <f t="shared" si="11"/>
        <v/>
      </c>
    </row>
    <row r="72" spans="2:21">
      <c r="B72" s="2" t="s">
        <v>976</v>
      </c>
      <c r="C72" s="61" t="s">
        <v>957</v>
      </c>
      <c r="D72" s="61" t="s">
        <v>995</v>
      </c>
      <c r="E72" s="85" t="s">
        <v>301</v>
      </c>
      <c r="F72" s="45" t="s">
        <v>301</v>
      </c>
      <c r="G72" s="85" t="s">
        <v>301</v>
      </c>
      <c r="H72" s="45" t="s">
        <v>301</v>
      </c>
      <c r="I72" s="85" t="s">
        <v>301</v>
      </c>
      <c r="J72" s="45" t="s">
        <v>301</v>
      </c>
      <c r="K72" s="85" t="s">
        <v>301</v>
      </c>
      <c r="L72" s="45" t="s">
        <v>301</v>
      </c>
      <c r="M72" s="85" t="s">
        <v>301</v>
      </c>
      <c r="N72" s="45" t="s">
        <v>301</v>
      </c>
      <c r="O72" s="85" t="s">
        <v>301</v>
      </c>
      <c r="P72" s="45" t="s">
        <v>301</v>
      </c>
      <c r="U72" s="218" t="str">
        <f t="shared" si="11"/>
        <v/>
      </c>
    </row>
    <row r="73" spans="2:21">
      <c r="B73" s="2" t="s">
        <v>977</v>
      </c>
      <c r="C73" s="61" t="s">
        <v>958</v>
      </c>
      <c r="D73" s="61" t="s">
        <v>996</v>
      </c>
      <c r="E73" s="85" t="s">
        <v>301</v>
      </c>
      <c r="F73" s="45" t="s">
        <v>301</v>
      </c>
      <c r="G73" s="85" t="s">
        <v>301</v>
      </c>
      <c r="H73" s="45" t="s">
        <v>301</v>
      </c>
      <c r="I73" s="85" t="s">
        <v>301</v>
      </c>
      <c r="J73" s="45" t="s">
        <v>301</v>
      </c>
      <c r="K73" s="85" t="s">
        <v>301</v>
      </c>
      <c r="L73" s="45" t="s">
        <v>301</v>
      </c>
      <c r="M73" s="85" t="s">
        <v>301</v>
      </c>
      <c r="N73" s="45" t="s">
        <v>301</v>
      </c>
      <c r="O73" s="85" t="s">
        <v>301</v>
      </c>
      <c r="P73" s="45" t="s">
        <v>301</v>
      </c>
      <c r="U73" s="218" t="str">
        <f t="shared" si="11"/>
        <v/>
      </c>
    </row>
    <row r="74" spans="2:21">
      <c r="B74" s="2" t="s">
        <v>978</v>
      </c>
      <c r="C74" s="61" t="s">
        <v>959</v>
      </c>
      <c r="D74" s="61" t="s">
        <v>997</v>
      </c>
      <c r="E74" s="85" t="s">
        <v>301</v>
      </c>
      <c r="F74" s="45" t="s">
        <v>301</v>
      </c>
      <c r="G74" s="85" t="s">
        <v>301</v>
      </c>
      <c r="H74" s="45" t="s">
        <v>301</v>
      </c>
      <c r="I74" s="85" t="s">
        <v>301</v>
      </c>
      <c r="J74" s="45" t="s">
        <v>301</v>
      </c>
      <c r="K74" s="85" t="s">
        <v>301</v>
      </c>
      <c r="L74" s="45" t="s">
        <v>301</v>
      </c>
      <c r="M74" s="85" t="s">
        <v>301</v>
      </c>
      <c r="N74" s="45" t="s">
        <v>301</v>
      </c>
      <c r="O74" s="85" t="s">
        <v>301</v>
      </c>
      <c r="P74" s="45" t="s">
        <v>301</v>
      </c>
      <c r="U74" s="218" t="str">
        <f t="shared" si="11"/>
        <v/>
      </c>
    </row>
    <row r="75" spans="2:21">
      <c r="B75" s="2" t="s">
        <v>979</v>
      </c>
      <c r="C75" s="61" t="s">
        <v>960</v>
      </c>
      <c r="D75" s="61" t="s">
        <v>998</v>
      </c>
      <c r="E75" s="85" t="s">
        <v>301</v>
      </c>
      <c r="F75" s="45" t="s">
        <v>301</v>
      </c>
      <c r="G75" s="85" t="s">
        <v>301</v>
      </c>
      <c r="H75" s="45" t="s">
        <v>301</v>
      </c>
      <c r="I75" s="85" t="s">
        <v>301</v>
      </c>
      <c r="J75" s="45" t="s">
        <v>301</v>
      </c>
      <c r="K75" s="85" t="s">
        <v>301</v>
      </c>
      <c r="L75" s="45" t="s">
        <v>301</v>
      </c>
      <c r="M75" s="85" t="s">
        <v>301</v>
      </c>
      <c r="N75" s="45" t="s">
        <v>301</v>
      </c>
      <c r="O75" s="85" t="s">
        <v>301</v>
      </c>
      <c r="P75" s="45" t="s">
        <v>301</v>
      </c>
      <c r="U75" s="218" t="str">
        <f t="shared" si="11"/>
        <v/>
      </c>
    </row>
    <row r="76" spans="2:21">
      <c r="B76" s="2" t="s">
        <v>980</v>
      </c>
      <c r="C76" s="61" t="s">
        <v>961</v>
      </c>
      <c r="D76" s="61" t="s">
        <v>999</v>
      </c>
      <c r="E76" s="85" t="s">
        <v>301</v>
      </c>
      <c r="F76" s="45" t="s">
        <v>301</v>
      </c>
      <c r="G76" s="85" t="s">
        <v>301</v>
      </c>
      <c r="H76" s="45" t="s">
        <v>301</v>
      </c>
      <c r="I76" s="85" t="s">
        <v>301</v>
      </c>
      <c r="J76" s="45" t="s">
        <v>301</v>
      </c>
      <c r="K76" s="85" t="s">
        <v>301</v>
      </c>
      <c r="L76" s="45" t="s">
        <v>301</v>
      </c>
      <c r="M76" s="85" t="s">
        <v>301</v>
      </c>
      <c r="N76" s="45" t="s">
        <v>301</v>
      </c>
      <c r="O76" s="85" t="s">
        <v>301</v>
      </c>
      <c r="P76" s="45" t="s">
        <v>301</v>
      </c>
      <c r="U76" s="218" t="str">
        <f t="shared" si="11"/>
        <v/>
      </c>
    </row>
    <row r="77" spans="2:21">
      <c r="B77" s="2" t="s">
        <v>981</v>
      </c>
      <c r="C77" s="61" t="s">
        <v>962</v>
      </c>
      <c r="D77" s="61" t="s">
        <v>1000</v>
      </c>
      <c r="E77" s="85">
        <v>1500</v>
      </c>
      <c r="F77" s="45">
        <v>34.357999999999997</v>
      </c>
      <c r="G77" s="85">
        <v>3000</v>
      </c>
      <c r="H77" s="45">
        <v>62.095999999999997</v>
      </c>
      <c r="I77" s="85">
        <v>3000</v>
      </c>
      <c r="J77" s="45">
        <v>70.367999999999995</v>
      </c>
      <c r="K77" s="85">
        <v>1500</v>
      </c>
      <c r="L77" s="45">
        <v>36.539000000000001</v>
      </c>
      <c r="M77" s="85">
        <v>1500</v>
      </c>
      <c r="N77" s="45">
        <v>33.447000000000003</v>
      </c>
      <c r="O77" s="85">
        <v>1500</v>
      </c>
      <c r="P77" s="45">
        <v>34.706000000000003</v>
      </c>
      <c r="U77" s="218">
        <f t="shared" si="11"/>
        <v>1</v>
      </c>
    </row>
    <row r="78" spans="2:21">
      <c r="B78" s="2" t="s">
        <v>982</v>
      </c>
      <c r="C78" s="61" t="s">
        <v>963</v>
      </c>
      <c r="D78" s="61" t="s">
        <v>1001</v>
      </c>
      <c r="E78" s="85" t="s">
        <v>301</v>
      </c>
      <c r="F78" s="45" t="s">
        <v>301</v>
      </c>
      <c r="G78" s="85" t="s">
        <v>301</v>
      </c>
      <c r="H78" s="45" t="s">
        <v>301</v>
      </c>
      <c r="I78" s="85" t="s">
        <v>301</v>
      </c>
      <c r="J78" s="45" t="s">
        <v>301</v>
      </c>
      <c r="K78" s="85" t="s">
        <v>301</v>
      </c>
      <c r="L78" s="45" t="s">
        <v>301</v>
      </c>
      <c r="M78" s="85" t="s">
        <v>301</v>
      </c>
      <c r="N78" s="45" t="s">
        <v>301</v>
      </c>
      <c r="O78" s="85" t="s">
        <v>301</v>
      </c>
      <c r="P78" s="45" t="s">
        <v>301</v>
      </c>
      <c r="U78" s="218" t="str">
        <f t="shared" si="11"/>
        <v/>
      </c>
    </row>
    <row r="79" spans="2:21">
      <c r="B79" s="2" t="s">
        <v>983</v>
      </c>
      <c r="C79" s="61" t="s">
        <v>964</v>
      </c>
      <c r="D79" s="61" t="s">
        <v>1003</v>
      </c>
      <c r="E79" s="85" t="s">
        <v>301</v>
      </c>
      <c r="F79" s="45" t="s">
        <v>301</v>
      </c>
      <c r="G79" s="85" t="s">
        <v>301</v>
      </c>
      <c r="H79" s="45" t="s">
        <v>301</v>
      </c>
      <c r="I79" s="85" t="s">
        <v>301</v>
      </c>
      <c r="J79" s="45" t="s">
        <v>301</v>
      </c>
      <c r="K79" s="85" t="s">
        <v>301</v>
      </c>
      <c r="L79" s="45" t="s">
        <v>301</v>
      </c>
      <c r="M79" s="85" t="s">
        <v>301</v>
      </c>
      <c r="N79" s="45" t="s">
        <v>301</v>
      </c>
      <c r="O79" s="85" t="s">
        <v>301</v>
      </c>
      <c r="P79" s="45" t="s">
        <v>301</v>
      </c>
      <c r="U79" s="218" t="str">
        <f t="shared" si="11"/>
        <v/>
      </c>
    </row>
    <row r="80" spans="2:21">
      <c r="B80" s="2" t="s">
        <v>984</v>
      </c>
      <c r="C80" s="61" t="s">
        <v>965</v>
      </c>
      <c r="D80" s="61" t="s">
        <v>1002</v>
      </c>
      <c r="E80" s="85">
        <v>2237.6</v>
      </c>
      <c r="F80" s="45">
        <v>51.253</v>
      </c>
      <c r="G80" s="85">
        <v>1214.2</v>
      </c>
      <c r="H80" s="45">
        <v>25.132000000000001</v>
      </c>
      <c r="I80" s="85">
        <v>649.6</v>
      </c>
      <c r="J80" s="45">
        <v>15.237</v>
      </c>
      <c r="K80" s="85">
        <v>887.4</v>
      </c>
      <c r="L80" s="45">
        <v>21.616</v>
      </c>
      <c r="M80" s="85">
        <v>1267.3</v>
      </c>
      <c r="N80" s="45">
        <v>28.257999999999999</v>
      </c>
      <c r="O80" s="85">
        <v>1118.8</v>
      </c>
      <c r="P80" s="45">
        <v>25.885999999999999</v>
      </c>
      <c r="U80" s="218">
        <f t="shared" si="11"/>
        <v>1</v>
      </c>
    </row>
    <row r="81" spans="2:21">
      <c r="B81" s="2"/>
      <c r="C81" s="61"/>
      <c r="D81" s="61"/>
      <c r="E81" s="22"/>
      <c r="F81" s="22"/>
      <c r="G81" s="22"/>
      <c r="H81" s="22"/>
      <c r="I81" s="22"/>
      <c r="J81" s="22"/>
      <c r="K81" s="22"/>
      <c r="L81" s="22"/>
      <c r="M81" s="22"/>
      <c r="N81" s="22"/>
      <c r="O81" s="22"/>
      <c r="U81" s="217">
        <v>1</v>
      </c>
    </row>
    <row r="82" spans="2:21">
      <c r="B82" s="94" t="s">
        <v>1151</v>
      </c>
      <c r="C82" s="61"/>
      <c r="D82" s="61"/>
      <c r="E82" s="22"/>
      <c r="F82" s="22"/>
      <c r="G82" s="22"/>
      <c r="H82" s="22"/>
      <c r="I82" s="22"/>
      <c r="J82" s="22"/>
      <c r="K82" s="22"/>
      <c r="L82" s="22"/>
      <c r="M82" s="22"/>
      <c r="N82" s="22"/>
      <c r="O82" s="22"/>
      <c r="U82" s="217">
        <v>1</v>
      </c>
    </row>
    <row r="83" spans="2:21">
      <c r="B83" s="2" t="s">
        <v>1055</v>
      </c>
      <c r="C83" s="61" t="s">
        <v>1004</v>
      </c>
      <c r="D83" s="61"/>
      <c r="E83" s="45">
        <v>2.93</v>
      </c>
      <c r="F83" s="45"/>
      <c r="G83" s="45">
        <v>6.085</v>
      </c>
      <c r="H83" s="45"/>
      <c r="I83" s="45">
        <v>5.7060000000000004</v>
      </c>
      <c r="J83" s="45"/>
      <c r="K83" s="45">
        <v>6.7869999999999999</v>
      </c>
      <c r="L83" s="45"/>
      <c r="M83" s="45">
        <v>6.492</v>
      </c>
      <c r="N83" s="45"/>
      <c r="O83" s="45">
        <v>5.0679999999999996</v>
      </c>
      <c r="P83" s="102"/>
      <c r="U83" s="218">
        <f t="shared" ref="U83:U98" si="12">IF(COUNT(E83:P83)&lt;&gt;0,1,"")</f>
        <v>1</v>
      </c>
    </row>
    <row r="84" spans="2:21">
      <c r="B84" s="2" t="s">
        <v>1056</v>
      </c>
      <c r="C84" s="61" t="s">
        <v>1005</v>
      </c>
      <c r="D84" s="61"/>
      <c r="E84" s="45">
        <v>3.3519999999999999</v>
      </c>
      <c r="F84" s="45"/>
      <c r="G84" s="45">
        <v>7.1210000000000004</v>
      </c>
      <c r="H84" s="45"/>
      <c r="I84" s="45">
        <v>6.93</v>
      </c>
      <c r="J84" s="45"/>
      <c r="K84" s="45">
        <v>8.1370000000000005</v>
      </c>
      <c r="L84" s="45"/>
      <c r="M84" s="45">
        <v>7.3760000000000003</v>
      </c>
      <c r="N84" s="45"/>
      <c r="O84" s="45">
        <v>5.3150000000000004</v>
      </c>
      <c r="P84" s="102"/>
      <c r="U84" s="218">
        <f t="shared" si="12"/>
        <v>1</v>
      </c>
    </row>
    <row r="85" spans="2:21">
      <c r="B85" s="2" t="s">
        <v>1057</v>
      </c>
      <c r="C85" s="61" t="s">
        <v>1006</v>
      </c>
      <c r="D85" s="61"/>
      <c r="E85" s="45">
        <v>2.5939999999999999</v>
      </c>
      <c r="F85" s="45"/>
      <c r="G85" s="45">
        <v>4.899</v>
      </c>
      <c r="H85" s="45"/>
      <c r="I85" s="45">
        <v>5.2720000000000002</v>
      </c>
      <c r="J85" s="45"/>
      <c r="K85" s="45">
        <v>6.2869999999999999</v>
      </c>
      <c r="L85" s="45"/>
      <c r="M85" s="45">
        <v>5.883</v>
      </c>
      <c r="N85" s="45"/>
      <c r="O85" s="45">
        <v>4.5149999999999997</v>
      </c>
      <c r="P85" s="102"/>
      <c r="U85" s="218">
        <f t="shared" si="12"/>
        <v>1</v>
      </c>
    </row>
    <row r="86" spans="2:21">
      <c r="B86" s="2" t="s">
        <v>1058</v>
      </c>
      <c r="C86" s="61" t="s">
        <v>1007</v>
      </c>
      <c r="D86" s="61"/>
      <c r="E86" s="45">
        <v>2.9670000000000001</v>
      </c>
      <c r="F86" s="45"/>
      <c r="G86" s="45">
        <v>5.734</v>
      </c>
      <c r="H86" s="45"/>
      <c r="I86" s="45">
        <v>6.4039999999999999</v>
      </c>
      <c r="J86" s="45"/>
      <c r="K86" s="45">
        <v>7.5380000000000003</v>
      </c>
      <c r="L86" s="45"/>
      <c r="M86" s="45">
        <v>6.6849999999999996</v>
      </c>
      <c r="N86" s="45"/>
      <c r="O86" s="45">
        <v>4.7350000000000003</v>
      </c>
      <c r="P86" s="102"/>
      <c r="U86" s="218">
        <f t="shared" si="12"/>
        <v>1</v>
      </c>
    </row>
    <row r="87" spans="2:21">
      <c r="B87" s="2" t="s">
        <v>1059</v>
      </c>
      <c r="C87" s="61" t="s">
        <v>1008</v>
      </c>
      <c r="D87" s="61"/>
      <c r="E87" s="45" t="s">
        <v>321</v>
      </c>
      <c r="F87" s="45"/>
      <c r="G87" s="45" t="s">
        <v>321</v>
      </c>
      <c r="H87" s="45"/>
      <c r="I87" s="45" t="s">
        <v>321</v>
      </c>
      <c r="J87" s="45"/>
      <c r="K87" s="45" t="s">
        <v>321</v>
      </c>
      <c r="L87" s="45"/>
      <c r="M87" s="45" t="s">
        <v>321</v>
      </c>
      <c r="N87" s="45"/>
      <c r="O87" s="45" t="s">
        <v>321</v>
      </c>
      <c r="P87" s="102"/>
      <c r="U87" s="218" t="str">
        <f t="shared" si="12"/>
        <v/>
      </c>
    </row>
    <row r="88" spans="2:21">
      <c r="B88" s="2" t="s">
        <v>1060</v>
      </c>
      <c r="C88" s="61" t="s">
        <v>1009</v>
      </c>
      <c r="D88" s="61"/>
      <c r="E88" s="45" t="s">
        <v>321</v>
      </c>
      <c r="F88" s="45"/>
      <c r="G88" s="45" t="s">
        <v>321</v>
      </c>
      <c r="H88" s="45"/>
      <c r="I88" s="45" t="s">
        <v>321</v>
      </c>
      <c r="J88" s="45"/>
      <c r="K88" s="45" t="s">
        <v>321</v>
      </c>
      <c r="L88" s="45"/>
      <c r="M88" s="45" t="s">
        <v>321</v>
      </c>
      <c r="N88" s="45"/>
      <c r="O88" s="45" t="s">
        <v>321</v>
      </c>
      <c r="P88" s="102"/>
      <c r="U88" s="218" t="str">
        <f t="shared" si="12"/>
        <v/>
      </c>
    </row>
    <row r="89" spans="2:21">
      <c r="B89" s="2" t="s">
        <v>1061</v>
      </c>
      <c r="C89" s="61" t="s">
        <v>1010</v>
      </c>
      <c r="D89" s="61"/>
      <c r="E89" s="45">
        <v>0.10299999999999999</v>
      </c>
      <c r="F89" s="45"/>
      <c r="G89" s="45">
        <v>0.187</v>
      </c>
      <c r="H89" s="45"/>
      <c r="I89" s="45">
        <v>0.19800000000000001</v>
      </c>
      <c r="J89" s="45"/>
      <c r="K89" s="45">
        <v>0.24399999999999999</v>
      </c>
      <c r="L89" s="45"/>
      <c r="M89" s="45">
        <v>0.216</v>
      </c>
      <c r="N89" s="45"/>
      <c r="O89" s="45">
        <v>0.16800000000000001</v>
      </c>
      <c r="P89" s="102"/>
      <c r="U89" s="218">
        <f t="shared" si="12"/>
        <v>1</v>
      </c>
    </row>
    <row r="90" spans="2:21">
      <c r="B90" s="2" t="s">
        <v>1062</v>
      </c>
      <c r="C90" s="61" t="s">
        <v>1011</v>
      </c>
      <c r="D90" s="61"/>
      <c r="E90" s="45">
        <v>0.11799999999999999</v>
      </c>
      <c r="F90" s="45"/>
      <c r="G90" s="45">
        <v>0.219</v>
      </c>
      <c r="H90" s="45"/>
      <c r="I90" s="45">
        <v>0.24</v>
      </c>
      <c r="J90" s="45"/>
      <c r="K90" s="45">
        <v>0.29299999999999998</v>
      </c>
      <c r="L90" s="45"/>
      <c r="M90" s="45">
        <v>0.245</v>
      </c>
      <c r="N90" s="45"/>
      <c r="O90" s="45">
        <v>0.17599999999999999</v>
      </c>
      <c r="P90" s="102"/>
      <c r="U90" s="218">
        <f t="shared" si="12"/>
        <v>1</v>
      </c>
    </row>
    <row r="91" spans="2:21">
      <c r="B91" t="s">
        <v>1063</v>
      </c>
      <c r="C91" s="61" t="s">
        <v>1012</v>
      </c>
      <c r="D91" s="61"/>
      <c r="E91" s="45" t="s">
        <v>301</v>
      </c>
      <c r="F91" s="45"/>
      <c r="G91" s="45" t="s">
        <v>301</v>
      </c>
      <c r="H91" s="45"/>
      <c r="I91" s="45" t="s">
        <v>301</v>
      </c>
      <c r="J91" s="45"/>
      <c r="K91" s="45" t="s">
        <v>301</v>
      </c>
      <c r="L91" s="45"/>
      <c r="M91" s="45" t="s">
        <v>301</v>
      </c>
      <c r="N91" s="45"/>
      <c r="O91" s="45" t="s">
        <v>301</v>
      </c>
      <c r="P91" s="102"/>
      <c r="U91" s="218" t="str">
        <f t="shared" si="12"/>
        <v/>
      </c>
    </row>
    <row r="92" spans="2:21">
      <c r="B92" t="s">
        <v>1064</v>
      </c>
      <c r="C92" s="61" t="s">
        <v>1013</v>
      </c>
      <c r="D92" s="61"/>
      <c r="E92" s="45" t="s">
        <v>301</v>
      </c>
      <c r="F92" s="45"/>
      <c r="G92" s="45" t="s">
        <v>301</v>
      </c>
      <c r="H92" s="45"/>
      <c r="I92" s="45" t="s">
        <v>301</v>
      </c>
      <c r="J92" s="45"/>
      <c r="K92" s="45" t="s">
        <v>301</v>
      </c>
      <c r="L92" s="45"/>
      <c r="M92" s="45" t="s">
        <v>301</v>
      </c>
      <c r="N92" s="45"/>
      <c r="O92" s="45" t="s">
        <v>301</v>
      </c>
      <c r="P92" s="102"/>
      <c r="U92" s="218" t="str">
        <f t="shared" si="12"/>
        <v/>
      </c>
    </row>
    <row r="93" spans="2:21">
      <c r="B93" t="s">
        <v>1065</v>
      </c>
      <c r="C93" s="61" t="s">
        <v>1014</v>
      </c>
      <c r="D93" s="61"/>
      <c r="E93" s="45" t="s">
        <v>301</v>
      </c>
      <c r="F93" s="45"/>
      <c r="G93" s="45" t="s">
        <v>301</v>
      </c>
      <c r="H93" s="45"/>
      <c r="I93" s="45" t="s">
        <v>301</v>
      </c>
      <c r="J93" s="45"/>
      <c r="K93" s="45" t="s">
        <v>301</v>
      </c>
      <c r="L93" s="45"/>
      <c r="M93" s="45" t="s">
        <v>301</v>
      </c>
      <c r="N93" s="45"/>
      <c r="O93" s="45" t="s">
        <v>301</v>
      </c>
      <c r="P93" s="102"/>
      <c r="U93" s="218" t="str">
        <f t="shared" si="12"/>
        <v/>
      </c>
    </row>
    <row r="94" spans="2:21">
      <c r="B94" t="s">
        <v>1066</v>
      </c>
      <c r="C94" s="61" t="s">
        <v>1015</v>
      </c>
      <c r="D94" s="61"/>
      <c r="E94" s="45" t="s">
        <v>301</v>
      </c>
      <c r="F94" s="45"/>
      <c r="G94" s="45" t="s">
        <v>301</v>
      </c>
      <c r="H94" s="45"/>
      <c r="I94" s="45" t="s">
        <v>301</v>
      </c>
      <c r="J94" s="45"/>
      <c r="K94" s="45" t="s">
        <v>301</v>
      </c>
      <c r="L94" s="45"/>
      <c r="M94" s="45" t="s">
        <v>301</v>
      </c>
      <c r="N94" s="45"/>
      <c r="O94" s="45" t="s">
        <v>301</v>
      </c>
      <c r="P94" s="102"/>
      <c r="U94" s="218" t="str">
        <f t="shared" si="12"/>
        <v/>
      </c>
    </row>
    <row r="95" spans="2:21">
      <c r="B95" t="s">
        <v>1067</v>
      </c>
      <c r="C95" s="61" t="s">
        <v>1016</v>
      </c>
      <c r="D95" s="61"/>
      <c r="E95" s="45" t="s">
        <v>301</v>
      </c>
      <c r="F95" s="45"/>
      <c r="G95" s="45" t="s">
        <v>301</v>
      </c>
      <c r="H95" s="45"/>
      <c r="I95" s="45" t="s">
        <v>301</v>
      </c>
      <c r="J95" s="45"/>
      <c r="K95" s="45" t="s">
        <v>301</v>
      </c>
      <c r="L95" s="45"/>
      <c r="M95" s="45" t="s">
        <v>301</v>
      </c>
      <c r="N95" s="45"/>
      <c r="O95" s="45" t="s">
        <v>301</v>
      </c>
      <c r="P95" s="102"/>
      <c r="U95" s="218" t="str">
        <f t="shared" si="12"/>
        <v/>
      </c>
    </row>
    <row r="96" spans="2:21">
      <c r="B96" t="s">
        <v>1068</v>
      </c>
      <c r="C96" s="61" t="s">
        <v>1017</v>
      </c>
      <c r="D96" s="61"/>
      <c r="E96" s="45" t="s">
        <v>301</v>
      </c>
      <c r="F96" s="45"/>
      <c r="G96" s="45" t="s">
        <v>301</v>
      </c>
      <c r="H96" s="45"/>
      <c r="I96" s="45" t="s">
        <v>301</v>
      </c>
      <c r="J96" s="45"/>
      <c r="K96" s="45" t="s">
        <v>301</v>
      </c>
      <c r="L96" s="45"/>
      <c r="M96" s="45" t="s">
        <v>301</v>
      </c>
      <c r="N96" s="45"/>
      <c r="O96" s="45" t="s">
        <v>301</v>
      </c>
      <c r="P96" s="102"/>
      <c r="U96" s="218" t="str">
        <f t="shared" si="12"/>
        <v/>
      </c>
    </row>
    <row r="97" spans="2:21">
      <c r="B97" t="s">
        <v>1069</v>
      </c>
      <c r="C97" s="61" t="s">
        <v>1018</v>
      </c>
      <c r="D97" s="61"/>
      <c r="E97" s="45" t="s">
        <v>301</v>
      </c>
      <c r="F97" s="45"/>
      <c r="G97" s="45" t="s">
        <v>301</v>
      </c>
      <c r="H97" s="45"/>
      <c r="I97" s="45" t="s">
        <v>301</v>
      </c>
      <c r="J97" s="45"/>
      <c r="K97" s="45" t="s">
        <v>301</v>
      </c>
      <c r="L97" s="45"/>
      <c r="M97" s="45" t="s">
        <v>301</v>
      </c>
      <c r="N97" s="45"/>
      <c r="O97" s="45" t="s">
        <v>301</v>
      </c>
      <c r="P97" s="102"/>
      <c r="U97" s="218" t="str">
        <f t="shared" si="12"/>
        <v/>
      </c>
    </row>
    <row r="98" spans="2:21">
      <c r="B98" t="s">
        <v>1070</v>
      </c>
      <c r="C98" s="61" t="s">
        <v>1019</v>
      </c>
      <c r="D98" s="61"/>
      <c r="E98" s="45" t="s">
        <v>301</v>
      </c>
      <c r="F98" s="45"/>
      <c r="G98" s="45" t="s">
        <v>301</v>
      </c>
      <c r="H98" s="45"/>
      <c r="I98" s="45" t="s">
        <v>301</v>
      </c>
      <c r="J98" s="45"/>
      <c r="K98" s="45" t="s">
        <v>301</v>
      </c>
      <c r="L98" s="45"/>
      <c r="M98" s="45" t="s">
        <v>301</v>
      </c>
      <c r="N98" s="45"/>
      <c r="O98" s="45" t="s">
        <v>301</v>
      </c>
      <c r="P98" s="102"/>
      <c r="U98" s="218" t="str">
        <f t="shared" si="12"/>
        <v/>
      </c>
    </row>
    <row r="99" spans="2:21">
      <c r="C99" s="61"/>
      <c r="D99" s="61"/>
      <c r="E99" s="15"/>
      <c r="F99" s="15"/>
      <c r="G99" s="15"/>
      <c r="H99" s="15"/>
      <c r="I99" s="15"/>
      <c r="J99" s="15"/>
      <c r="K99" s="15"/>
      <c r="L99" s="15"/>
      <c r="M99" s="15"/>
      <c r="N99" s="15"/>
      <c r="O99" s="15"/>
      <c r="U99" s="217">
        <v>1</v>
      </c>
    </row>
    <row r="100" spans="2:21">
      <c r="B100" s="92" t="s">
        <v>1152</v>
      </c>
      <c r="C100" s="61"/>
      <c r="D100" s="61"/>
      <c r="E100" s="15"/>
      <c r="F100" s="15"/>
      <c r="G100" s="15"/>
      <c r="H100" s="15"/>
      <c r="I100" s="15"/>
      <c r="J100" s="15"/>
      <c r="K100" s="15"/>
      <c r="L100" s="15"/>
      <c r="M100" s="15"/>
      <c r="N100" s="15"/>
      <c r="O100" s="15"/>
      <c r="U100" s="217">
        <v>1</v>
      </c>
    </row>
    <row r="101" spans="2:21">
      <c r="B101" t="s">
        <v>1626</v>
      </c>
      <c r="C101" s="61" t="s">
        <v>1020</v>
      </c>
      <c r="D101" s="61"/>
      <c r="E101" s="85" t="s">
        <v>301</v>
      </c>
      <c r="F101" s="85"/>
      <c r="G101" s="85" t="s">
        <v>301</v>
      </c>
      <c r="H101" s="85"/>
      <c r="I101" s="85" t="s">
        <v>301</v>
      </c>
      <c r="J101" s="85"/>
      <c r="K101" s="85">
        <v>95.690338000000011</v>
      </c>
      <c r="L101" s="85"/>
      <c r="M101" s="85" t="s">
        <v>301</v>
      </c>
      <c r="N101" s="85"/>
      <c r="O101" s="85" t="s">
        <v>301</v>
      </c>
      <c r="U101" s="218">
        <f t="shared" ref="U101:U107" si="13">IF(COUNT(E101:P101)&lt;&gt;0,1,"")</f>
        <v>1</v>
      </c>
    </row>
    <row r="102" spans="2:21">
      <c r="B102" t="s">
        <v>1627</v>
      </c>
      <c r="C102" s="61" t="s">
        <v>1021</v>
      </c>
      <c r="D102" s="61"/>
      <c r="E102" s="85" t="s">
        <v>301</v>
      </c>
      <c r="F102" s="85"/>
      <c r="G102" s="85" t="s">
        <v>301</v>
      </c>
      <c r="H102" s="85"/>
      <c r="I102" s="85" t="s">
        <v>301</v>
      </c>
      <c r="J102" s="85"/>
      <c r="K102" s="85" t="s">
        <v>301</v>
      </c>
      <c r="L102" s="85"/>
      <c r="M102" s="85" t="s">
        <v>301</v>
      </c>
      <c r="N102" s="85"/>
      <c r="O102" s="85" t="s">
        <v>301</v>
      </c>
      <c r="U102" s="218" t="str">
        <f t="shared" si="13"/>
        <v/>
      </c>
    </row>
    <row r="103" spans="2:21">
      <c r="B103" t="s">
        <v>1628</v>
      </c>
      <c r="C103" s="61" t="s">
        <v>1022</v>
      </c>
      <c r="D103" s="61"/>
      <c r="E103" s="85" t="s">
        <v>301</v>
      </c>
      <c r="F103" s="85"/>
      <c r="G103" s="85" t="s">
        <v>301</v>
      </c>
      <c r="H103" s="85"/>
      <c r="I103" s="85" t="s">
        <v>301</v>
      </c>
      <c r="J103" s="85"/>
      <c r="K103" s="85">
        <v>991.60972500000003</v>
      </c>
      <c r="L103" s="85"/>
      <c r="M103" s="85" t="s">
        <v>301</v>
      </c>
      <c r="N103" s="85"/>
      <c r="O103" s="85" t="s">
        <v>301</v>
      </c>
      <c r="U103" s="218">
        <f t="shared" si="13"/>
        <v>1</v>
      </c>
    </row>
    <row r="104" spans="2:21">
      <c r="B104" t="s">
        <v>1629</v>
      </c>
      <c r="C104" s="61" t="s">
        <v>1023</v>
      </c>
      <c r="D104" s="61"/>
      <c r="E104" s="85" t="s">
        <v>301</v>
      </c>
      <c r="F104" s="85"/>
      <c r="G104" s="85" t="s">
        <v>301</v>
      </c>
      <c r="H104" s="85"/>
      <c r="I104" s="85" t="s">
        <v>301</v>
      </c>
      <c r="J104" s="85"/>
      <c r="K104" s="85" t="s">
        <v>301</v>
      </c>
      <c r="L104" s="85"/>
      <c r="M104" s="85" t="s">
        <v>301</v>
      </c>
      <c r="N104" s="85"/>
      <c r="O104" s="85" t="s">
        <v>301</v>
      </c>
      <c r="U104" s="218" t="str">
        <f t="shared" si="13"/>
        <v/>
      </c>
    </row>
    <row r="105" spans="2:21">
      <c r="B105" t="s">
        <v>1630</v>
      </c>
      <c r="C105" s="61" t="s">
        <v>1024</v>
      </c>
      <c r="D105" s="61"/>
      <c r="E105" s="85" t="s">
        <v>301</v>
      </c>
      <c r="F105" s="85"/>
      <c r="G105" s="85" t="s">
        <v>301</v>
      </c>
      <c r="H105" s="85"/>
      <c r="I105" s="85" t="s">
        <v>301</v>
      </c>
      <c r="J105" s="85"/>
      <c r="K105" s="85" t="s">
        <v>301</v>
      </c>
      <c r="L105" s="85"/>
      <c r="M105" s="85" t="s">
        <v>301</v>
      </c>
      <c r="N105" s="85"/>
      <c r="O105" s="85" t="s">
        <v>301</v>
      </c>
      <c r="U105" s="218" t="str">
        <f t="shared" si="13"/>
        <v/>
      </c>
    </row>
    <row r="106" spans="2:21">
      <c r="B106" t="s">
        <v>1631</v>
      </c>
      <c r="C106" s="61" t="s">
        <v>1025</v>
      </c>
      <c r="D106" s="61"/>
      <c r="E106" s="85" t="s">
        <v>301</v>
      </c>
      <c r="F106" s="85"/>
      <c r="G106" s="85" t="s">
        <v>301</v>
      </c>
      <c r="H106" s="85"/>
      <c r="I106" s="85" t="s">
        <v>301</v>
      </c>
      <c r="J106" s="85"/>
      <c r="K106" s="85">
        <v>1087.3000630000001</v>
      </c>
      <c r="L106" s="85"/>
      <c r="M106" s="85" t="s">
        <v>301</v>
      </c>
      <c r="N106" s="85"/>
      <c r="O106" s="85" t="s">
        <v>301</v>
      </c>
      <c r="U106" s="218">
        <f t="shared" si="13"/>
        <v>1</v>
      </c>
    </row>
    <row r="107" spans="2:21">
      <c r="B107" t="s">
        <v>1632</v>
      </c>
      <c r="C107" s="61" t="s">
        <v>1026</v>
      </c>
      <c r="D107" s="61"/>
      <c r="E107" s="85" t="s">
        <v>301</v>
      </c>
      <c r="F107" s="85"/>
      <c r="G107" s="85" t="s">
        <v>301</v>
      </c>
      <c r="H107" s="85"/>
      <c r="I107" s="85" t="s">
        <v>301</v>
      </c>
      <c r="J107" s="85"/>
      <c r="K107" s="85">
        <v>2032.799937</v>
      </c>
      <c r="L107" s="85"/>
      <c r="M107" s="85" t="s">
        <v>301</v>
      </c>
      <c r="N107" s="85"/>
      <c r="O107" s="85" t="s">
        <v>301</v>
      </c>
      <c r="U107" s="218">
        <f t="shared" si="13"/>
        <v>1</v>
      </c>
    </row>
    <row r="108" spans="2:21">
      <c r="C108" s="61"/>
      <c r="D108" s="61"/>
      <c r="E108" s="85"/>
      <c r="F108" s="85"/>
      <c r="G108" s="85"/>
      <c r="H108" s="85"/>
      <c r="I108" s="85"/>
      <c r="J108" s="85"/>
      <c r="K108" s="85"/>
      <c r="L108" s="85"/>
      <c r="M108" s="85"/>
      <c r="N108" s="85"/>
      <c r="O108" s="85"/>
      <c r="U108" s="217">
        <v>1</v>
      </c>
    </row>
    <row r="109" spans="2:21">
      <c r="B109" t="s">
        <v>1680</v>
      </c>
      <c r="C109" s="61" t="s">
        <v>1681</v>
      </c>
      <c r="D109" s="61"/>
      <c r="E109" s="15" t="s">
        <v>301</v>
      </c>
      <c r="F109" s="15"/>
      <c r="G109" s="15" t="s">
        <v>301</v>
      </c>
      <c r="H109" s="15"/>
      <c r="I109" s="15" t="s">
        <v>301</v>
      </c>
      <c r="J109" s="15"/>
      <c r="K109" s="15" t="s">
        <v>301</v>
      </c>
      <c r="L109" s="15"/>
      <c r="M109" s="15" t="s">
        <v>301</v>
      </c>
      <c r="N109" s="15"/>
      <c r="O109" s="15" t="s">
        <v>301</v>
      </c>
      <c r="U109" s="218" t="str">
        <f t="shared" ref="U109:U116" si="14">IF(COUNT(E109:P109)&lt;&gt;0,1,"")</f>
        <v/>
      </c>
    </row>
    <row r="110" spans="2:21">
      <c r="B110" t="s">
        <v>1633</v>
      </c>
      <c r="C110" s="61" t="s">
        <v>1027</v>
      </c>
      <c r="D110" s="61"/>
      <c r="E110" s="45" t="s">
        <v>301</v>
      </c>
      <c r="F110" s="45"/>
      <c r="G110" s="45" t="s">
        <v>301</v>
      </c>
      <c r="H110" s="45"/>
      <c r="I110" s="45" t="s">
        <v>301</v>
      </c>
      <c r="J110" s="45"/>
      <c r="K110" s="45" t="s">
        <v>301</v>
      </c>
      <c r="L110" s="45"/>
      <c r="M110" s="45" t="s">
        <v>301</v>
      </c>
      <c r="N110" s="45"/>
      <c r="O110" s="45" t="s">
        <v>301</v>
      </c>
      <c r="U110" s="218" t="str">
        <f t="shared" si="14"/>
        <v/>
      </c>
    </row>
    <row r="111" spans="2:21">
      <c r="B111" t="s">
        <v>1634</v>
      </c>
      <c r="C111" s="61" t="s">
        <v>1028</v>
      </c>
      <c r="D111" s="61"/>
      <c r="E111" s="45" t="s">
        <v>301</v>
      </c>
      <c r="F111" s="45"/>
      <c r="G111" s="45" t="s">
        <v>301</v>
      </c>
      <c r="H111" s="45"/>
      <c r="I111" s="45" t="s">
        <v>301</v>
      </c>
      <c r="J111" s="45"/>
      <c r="K111" s="45" t="s">
        <v>301</v>
      </c>
      <c r="L111" s="45"/>
      <c r="M111" s="45" t="s">
        <v>301</v>
      </c>
      <c r="N111" s="45"/>
      <c r="O111" s="45" t="s">
        <v>301</v>
      </c>
      <c r="U111" s="218" t="str">
        <f t="shared" si="14"/>
        <v/>
      </c>
    </row>
    <row r="112" spans="2:21">
      <c r="B112" t="s">
        <v>1635</v>
      </c>
      <c r="C112" s="61" t="s">
        <v>1029</v>
      </c>
      <c r="D112" s="61"/>
      <c r="E112" s="45" t="s">
        <v>301</v>
      </c>
      <c r="F112" s="45"/>
      <c r="G112" s="45" t="s">
        <v>301</v>
      </c>
      <c r="H112" s="45"/>
      <c r="I112" s="45" t="s">
        <v>301</v>
      </c>
      <c r="J112" s="45"/>
      <c r="K112" s="45" t="s">
        <v>301</v>
      </c>
      <c r="L112" s="45"/>
      <c r="M112" s="45" t="s">
        <v>301</v>
      </c>
      <c r="N112" s="45"/>
      <c r="O112" s="45" t="s">
        <v>301</v>
      </c>
      <c r="U112" s="218" t="str">
        <f t="shared" si="14"/>
        <v/>
      </c>
    </row>
    <row r="113" spans="2:21">
      <c r="B113" t="s">
        <v>1636</v>
      </c>
      <c r="C113" s="61" t="s">
        <v>1030</v>
      </c>
      <c r="D113" s="61"/>
      <c r="E113" s="45" t="s">
        <v>301</v>
      </c>
      <c r="F113" s="45"/>
      <c r="G113" s="45" t="s">
        <v>301</v>
      </c>
      <c r="H113" s="45"/>
      <c r="I113" s="45" t="s">
        <v>301</v>
      </c>
      <c r="J113" s="45"/>
      <c r="K113" s="45" t="s">
        <v>301</v>
      </c>
      <c r="L113" s="45"/>
      <c r="M113" s="45" t="s">
        <v>301</v>
      </c>
      <c r="N113" s="45"/>
      <c r="O113" s="45" t="s">
        <v>301</v>
      </c>
      <c r="U113" s="218" t="str">
        <f t="shared" si="14"/>
        <v/>
      </c>
    </row>
    <row r="114" spans="2:21">
      <c r="B114" t="s">
        <v>1637</v>
      </c>
      <c r="C114" s="61" t="s">
        <v>1031</v>
      </c>
      <c r="D114" s="61"/>
      <c r="E114" s="45" t="s">
        <v>301</v>
      </c>
      <c r="F114" s="45"/>
      <c r="G114" s="45" t="s">
        <v>301</v>
      </c>
      <c r="H114" s="45"/>
      <c r="I114" s="45" t="s">
        <v>301</v>
      </c>
      <c r="J114" s="45"/>
      <c r="K114" s="45" t="s">
        <v>301</v>
      </c>
      <c r="L114" s="45"/>
      <c r="M114" s="45" t="s">
        <v>301</v>
      </c>
      <c r="N114" s="45"/>
      <c r="O114" s="45" t="s">
        <v>301</v>
      </c>
      <c r="U114" s="218" t="str">
        <f t="shared" si="14"/>
        <v/>
      </c>
    </row>
    <row r="115" spans="2:21">
      <c r="B115" t="s">
        <v>1638</v>
      </c>
      <c r="C115" s="61" t="s">
        <v>1032</v>
      </c>
      <c r="D115" s="61"/>
      <c r="E115" s="45" t="s">
        <v>301</v>
      </c>
      <c r="F115" s="45"/>
      <c r="G115" s="45" t="s">
        <v>301</v>
      </c>
      <c r="H115" s="45"/>
      <c r="I115" s="45" t="s">
        <v>301</v>
      </c>
      <c r="J115" s="45"/>
      <c r="K115" s="45" t="s">
        <v>301</v>
      </c>
      <c r="L115" s="45"/>
      <c r="M115" s="45" t="s">
        <v>301</v>
      </c>
      <c r="N115" s="45"/>
      <c r="O115" s="45" t="s">
        <v>301</v>
      </c>
      <c r="U115" s="218" t="str">
        <f t="shared" si="14"/>
        <v/>
      </c>
    </row>
    <row r="116" spans="2:21">
      <c r="B116" t="s">
        <v>1639</v>
      </c>
      <c r="C116" s="61" t="s">
        <v>1033</v>
      </c>
      <c r="D116" s="61"/>
      <c r="E116" s="45" t="s">
        <v>301</v>
      </c>
      <c r="F116" s="45"/>
      <c r="G116" s="45" t="s">
        <v>301</v>
      </c>
      <c r="H116" s="45"/>
      <c r="I116" s="45" t="s">
        <v>301</v>
      </c>
      <c r="J116" s="45"/>
      <c r="K116" s="45" t="s">
        <v>301</v>
      </c>
      <c r="L116" s="45"/>
      <c r="M116" s="45" t="s">
        <v>301</v>
      </c>
      <c r="N116" s="45"/>
      <c r="O116" s="45" t="s">
        <v>301</v>
      </c>
      <c r="U116" s="218" t="str">
        <f t="shared" si="14"/>
        <v/>
      </c>
    </row>
    <row r="117" spans="2:21">
      <c r="C117" s="61"/>
      <c r="D117" s="61"/>
      <c r="E117" s="15"/>
      <c r="F117" s="15"/>
      <c r="G117" s="15"/>
      <c r="H117" s="15"/>
      <c r="I117" s="15"/>
      <c r="J117" s="15"/>
      <c r="K117" s="15"/>
      <c r="L117" s="15"/>
      <c r="M117" s="15"/>
      <c r="N117" s="15"/>
      <c r="O117" s="15"/>
      <c r="U117" s="217">
        <v>1</v>
      </c>
    </row>
    <row r="118" spans="2:21">
      <c r="B118" t="s">
        <v>1640</v>
      </c>
      <c r="C118" s="61" t="s">
        <v>1034</v>
      </c>
      <c r="D118" s="61"/>
      <c r="E118" s="85" t="s">
        <v>301</v>
      </c>
      <c r="F118" s="85"/>
      <c r="G118" s="85" t="s">
        <v>301</v>
      </c>
      <c r="H118" s="85"/>
      <c r="I118" s="85" t="s">
        <v>301</v>
      </c>
      <c r="J118" s="85"/>
      <c r="K118" s="85">
        <v>29.900000000000002</v>
      </c>
      <c r="L118" s="85"/>
      <c r="M118" s="85" t="s">
        <v>301</v>
      </c>
      <c r="N118" s="85"/>
      <c r="O118" s="85" t="s">
        <v>301</v>
      </c>
      <c r="U118" s="218">
        <f t="shared" ref="U118:U124" si="15">IF(COUNT(E118:P118)&lt;&gt;0,1,"")</f>
        <v>1</v>
      </c>
    </row>
    <row r="119" spans="2:21">
      <c r="B119" t="s">
        <v>1641</v>
      </c>
      <c r="C119" s="61" t="s">
        <v>1035</v>
      </c>
      <c r="D119" s="61"/>
      <c r="E119" s="85" t="s">
        <v>301</v>
      </c>
      <c r="F119" s="85"/>
      <c r="G119" s="85" t="s">
        <v>301</v>
      </c>
      <c r="H119" s="85"/>
      <c r="I119" s="85" t="s">
        <v>301</v>
      </c>
      <c r="J119" s="85"/>
      <c r="K119" s="85">
        <v>25.8</v>
      </c>
      <c r="L119" s="85"/>
      <c r="M119" s="85" t="s">
        <v>301</v>
      </c>
      <c r="N119" s="85"/>
      <c r="O119" s="85" t="s">
        <v>301</v>
      </c>
      <c r="U119" s="218">
        <f t="shared" si="15"/>
        <v>1</v>
      </c>
    </row>
    <row r="120" spans="2:21">
      <c r="B120" t="s">
        <v>1642</v>
      </c>
      <c r="C120" s="61" t="s">
        <v>1036</v>
      </c>
      <c r="D120" s="61"/>
      <c r="E120" s="85" t="s">
        <v>301</v>
      </c>
      <c r="F120" s="85"/>
      <c r="G120" s="85" t="s">
        <v>301</v>
      </c>
      <c r="H120" s="85"/>
      <c r="I120" s="85" t="s">
        <v>301</v>
      </c>
      <c r="J120" s="85"/>
      <c r="K120" s="85">
        <v>22.5</v>
      </c>
      <c r="L120" s="85"/>
      <c r="M120" s="85" t="s">
        <v>301</v>
      </c>
      <c r="N120" s="85"/>
      <c r="O120" s="85" t="s">
        <v>301</v>
      </c>
      <c r="U120" s="218">
        <f t="shared" si="15"/>
        <v>1</v>
      </c>
    </row>
    <row r="121" spans="2:21">
      <c r="B121" t="s">
        <v>1643</v>
      </c>
      <c r="C121" s="61" t="s">
        <v>1037</v>
      </c>
      <c r="D121" s="61"/>
      <c r="E121" s="85" t="s">
        <v>301</v>
      </c>
      <c r="F121" s="85"/>
      <c r="G121" s="85" t="s">
        <v>301</v>
      </c>
      <c r="H121" s="85"/>
      <c r="I121" s="85" t="s">
        <v>301</v>
      </c>
      <c r="J121" s="85"/>
      <c r="K121" s="85">
        <v>20.8</v>
      </c>
      <c r="L121" s="85"/>
      <c r="M121" s="85" t="s">
        <v>301</v>
      </c>
      <c r="N121" s="85"/>
      <c r="O121" s="85" t="s">
        <v>301</v>
      </c>
      <c r="U121" s="218">
        <f t="shared" si="15"/>
        <v>1</v>
      </c>
    </row>
    <row r="122" spans="2:21">
      <c r="B122" t="s">
        <v>1644</v>
      </c>
      <c r="C122" s="61" t="s">
        <v>1038</v>
      </c>
      <c r="D122" s="61"/>
      <c r="E122" s="85" t="s">
        <v>301</v>
      </c>
      <c r="F122" s="85"/>
      <c r="G122" s="85" t="s">
        <v>301</v>
      </c>
      <c r="H122" s="85"/>
      <c r="I122" s="85" t="s">
        <v>301</v>
      </c>
      <c r="J122" s="85"/>
      <c r="K122" s="85">
        <v>17.7</v>
      </c>
      <c r="L122" s="85"/>
      <c r="M122" s="85" t="s">
        <v>301</v>
      </c>
      <c r="N122" s="85"/>
      <c r="O122" s="85" t="s">
        <v>301</v>
      </c>
      <c r="U122" s="218">
        <f t="shared" si="15"/>
        <v>1</v>
      </c>
    </row>
    <row r="123" spans="2:21">
      <c r="B123" t="s">
        <v>1645</v>
      </c>
      <c r="C123" s="61" t="s">
        <v>1039</v>
      </c>
      <c r="D123" s="61"/>
      <c r="E123" s="85" t="s">
        <v>301</v>
      </c>
      <c r="F123" s="85"/>
      <c r="G123" s="85" t="s">
        <v>301</v>
      </c>
      <c r="H123" s="85"/>
      <c r="I123" s="85" t="s">
        <v>301</v>
      </c>
      <c r="J123" s="85"/>
      <c r="K123" s="85">
        <v>116.7</v>
      </c>
      <c r="L123" s="85"/>
      <c r="M123" s="85" t="s">
        <v>301</v>
      </c>
      <c r="N123" s="85"/>
      <c r="O123" s="85" t="s">
        <v>301</v>
      </c>
      <c r="U123" s="218">
        <f t="shared" si="15"/>
        <v>1</v>
      </c>
    </row>
    <row r="124" spans="2:21">
      <c r="B124" t="s">
        <v>1646</v>
      </c>
      <c r="C124" s="61" t="s">
        <v>1040</v>
      </c>
      <c r="D124" s="61"/>
      <c r="E124" s="85" t="s">
        <v>301</v>
      </c>
      <c r="F124" s="85"/>
      <c r="G124" s="85" t="s">
        <v>301</v>
      </c>
      <c r="H124" s="85"/>
      <c r="I124" s="85" t="s">
        <v>301</v>
      </c>
      <c r="J124" s="85"/>
      <c r="K124" s="85">
        <v>57.1</v>
      </c>
      <c r="L124" s="85"/>
      <c r="M124" s="85" t="s">
        <v>301</v>
      </c>
      <c r="N124" s="85"/>
      <c r="O124" s="85" t="s">
        <v>301</v>
      </c>
      <c r="U124" s="218">
        <f t="shared" si="15"/>
        <v>1</v>
      </c>
    </row>
    <row r="125" spans="2:21">
      <c r="C125" s="61"/>
      <c r="D125" s="61"/>
      <c r="E125" s="22"/>
      <c r="F125" s="22"/>
      <c r="G125" s="22"/>
      <c r="H125" s="22"/>
      <c r="I125" s="22"/>
      <c r="J125" s="22"/>
      <c r="K125" s="22"/>
      <c r="L125" s="22"/>
      <c r="M125" s="22"/>
      <c r="N125" s="22"/>
      <c r="O125" s="22"/>
      <c r="U125" s="217">
        <v>1</v>
      </c>
    </row>
    <row r="126" spans="2:21">
      <c r="B126" t="s">
        <v>1647</v>
      </c>
      <c r="C126" s="61" t="s">
        <v>1041</v>
      </c>
      <c r="D126" s="61"/>
      <c r="E126" s="45" t="s">
        <v>301</v>
      </c>
      <c r="F126" s="45"/>
      <c r="G126" s="45" t="s">
        <v>301</v>
      </c>
      <c r="H126" s="45"/>
      <c r="I126" s="45" t="s">
        <v>301</v>
      </c>
      <c r="J126" s="45"/>
      <c r="K126" s="45" t="s">
        <v>301</v>
      </c>
      <c r="L126" s="45"/>
      <c r="M126" s="45" t="s">
        <v>301</v>
      </c>
      <c r="N126" s="45"/>
      <c r="O126" s="45" t="s">
        <v>301</v>
      </c>
      <c r="U126" s="218" t="str">
        <f t="shared" ref="U126:U132" si="16">IF(COUNT(E126:P126)&lt;&gt;0,1,"")</f>
        <v/>
      </c>
    </row>
    <row r="127" spans="2:21">
      <c r="B127" t="s">
        <v>1648</v>
      </c>
      <c r="C127" s="61" t="s">
        <v>1042</v>
      </c>
      <c r="D127" s="61"/>
      <c r="E127" s="45" t="s">
        <v>301</v>
      </c>
      <c r="F127" s="45"/>
      <c r="G127" s="45" t="s">
        <v>301</v>
      </c>
      <c r="H127" s="45"/>
      <c r="I127" s="45" t="s">
        <v>301</v>
      </c>
      <c r="J127" s="45"/>
      <c r="K127" s="45" t="s">
        <v>301</v>
      </c>
      <c r="L127" s="45"/>
      <c r="M127" s="45" t="s">
        <v>301</v>
      </c>
      <c r="N127" s="45"/>
      <c r="O127" s="45" t="s">
        <v>301</v>
      </c>
      <c r="U127" s="218" t="str">
        <f t="shared" si="16"/>
        <v/>
      </c>
    </row>
    <row r="128" spans="2:21">
      <c r="B128" t="s">
        <v>1649</v>
      </c>
      <c r="C128" s="61" t="s">
        <v>1043</v>
      </c>
      <c r="D128" s="61"/>
      <c r="E128" s="45" t="s">
        <v>301</v>
      </c>
      <c r="F128" s="45"/>
      <c r="G128" s="45" t="s">
        <v>301</v>
      </c>
      <c r="H128" s="45"/>
      <c r="I128" s="45" t="s">
        <v>301</v>
      </c>
      <c r="J128" s="45"/>
      <c r="K128" s="45" t="s">
        <v>301</v>
      </c>
      <c r="L128" s="45"/>
      <c r="M128" s="45" t="s">
        <v>301</v>
      </c>
      <c r="N128" s="45"/>
      <c r="O128" s="45" t="s">
        <v>301</v>
      </c>
      <c r="U128" s="218" t="str">
        <f t="shared" si="16"/>
        <v/>
      </c>
    </row>
    <row r="129" spans="2:21">
      <c r="B129" t="s">
        <v>1650</v>
      </c>
      <c r="C129" s="61" t="s">
        <v>1044</v>
      </c>
      <c r="D129" s="61"/>
      <c r="E129" s="45" t="s">
        <v>301</v>
      </c>
      <c r="F129" s="45"/>
      <c r="G129" s="45" t="s">
        <v>301</v>
      </c>
      <c r="H129" s="45"/>
      <c r="I129" s="45" t="s">
        <v>301</v>
      </c>
      <c r="J129" s="45"/>
      <c r="K129" s="45" t="s">
        <v>301</v>
      </c>
      <c r="L129" s="45"/>
      <c r="M129" s="45" t="s">
        <v>301</v>
      </c>
      <c r="N129" s="45"/>
      <c r="O129" s="45" t="s">
        <v>301</v>
      </c>
      <c r="U129" s="218" t="str">
        <f t="shared" si="16"/>
        <v/>
      </c>
    </row>
    <row r="130" spans="2:21">
      <c r="B130" t="s">
        <v>1651</v>
      </c>
      <c r="C130" s="61" t="s">
        <v>1045</v>
      </c>
      <c r="D130" s="61"/>
      <c r="E130" s="45" t="s">
        <v>301</v>
      </c>
      <c r="F130" s="45"/>
      <c r="G130" s="45" t="s">
        <v>301</v>
      </c>
      <c r="H130" s="45"/>
      <c r="I130" s="45" t="s">
        <v>301</v>
      </c>
      <c r="J130" s="45"/>
      <c r="K130" s="45" t="s">
        <v>301</v>
      </c>
      <c r="L130" s="45"/>
      <c r="M130" s="45" t="s">
        <v>301</v>
      </c>
      <c r="N130" s="45"/>
      <c r="O130" s="45" t="s">
        <v>301</v>
      </c>
      <c r="U130" s="218" t="str">
        <f t="shared" si="16"/>
        <v/>
      </c>
    </row>
    <row r="131" spans="2:21">
      <c r="B131" t="s">
        <v>1652</v>
      </c>
      <c r="C131" s="61" t="s">
        <v>1046</v>
      </c>
      <c r="D131" s="61"/>
      <c r="E131" s="45" t="s">
        <v>301</v>
      </c>
      <c r="F131" s="45"/>
      <c r="G131" s="45" t="s">
        <v>301</v>
      </c>
      <c r="H131" s="45"/>
      <c r="I131" s="45" t="s">
        <v>301</v>
      </c>
      <c r="J131" s="45"/>
      <c r="K131" s="45" t="s">
        <v>301</v>
      </c>
      <c r="L131" s="45"/>
      <c r="M131" s="45" t="s">
        <v>301</v>
      </c>
      <c r="N131" s="45"/>
      <c r="O131" s="45" t="s">
        <v>301</v>
      </c>
      <c r="U131" s="218" t="str">
        <f t="shared" si="16"/>
        <v/>
      </c>
    </row>
    <row r="132" spans="2:21">
      <c r="B132" t="s">
        <v>1653</v>
      </c>
      <c r="C132" s="61" t="s">
        <v>1047</v>
      </c>
      <c r="D132" s="61"/>
      <c r="E132" s="45" t="s">
        <v>301</v>
      </c>
      <c r="F132" s="45"/>
      <c r="G132" s="45" t="s">
        <v>301</v>
      </c>
      <c r="H132" s="45"/>
      <c r="I132" s="45" t="s">
        <v>301</v>
      </c>
      <c r="J132" s="45"/>
      <c r="K132" s="45" t="s">
        <v>301</v>
      </c>
      <c r="L132" s="45"/>
      <c r="M132" s="45" t="s">
        <v>301</v>
      </c>
      <c r="N132" s="45"/>
      <c r="O132" s="45" t="s">
        <v>301</v>
      </c>
      <c r="U132" s="218" t="str">
        <f t="shared" si="16"/>
        <v/>
      </c>
    </row>
    <row r="133" spans="2:21">
      <c r="C133" s="61"/>
      <c r="D133" s="61"/>
      <c r="E133" s="3"/>
      <c r="F133" s="248"/>
      <c r="G133" s="3"/>
      <c r="H133" s="248"/>
      <c r="I133" s="248"/>
      <c r="J133" s="248"/>
      <c r="K133" s="248"/>
      <c r="L133" s="248"/>
      <c r="M133" s="248"/>
      <c r="N133" s="248"/>
      <c r="O133" s="248"/>
      <c r="U133" s="217">
        <v>1</v>
      </c>
    </row>
    <row r="134" spans="2:21">
      <c r="B134" t="s">
        <v>1654</v>
      </c>
      <c r="C134" s="61" t="s">
        <v>1048</v>
      </c>
      <c r="D134" s="61"/>
      <c r="E134" s="85" t="s">
        <v>301</v>
      </c>
      <c r="F134" s="85"/>
      <c r="G134" s="85" t="s">
        <v>301</v>
      </c>
      <c r="H134" s="85"/>
      <c r="I134" s="85" t="s">
        <v>301</v>
      </c>
      <c r="J134" s="85"/>
      <c r="K134" s="85" t="s">
        <v>301</v>
      </c>
      <c r="L134" s="85"/>
      <c r="M134" s="85" t="s">
        <v>301</v>
      </c>
      <c r="N134" s="85"/>
      <c r="O134" s="85" t="s">
        <v>301</v>
      </c>
      <c r="U134" s="218" t="str">
        <f t="shared" ref="U134:U141" si="17">IF(COUNT(E134:P134)&lt;&gt;0,1,"")</f>
        <v/>
      </c>
    </row>
    <row r="135" spans="2:21">
      <c r="B135" t="s">
        <v>1655</v>
      </c>
      <c r="C135" s="61" t="s">
        <v>1049</v>
      </c>
      <c r="D135" s="61"/>
      <c r="E135" s="85" t="s">
        <v>301</v>
      </c>
      <c r="F135" s="85"/>
      <c r="G135" s="85" t="s">
        <v>301</v>
      </c>
      <c r="H135" s="85"/>
      <c r="I135" s="85" t="s">
        <v>301</v>
      </c>
      <c r="J135" s="85"/>
      <c r="K135" s="85" t="s">
        <v>301</v>
      </c>
      <c r="L135" s="85"/>
      <c r="M135" s="85" t="s">
        <v>301</v>
      </c>
      <c r="N135" s="85"/>
      <c r="O135" s="85" t="s">
        <v>301</v>
      </c>
      <c r="U135" s="218" t="str">
        <f t="shared" si="17"/>
        <v/>
      </c>
    </row>
    <row r="136" spans="2:21">
      <c r="B136" t="s">
        <v>1656</v>
      </c>
      <c r="C136" s="61" t="s">
        <v>1050</v>
      </c>
      <c r="D136" s="61"/>
      <c r="E136" s="85" t="s">
        <v>301</v>
      </c>
      <c r="F136" s="85"/>
      <c r="G136" s="85" t="s">
        <v>301</v>
      </c>
      <c r="H136" s="85"/>
      <c r="I136" s="85" t="s">
        <v>301</v>
      </c>
      <c r="J136" s="85"/>
      <c r="K136" s="85" t="s">
        <v>301</v>
      </c>
      <c r="L136" s="85"/>
      <c r="M136" s="85" t="s">
        <v>301</v>
      </c>
      <c r="N136" s="85"/>
      <c r="O136" s="85" t="s">
        <v>301</v>
      </c>
      <c r="U136" s="218" t="str">
        <f t="shared" si="17"/>
        <v/>
      </c>
    </row>
    <row r="137" spans="2:21">
      <c r="B137" t="s">
        <v>1657</v>
      </c>
      <c r="C137" s="61" t="s">
        <v>1051</v>
      </c>
      <c r="D137" s="61"/>
      <c r="E137" s="85" t="s">
        <v>301</v>
      </c>
      <c r="F137" s="85"/>
      <c r="G137" s="85" t="s">
        <v>301</v>
      </c>
      <c r="H137" s="85"/>
      <c r="I137" s="85" t="s">
        <v>301</v>
      </c>
      <c r="J137" s="85"/>
      <c r="K137" s="85" t="s">
        <v>301</v>
      </c>
      <c r="L137" s="85"/>
      <c r="M137" s="85" t="s">
        <v>301</v>
      </c>
      <c r="N137" s="85"/>
      <c r="O137" s="85" t="s">
        <v>301</v>
      </c>
      <c r="U137" s="218" t="str">
        <f t="shared" si="17"/>
        <v/>
      </c>
    </row>
    <row r="138" spans="2:21">
      <c r="B138" t="s">
        <v>1658</v>
      </c>
      <c r="C138" s="61" t="s">
        <v>1052</v>
      </c>
      <c r="D138" s="61"/>
      <c r="E138" s="85" t="s">
        <v>301</v>
      </c>
      <c r="F138" s="85"/>
      <c r="G138" s="85" t="s">
        <v>301</v>
      </c>
      <c r="H138" s="85"/>
      <c r="I138" s="85" t="s">
        <v>301</v>
      </c>
      <c r="J138" s="85"/>
      <c r="K138" s="85" t="s">
        <v>301</v>
      </c>
      <c r="L138" s="85"/>
      <c r="M138" s="85" t="s">
        <v>301</v>
      </c>
      <c r="N138" s="85"/>
      <c r="O138" s="85" t="s">
        <v>301</v>
      </c>
      <c r="U138" s="218" t="str">
        <f t="shared" si="17"/>
        <v/>
      </c>
    </row>
    <row r="139" spans="2:21">
      <c r="B139" t="s">
        <v>1659</v>
      </c>
      <c r="C139" s="61" t="s">
        <v>1053</v>
      </c>
      <c r="D139" s="61"/>
      <c r="E139" s="85" t="s">
        <v>301</v>
      </c>
      <c r="F139" s="85"/>
      <c r="G139" s="85" t="s">
        <v>301</v>
      </c>
      <c r="H139" s="85"/>
      <c r="I139" s="85" t="s">
        <v>301</v>
      </c>
      <c r="J139" s="85"/>
      <c r="K139" s="85" t="s">
        <v>301</v>
      </c>
      <c r="L139" s="85"/>
      <c r="M139" s="85" t="s">
        <v>301</v>
      </c>
      <c r="N139" s="85"/>
      <c r="O139" s="85" t="s">
        <v>301</v>
      </c>
      <c r="U139" s="218" t="str">
        <f t="shared" si="17"/>
        <v/>
      </c>
    </row>
    <row r="140" spans="2:21">
      <c r="B140" t="s">
        <v>1660</v>
      </c>
      <c r="C140" s="61" t="s">
        <v>1054</v>
      </c>
      <c r="D140" s="61"/>
      <c r="E140" s="85" t="s">
        <v>301</v>
      </c>
      <c r="F140" s="85"/>
      <c r="G140" s="85" t="s">
        <v>301</v>
      </c>
      <c r="H140" s="85"/>
      <c r="I140" s="85" t="s">
        <v>301</v>
      </c>
      <c r="J140" s="85"/>
      <c r="K140" s="85" t="s">
        <v>301</v>
      </c>
      <c r="L140" s="85"/>
      <c r="M140" s="85" t="s">
        <v>301</v>
      </c>
      <c r="N140" s="85"/>
      <c r="O140" s="85" t="s">
        <v>301</v>
      </c>
      <c r="U140" s="218" t="str">
        <f t="shared" si="17"/>
        <v/>
      </c>
    </row>
    <row r="141" spans="2:21">
      <c r="B141" t="s">
        <v>1663</v>
      </c>
      <c r="C141" s="61" t="s">
        <v>1664</v>
      </c>
      <c r="D141" s="61"/>
      <c r="E141" s="15" t="s">
        <v>301</v>
      </c>
      <c r="F141" s="15"/>
      <c r="G141" s="15" t="s">
        <v>301</v>
      </c>
      <c r="H141" s="15"/>
      <c r="I141" s="15" t="s">
        <v>301</v>
      </c>
      <c r="J141" s="15"/>
      <c r="K141" s="15" t="s">
        <v>301</v>
      </c>
      <c r="L141" s="15"/>
      <c r="M141" s="15" t="s">
        <v>301</v>
      </c>
      <c r="N141" s="15"/>
      <c r="O141" s="15" t="s">
        <v>301</v>
      </c>
      <c r="U141" s="218" t="str">
        <f t="shared" si="17"/>
        <v/>
      </c>
    </row>
    <row r="142" spans="2:21">
      <c r="C142" s="61"/>
      <c r="D142" s="61"/>
      <c r="E142" s="248"/>
      <c r="F142" s="248"/>
      <c r="G142" s="248"/>
      <c r="H142" s="248"/>
      <c r="I142" s="248"/>
      <c r="J142" s="248"/>
      <c r="K142" s="248"/>
      <c r="L142" s="248"/>
      <c r="M142" s="248"/>
      <c r="N142" s="248"/>
      <c r="O142" s="248"/>
      <c r="U142" s="217">
        <v>1</v>
      </c>
    </row>
    <row r="143" spans="2:21">
      <c r="B143" s="92" t="s">
        <v>1153</v>
      </c>
      <c r="C143" s="61"/>
      <c r="D143" s="61"/>
      <c r="E143" s="248"/>
      <c r="F143" s="248"/>
      <c r="G143" s="248"/>
      <c r="H143" s="248"/>
      <c r="I143" s="248"/>
      <c r="J143" s="248"/>
      <c r="K143" s="248"/>
      <c r="L143" s="248"/>
      <c r="M143" s="248"/>
      <c r="N143" s="248"/>
      <c r="O143" s="248"/>
      <c r="U143" s="217" t="str">
        <f>IF(COUNT(U144:U152)&gt;1,1,"")</f>
        <v/>
      </c>
    </row>
    <row r="144" spans="2:21">
      <c r="B144" s="2" t="s">
        <v>1598</v>
      </c>
      <c r="C144" s="61" t="s">
        <v>1071</v>
      </c>
      <c r="D144" s="61"/>
      <c r="E144" s="45" t="s">
        <v>301</v>
      </c>
      <c r="F144" s="45"/>
      <c r="G144" s="45" t="s">
        <v>301</v>
      </c>
      <c r="H144" s="45"/>
      <c r="I144" s="45" t="s">
        <v>301</v>
      </c>
      <c r="J144" s="45"/>
      <c r="K144" s="45" t="s">
        <v>301</v>
      </c>
      <c r="L144" s="45"/>
      <c r="M144" s="45" t="s">
        <v>301</v>
      </c>
      <c r="N144" s="45"/>
      <c r="O144" s="45" t="s">
        <v>301</v>
      </c>
      <c r="U144" s="218" t="str">
        <f t="shared" ref="U144:U145" si="18">IF(COUNT(E144:P144)&lt;&gt;0,1,"")</f>
        <v/>
      </c>
    </row>
    <row r="145" spans="2:21">
      <c r="B145" s="2" t="s">
        <v>1599</v>
      </c>
      <c r="C145" s="61" t="s">
        <v>1072</v>
      </c>
      <c r="D145" s="61"/>
      <c r="E145" s="45" t="s">
        <v>301</v>
      </c>
      <c r="F145" s="45"/>
      <c r="G145" s="45" t="s">
        <v>301</v>
      </c>
      <c r="H145" s="45"/>
      <c r="I145" s="45" t="s">
        <v>301</v>
      </c>
      <c r="J145" s="45"/>
      <c r="K145" s="45" t="s">
        <v>301</v>
      </c>
      <c r="L145" s="45"/>
      <c r="M145" s="45" t="s">
        <v>301</v>
      </c>
      <c r="N145" s="45"/>
      <c r="O145" s="45" t="s">
        <v>301</v>
      </c>
      <c r="U145" s="218" t="str">
        <f t="shared" si="18"/>
        <v/>
      </c>
    </row>
    <row r="146" spans="2:21">
      <c r="C146" s="61"/>
      <c r="D146" s="61"/>
      <c r="E146" s="249"/>
      <c r="F146" s="249"/>
      <c r="G146" s="249"/>
      <c r="H146" s="249"/>
      <c r="I146" s="249"/>
      <c r="J146" s="249"/>
      <c r="K146" s="249"/>
      <c r="L146" s="249"/>
      <c r="M146" s="249"/>
      <c r="N146" s="249"/>
      <c r="O146" s="249"/>
      <c r="U146" s="217">
        <v>1</v>
      </c>
    </row>
    <row r="147" spans="2:21">
      <c r="B147" s="2" t="s">
        <v>1600</v>
      </c>
      <c r="C147" s="61" t="s">
        <v>1073</v>
      </c>
      <c r="D147" s="61"/>
      <c r="E147" s="45" t="s">
        <v>301</v>
      </c>
      <c r="F147" s="45"/>
      <c r="G147" s="45" t="s">
        <v>301</v>
      </c>
      <c r="H147" s="45"/>
      <c r="I147" s="45" t="s">
        <v>301</v>
      </c>
      <c r="J147" s="45"/>
      <c r="K147" s="45" t="s">
        <v>301</v>
      </c>
      <c r="L147" s="45"/>
      <c r="M147" s="45" t="s">
        <v>301</v>
      </c>
      <c r="N147" s="45"/>
      <c r="O147" s="45" t="s">
        <v>301</v>
      </c>
      <c r="U147" s="218" t="str">
        <f t="shared" ref="U147:U152" si="19">IF(COUNT(E147:P147)&lt;&gt;0,1,"")</f>
        <v/>
      </c>
    </row>
    <row r="148" spans="2:21">
      <c r="B148" s="2" t="s">
        <v>1601</v>
      </c>
      <c r="C148" s="61" t="s">
        <v>1074</v>
      </c>
      <c r="D148" s="61"/>
      <c r="E148" s="45" t="s">
        <v>301</v>
      </c>
      <c r="F148" s="45"/>
      <c r="G148" s="45" t="s">
        <v>301</v>
      </c>
      <c r="H148" s="45"/>
      <c r="I148" s="45" t="s">
        <v>301</v>
      </c>
      <c r="J148" s="45"/>
      <c r="K148" s="45" t="s">
        <v>301</v>
      </c>
      <c r="L148" s="45"/>
      <c r="M148" s="45" t="s">
        <v>301</v>
      </c>
      <c r="N148" s="45"/>
      <c r="O148" s="45" t="s">
        <v>301</v>
      </c>
      <c r="U148" s="218" t="str">
        <f t="shared" si="19"/>
        <v/>
      </c>
    </row>
    <row r="149" spans="2:21">
      <c r="B149" s="2" t="s">
        <v>1602</v>
      </c>
      <c r="C149" s="61" t="s">
        <v>1075</v>
      </c>
      <c r="D149" s="61"/>
      <c r="E149" s="45" t="s">
        <v>301</v>
      </c>
      <c r="F149" s="45"/>
      <c r="G149" s="45" t="s">
        <v>301</v>
      </c>
      <c r="H149" s="45"/>
      <c r="I149" s="45" t="s">
        <v>301</v>
      </c>
      <c r="J149" s="45"/>
      <c r="K149" s="45" t="s">
        <v>301</v>
      </c>
      <c r="L149" s="45"/>
      <c r="M149" s="45" t="s">
        <v>301</v>
      </c>
      <c r="N149" s="45"/>
      <c r="O149" s="45" t="s">
        <v>301</v>
      </c>
      <c r="U149" s="218" t="str">
        <f t="shared" si="19"/>
        <v/>
      </c>
    </row>
    <row r="150" spans="2:21">
      <c r="B150" s="2" t="s">
        <v>1603</v>
      </c>
      <c r="C150" s="61" t="s">
        <v>1076</v>
      </c>
      <c r="D150" s="61"/>
      <c r="E150" s="45" t="s">
        <v>301</v>
      </c>
      <c r="F150" s="45"/>
      <c r="G150" s="45" t="s">
        <v>301</v>
      </c>
      <c r="H150" s="45"/>
      <c r="I150" s="45" t="s">
        <v>301</v>
      </c>
      <c r="J150" s="45"/>
      <c r="K150" s="45" t="s">
        <v>301</v>
      </c>
      <c r="L150" s="45"/>
      <c r="M150" s="45" t="s">
        <v>301</v>
      </c>
      <c r="N150" s="45"/>
      <c r="O150" s="45" t="s">
        <v>301</v>
      </c>
      <c r="U150" s="218" t="str">
        <f t="shared" si="19"/>
        <v/>
      </c>
    </row>
    <row r="151" spans="2:21">
      <c r="B151" s="2" t="s">
        <v>1604</v>
      </c>
      <c r="C151" s="61" t="s">
        <v>1077</v>
      </c>
      <c r="D151" s="61"/>
      <c r="E151" s="45" t="s">
        <v>301</v>
      </c>
      <c r="F151" s="45"/>
      <c r="G151" s="45" t="s">
        <v>301</v>
      </c>
      <c r="H151" s="45"/>
      <c r="I151" s="45" t="s">
        <v>301</v>
      </c>
      <c r="J151" s="45"/>
      <c r="K151" s="45" t="s">
        <v>301</v>
      </c>
      <c r="L151" s="45"/>
      <c r="M151" s="45" t="s">
        <v>301</v>
      </c>
      <c r="N151" s="45"/>
      <c r="O151" s="45" t="s">
        <v>301</v>
      </c>
      <c r="U151" s="218" t="str">
        <f t="shared" si="19"/>
        <v/>
      </c>
    </row>
    <row r="152" spans="2:21">
      <c r="B152" s="2" t="s">
        <v>1605</v>
      </c>
      <c r="C152" s="61" t="s">
        <v>1078</v>
      </c>
      <c r="D152" s="61"/>
      <c r="E152" s="45" t="s">
        <v>301</v>
      </c>
      <c r="F152" s="45"/>
      <c r="G152" s="45" t="s">
        <v>301</v>
      </c>
      <c r="H152" s="45"/>
      <c r="I152" s="45" t="s">
        <v>301</v>
      </c>
      <c r="J152" s="45"/>
      <c r="K152" s="45" t="s">
        <v>301</v>
      </c>
      <c r="L152" s="45"/>
      <c r="M152" s="45" t="s">
        <v>301</v>
      </c>
      <c r="N152" s="45"/>
      <c r="O152" s="45" t="s">
        <v>301</v>
      </c>
      <c r="U152" s="218" t="str">
        <f t="shared" si="19"/>
        <v/>
      </c>
    </row>
    <row r="153" spans="2:21" ht="5.25" customHeight="1">
      <c r="B153" s="37"/>
      <c r="C153" s="182"/>
      <c r="D153" s="182"/>
      <c r="E153" s="182"/>
      <c r="F153" s="182"/>
      <c r="G153" s="37"/>
      <c r="H153" s="37"/>
      <c r="I153" s="37"/>
      <c r="J153" s="37"/>
      <c r="K153" s="37"/>
      <c r="L153" s="37"/>
      <c r="M153" s="37"/>
      <c r="N153" s="37"/>
      <c r="O153" s="37"/>
      <c r="P153" s="37"/>
    </row>
  </sheetData>
  <pageMargins left="0.25" right="0.25" top="0.25" bottom="0.25" header="0" footer="0"/>
  <pageSetup paperSize="9" scale="5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HideEmpty3">
                <anchor moveWithCells="1" sizeWithCells="1">
                  <from>
                    <xdr:col>5</xdr:col>
                    <xdr:colOff>731520</xdr:colOff>
                    <xdr:row>0</xdr:row>
                    <xdr:rowOff>121920</xdr:rowOff>
                  </from>
                  <to>
                    <xdr:col>7</xdr:col>
                    <xdr:colOff>0</xdr:colOff>
                    <xdr:row>2</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UnhideAll">
                <anchor moveWithCells="1" sizeWithCells="1">
                  <from>
                    <xdr:col>7</xdr:col>
                    <xdr:colOff>144780</xdr:colOff>
                    <xdr:row>0</xdr:row>
                    <xdr:rowOff>121920</xdr:rowOff>
                  </from>
                  <to>
                    <xdr:col>8</xdr:col>
                    <xdr:colOff>266700</xdr:colOff>
                    <xdr:row>2</xdr:row>
                    <xdr:rowOff>60960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2:V153"/>
  <sheetViews>
    <sheetView showGridLines="0" workbookViewId="0"/>
  </sheetViews>
  <sheetFormatPr defaultRowHeight="10.199999999999999" outlineLevelRow="1" outlineLevelCol="1"/>
  <cols>
    <col min="1" max="1" width="2" customWidth="1"/>
    <col min="2" max="2" width="36.140625" style="2" customWidth="1"/>
    <col min="3" max="3" width="28.28515625" style="2" hidden="1" customWidth="1" outlineLevel="1"/>
    <col min="4" max="4" width="16" customWidth="1" collapsed="1"/>
    <col min="5" max="16" width="13.42578125" customWidth="1"/>
    <col min="21" max="21" width="9.28515625" hidden="1" customWidth="1" outlineLevel="1"/>
    <col min="22" max="22" width="9.28515625" collapsed="1"/>
  </cols>
  <sheetData>
    <row r="2" spans="1:21">
      <c r="B2" t="s">
        <v>2275</v>
      </c>
    </row>
    <row r="3" spans="1:21">
      <c r="A3" s="47"/>
      <c r="B3" s="91"/>
      <c r="C3" s="91"/>
      <c r="D3" s="47"/>
      <c r="E3" s="47"/>
      <c r="F3" s="49"/>
      <c r="G3" s="47"/>
      <c r="H3" s="47"/>
      <c r="I3" s="47"/>
    </row>
    <row r="4" spans="1:21" ht="16.2" thickBot="1">
      <c r="A4" s="47"/>
      <c r="B4" s="50" t="str">
        <f>D11&amp;IF(D12="",""," ("&amp;D12&amp;")")</f>
        <v>FMC Corporation (NYSE:FMC) (FMC-US)</v>
      </c>
      <c r="C4" s="100"/>
      <c r="D4" s="53"/>
      <c r="E4" s="53"/>
      <c r="F4" s="53"/>
      <c r="G4" s="53"/>
      <c r="H4" s="53"/>
      <c r="I4" s="119" t="s">
        <v>2280</v>
      </c>
    </row>
    <row r="5" spans="1:21">
      <c r="A5" s="47"/>
      <c r="B5" s="54" t="str">
        <f>"Data in "&amp;Curr_Sym</f>
        <v>Data in ($M)</v>
      </c>
      <c r="C5" s="54"/>
      <c r="D5" s="47"/>
      <c r="E5" s="47"/>
      <c r="F5" s="47"/>
      <c r="G5" s="47"/>
      <c r="H5" s="47"/>
      <c r="I5" s="47"/>
    </row>
    <row r="6" spans="1:21" hidden="1" outlineLevel="1">
      <c r="A6" s="47"/>
      <c r="B6" s="56"/>
      <c r="C6" s="57" t="str">
        <f ca="1">_xll.SNL.Clients.Office.Excel.Functions.SPGTable($D$6:$I$6,$C$11:$C$152,$D$7:$I$7,"Options: Curr="&amp;Sel_Curr&amp;", Mag="&amp;Sel_Mag&amp;",ConvMethod="&amp;Sel_Conv&amp;", NA=NA, Term=en-US")</f>
        <v>SPGTable</v>
      </c>
      <c r="D6" s="59" t="str">
        <f t="shared" ref="D6:I6" si="0">Focus_Co</f>
        <v>FMC</v>
      </c>
      <c r="E6" s="59" t="str">
        <f t="shared" si="0"/>
        <v>FMC</v>
      </c>
      <c r="F6" s="59" t="str">
        <f t="shared" si="0"/>
        <v>FMC</v>
      </c>
      <c r="G6" s="59" t="str">
        <f t="shared" si="0"/>
        <v>FMC</v>
      </c>
      <c r="H6" s="59" t="str">
        <f t="shared" si="0"/>
        <v>FMC</v>
      </c>
      <c r="I6" s="59" t="str">
        <f t="shared" si="0"/>
        <v>FMC</v>
      </c>
    </row>
    <row r="7" spans="1:21" hidden="1" outlineLevel="1">
      <c r="A7" s="47"/>
      <c r="B7" s="56"/>
      <c r="C7" s="57"/>
      <c r="D7" s="59" t="str">
        <f t="shared" ref="D7:F7" si="1">LEFT(E7,LEN(E7)-1)&amp;RIGHT(E7,1)+1</f>
        <v>FQ-5</v>
      </c>
      <c r="E7" s="59" t="str">
        <f t="shared" si="1"/>
        <v>FQ-4</v>
      </c>
      <c r="F7" s="59" t="str">
        <f t="shared" si="1"/>
        <v>FQ-3</v>
      </c>
      <c r="G7" s="59" t="str">
        <f>LEFT(H7,LEN(H7)-1)&amp;RIGHT(H7,1)+1</f>
        <v>FQ-2</v>
      </c>
      <c r="H7" s="59" t="str">
        <f>VLOOKUP(Period,FormatTable,2,FALSE)</f>
        <v>FQ-1</v>
      </c>
      <c r="I7" s="59" t="str">
        <f>Period</f>
        <v>FQ0</v>
      </c>
    </row>
    <row r="8" spans="1:21" hidden="1" outlineLevel="1">
      <c r="A8" s="47"/>
      <c r="B8" s="56"/>
      <c r="C8" s="57"/>
      <c r="D8" s="209">
        <f t="shared" ref="D8:I8" ca="1" si="2">IF(Date="","",Date)</f>
        <v>45536</v>
      </c>
      <c r="E8" s="209">
        <f t="shared" ca="1" si="2"/>
        <v>45536</v>
      </c>
      <c r="F8" s="209">
        <f t="shared" ca="1" si="2"/>
        <v>45536</v>
      </c>
      <c r="G8" s="209">
        <f t="shared" ca="1" si="2"/>
        <v>45536</v>
      </c>
      <c r="H8" s="209">
        <f t="shared" ca="1" si="2"/>
        <v>45536</v>
      </c>
      <c r="I8" s="209">
        <f t="shared" ca="1" si="2"/>
        <v>45536</v>
      </c>
    </row>
    <row r="9" spans="1:21" hidden="1" outlineLevel="1">
      <c r="A9" s="47"/>
      <c r="B9" s="56"/>
      <c r="C9" s="101"/>
      <c r="D9" s="47"/>
      <c r="E9" s="47"/>
      <c r="F9" s="47"/>
      <c r="G9" s="47"/>
      <c r="H9" s="47"/>
      <c r="I9" s="47"/>
    </row>
    <row r="10" spans="1:21" hidden="1" outlineLevel="1">
      <c r="A10" s="47"/>
      <c r="B10" s="56"/>
      <c r="C10" s="101"/>
      <c r="D10" s="47"/>
      <c r="E10" s="47"/>
      <c r="F10" s="47"/>
      <c r="G10" s="47"/>
      <c r="H10" s="47"/>
      <c r="I10" s="47"/>
    </row>
    <row r="11" spans="1:21" hidden="1" outlineLevel="1">
      <c r="A11" s="47"/>
      <c r="B11" s="56"/>
      <c r="C11" s="61" t="s">
        <v>322</v>
      </c>
      <c r="D11" s="47" t="s">
        <v>2289</v>
      </c>
      <c r="E11" s="47" t="s">
        <v>2289</v>
      </c>
      <c r="F11" s="47" t="s">
        <v>2289</v>
      </c>
      <c r="G11" s="47" t="s">
        <v>2289</v>
      </c>
      <c r="H11" s="47" t="s">
        <v>2289</v>
      </c>
      <c r="I11" s="47" t="s">
        <v>2289</v>
      </c>
    </row>
    <row r="12" spans="1:21" hidden="1" outlineLevel="1">
      <c r="A12" s="47"/>
      <c r="B12" s="56"/>
      <c r="C12" s="61" t="s">
        <v>323</v>
      </c>
      <c r="D12" s="47" t="s">
        <v>2290</v>
      </c>
      <c r="E12" s="47" t="s">
        <v>2290</v>
      </c>
      <c r="F12" s="47" t="s">
        <v>2290</v>
      </c>
      <c r="G12" s="47" t="s">
        <v>2290</v>
      </c>
      <c r="H12" s="47" t="s">
        <v>2290</v>
      </c>
      <c r="I12" s="47" t="s">
        <v>2290</v>
      </c>
    </row>
    <row r="13" spans="1:21" ht="19.5" customHeight="1" collapsed="1">
      <c r="A13" s="47"/>
      <c r="B13" s="95" t="s">
        <v>325</v>
      </c>
      <c r="C13" s="61" t="s">
        <v>326</v>
      </c>
      <c r="D13" s="162">
        <v>45016</v>
      </c>
      <c r="E13" s="162">
        <v>45107</v>
      </c>
      <c r="F13" s="162">
        <v>45199</v>
      </c>
      <c r="G13" s="162">
        <v>45291</v>
      </c>
      <c r="H13" s="162">
        <v>45382</v>
      </c>
      <c r="I13" s="162">
        <v>45473</v>
      </c>
    </row>
    <row r="14" spans="1:21">
      <c r="C14" s="61"/>
      <c r="D14" s="22"/>
      <c r="E14" s="22"/>
      <c r="F14" s="22"/>
      <c r="G14" s="22"/>
      <c r="H14" s="22"/>
      <c r="I14" s="22"/>
      <c r="U14" t="s">
        <v>2274</v>
      </c>
    </row>
    <row r="15" spans="1:21">
      <c r="B15" s="95" t="s">
        <v>1109</v>
      </c>
      <c r="C15" s="61"/>
      <c r="D15" s="22"/>
      <c r="E15" s="22"/>
      <c r="F15" s="22"/>
      <c r="G15" s="22"/>
      <c r="H15" s="22"/>
      <c r="I15" s="22"/>
    </row>
    <row r="16" spans="1:21">
      <c r="B16" s="2" t="s">
        <v>1094</v>
      </c>
      <c r="C16" s="61" t="s">
        <v>1079</v>
      </c>
      <c r="D16" s="45">
        <v>6.92</v>
      </c>
      <c r="E16" s="45">
        <v>2.9449999999999998</v>
      </c>
      <c r="F16" s="45">
        <v>2.8149999999999999</v>
      </c>
      <c r="G16" s="45">
        <v>2.0470000000000002</v>
      </c>
      <c r="H16" s="45">
        <v>2.403</v>
      </c>
      <c r="I16" s="45">
        <v>3.2639999999999998</v>
      </c>
      <c r="U16" s="218">
        <f t="shared" ref="U16:U18" si="3">IF(COUNT(D16:I16)&lt;&gt;0,1,"")</f>
        <v>1</v>
      </c>
    </row>
    <row r="17" spans="2:21">
      <c r="B17" s="2" t="s">
        <v>1095</v>
      </c>
      <c r="C17" s="61" t="s">
        <v>1080</v>
      </c>
      <c r="D17" s="45">
        <v>10.792</v>
      </c>
      <c r="E17" s="45">
        <v>4.34</v>
      </c>
      <c r="F17" s="45">
        <v>4.0860000000000003</v>
      </c>
      <c r="G17" s="45">
        <v>2.907</v>
      </c>
      <c r="H17" s="45">
        <v>3.31</v>
      </c>
      <c r="I17" s="45">
        <v>4.4409999999999998</v>
      </c>
      <c r="U17" s="218">
        <f t="shared" si="3"/>
        <v>1</v>
      </c>
    </row>
    <row r="18" spans="2:21">
      <c r="B18" s="2" t="s">
        <v>1096</v>
      </c>
      <c r="C18" s="61" t="s">
        <v>1081</v>
      </c>
      <c r="D18" s="45">
        <v>24.062000000000001</v>
      </c>
      <c r="E18" s="45">
        <v>6.2750000000000004</v>
      </c>
      <c r="F18" s="45">
        <v>0.55000000000000004</v>
      </c>
      <c r="G18" s="45">
        <v>119.113</v>
      </c>
      <c r="H18" s="45">
        <v>0.85799999999999998</v>
      </c>
      <c r="I18" s="45">
        <v>26.745999999999999</v>
      </c>
      <c r="U18" s="218">
        <f t="shared" si="3"/>
        <v>1</v>
      </c>
    </row>
    <row r="19" spans="2:21">
      <c r="B19" s="2" t="s">
        <v>1097</v>
      </c>
      <c r="C19" s="61" t="s">
        <v>1082</v>
      </c>
      <c r="D19" s="45">
        <v>24.192</v>
      </c>
      <c r="E19" s="45">
        <v>6.0839999999999996</v>
      </c>
      <c r="F19" s="45">
        <v>0.57799999999999996</v>
      </c>
      <c r="G19" s="45">
        <v>119.733</v>
      </c>
      <c r="H19" s="45">
        <v>0.89900000000000002</v>
      </c>
      <c r="I19" s="45">
        <v>26.783999999999999</v>
      </c>
      <c r="U19" s="218">
        <f>IF(COUNT(D19:I19)&lt;&gt;0,1,"")</f>
        <v>1</v>
      </c>
    </row>
    <row r="20" spans="2:21">
      <c r="C20" s="61"/>
      <c r="D20" s="22"/>
      <c r="E20" s="22"/>
      <c r="F20" s="22"/>
      <c r="G20" s="22"/>
      <c r="H20" s="22"/>
      <c r="I20" s="22"/>
      <c r="U20" s="217">
        <v>1</v>
      </c>
    </row>
    <row r="21" spans="2:21">
      <c r="B21" s="95" t="s">
        <v>1110</v>
      </c>
      <c r="C21" s="61"/>
      <c r="D21" s="22"/>
      <c r="E21" s="22"/>
      <c r="F21" s="22"/>
      <c r="G21" s="22"/>
      <c r="H21" s="22"/>
      <c r="I21" s="22"/>
      <c r="U21" s="217">
        <v>1</v>
      </c>
    </row>
    <row r="22" spans="2:21">
      <c r="B22" s="2" t="s">
        <v>1098</v>
      </c>
      <c r="C22" s="61" t="s">
        <v>1083</v>
      </c>
      <c r="D22" s="45">
        <v>43.241999999999997</v>
      </c>
      <c r="E22" s="45">
        <v>42.661000000000001</v>
      </c>
      <c r="F22" s="45">
        <v>38.823</v>
      </c>
      <c r="G22" s="45">
        <v>38.015999999999998</v>
      </c>
      <c r="H22" s="45">
        <v>37.003999999999998</v>
      </c>
      <c r="I22" s="45">
        <v>38.338000000000001</v>
      </c>
      <c r="U22" s="218">
        <f t="shared" ref="U22:U33" si="4">IF(COUNT(D22:I22)&lt;&gt;0,1,"")</f>
        <v>1</v>
      </c>
    </row>
    <row r="23" spans="2:21">
      <c r="B23" s="2" t="s">
        <v>1099</v>
      </c>
      <c r="C23" s="61" t="s">
        <v>1084</v>
      </c>
      <c r="D23" s="45">
        <v>13.829000000000001</v>
      </c>
      <c r="E23" s="45">
        <v>20.265999999999998</v>
      </c>
      <c r="F23" s="45">
        <v>17.446000000000002</v>
      </c>
      <c r="G23" s="45">
        <v>14.964</v>
      </c>
      <c r="H23" s="45">
        <v>17.853999999999999</v>
      </c>
      <c r="I23" s="45">
        <v>15.871</v>
      </c>
      <c r="U23" s="218">
        <f t="shared" si="4"/>
        <v>1</v>
      </c>
    </row>
    <row r="24" spans="2:21">
      <c r="B24" s="2" t="s">
        <v>1100</v>
      </c>
      <c r="C24" s="61" t="s">
        <v>1085</v>
      </c>
      <c r="D24" s="45">
        <v>26.905999999999999</v>
      </c>
      <c r="E24" s="45">
        <v>18.492000000000001</v>
      </c>
      <c r="F24" s="45">
        <v>17.782</v>
      </c>
      <c r="G24" s="45">
        <v>12.18</v>
      </c>
      <c r="H24" s="45">
        <v>17.495000000000001</v>
      </c>
      <c r="I24" s="45">
        <v>19.423999999999999</v>
      </c>
      <c r="U24" s="218">
        <f t="shared" si="4"/>
        <v>1</v>
      </c>
    </row>
    <row r="25" spans="2:21">
      <c r="B25" s="2" t="s">
        <v>1101</v>
      </c>
      <c r="C25" s="61" t="s">
        <v>1086</v>
      </c>
      <c r="D25" s="45">
        <v>24.771000000000001</v>
      </c>
      <c r="E25" s="45">
        <v>15.337999999999999</v>
      </c>
      <c r="F25" s="45">
        <v>14.788</v>
      </c>
      <c r="G25" s="45">
        <v>9.5719999999999992</v>
      </c>
      <c r="H25" s="45">
        <v>14.303000000000001</v>
      </c>
      <c r="I25" s="45">
        <v>16.736999999999998</v>
      </c>
      <c r="U25" s="218">
        <f t="shared" si="4"/>
        <v>1</v>
      </c>
    </row>
    <row r="26" spans="2:21">
      <c r="B26" s="2" t="s">
        <v>1102</v>
      </c>
      <c r="C26" s="61" t="s">
        <v>1087</v>
      </c>
      <c r="D26" s="45">
        <v>23.581</v>
      </c>
      <c r="E26" s="45">
        <v>13.750999999999999</v>
      </c>
      <c r="F26" s="45">
        <v>13.138</v>
      </c>
      <c r="G26" s="45">
        <v>8.1760000000000002</v>
      </c>
      <c r="H26" s="45">
        <v>12.516</v>
      </c>
      <c r="I26" s="45">
        <v>15.157999999999999</v>
      </c>
      <c r="U26" s="218">
        <f t="shared" si="4"/>
        <v>1</v>
      </c>
    </row>
    <row r="27" spans="2:21">
      <c r="B27" s="2" t="s">
        <v>1103</v>
      </c>
      <c r="C27" s="61" t="s">
        <v>1088</v>
      </c>
      <c r="D27" s="45">
        <v>15.428000000000001</v>
      </c>
      <c r="E27" s="45">
        <v>5.3129999999999997</v>
      </c>
      <c r="F27" s="45">
        <v>0.46800000000000003</v>
      </c>
      <c r="G27" s="45">
        <v>100.654</v>
      </c>
      <c r="H27" s="45">
        <v>1.024</v>
      </c>
      <c r="I27" s="45">
        <v>28.698</v>
      </c>
      <c r="U27" s="218">
        <f t="shared" si="4"/>
        <v>1</v>
      </c>
    </row>
    <row r="28" spans="2:21">
      <c r="B28" s="2" t="s">
        <v>1104</v>
      </c>
      <c r="C28" s="61" t="s">
        <v>1089</v>
      </c>
      <c r="D28" s="45">
        <v>14.58</v>
      </c>
      <c r="E28" s="45">
        <v>3.0059999999999998</v>
      </c>
      <c r="F28" s="45">
        <v>-0.35599999999999998</v>
      </c>
      <c r="G28" s="45">
        <v>95.846999999999994</v>
      </c>
      <c r="H28" s="45">
        <v>-0.29399999999999998</v>
      </c>
      <c r="I28" s="45">
        <v>28.419</v>
      </c>
      <c r="U28" s="218">
        <f t="shared" si="4"/>
        <v>1</v>
      </c>
    </row>
    <row r="29" spans="2:21">
      <c r="B29" s="2" t="s">
        <v>1105</v>
      </c>
      <c r="C29" s="61" t="s">
        <v>1090</v>
      </c>
      <c r="D29" s="45">
        <v>15.406000000000001</v>
      </c>
      <c r="E29" s="45">
        <v>5.1159999999999997</v>
      </c>
      <c r="F29" s="45">
        <v>0.48899999999999999</v>
      </c>
      <c r="G29" s="45">
        <v>100.57599999999999</v>
      </c>
      <c r="H29" s="45">
        <v>1.0680000000000001</v>
      </c>
      <c r="I29" s="45">
        <v>28.602</v>
      </c>
      <c r="U29" s="218">
        <f t="shared" si="4"/>
        <v>1</v>
      </c>
    </row>
    <row r="30" spans="2:21">
      <c r="B30" s="2" t="s">
        <v>1106</v>
      </c>
      <c r="C30" s="61" t="s">
        <v>1091</v>
      </c>
      <c r="D30" s="45">
        <v>12.356</v>
      </c>
      <c r="E30" s="45">
        <v>4.4329999999999998</v>
      </c>
      <c r="F30" s="45">
        <v>4.12</v>
      </c>
      <c r="G30" s="45">
        <v>-1.9</v>
      </c>
      <c r="H30" s="45">
        <v>3.6659999999999999</v>
      </c>
      <c r="I30" s="45">
        <v>5.6360000000000001</v>
      </c>
      <c r="U30" s="218">
        <f t="shared" si="4"/>
        <v>1</v>
      </c>
    </row>
    <row r="31" spans="2:21">
      <c r="B31" s="2" t="s">
        <v>1107</v>
      </c>
      <c r="C31" s="61" t="s">
        <v>1092</v>
      </c>
      <c r="D31" s="45">
        <v>-71.807000000000002</v>
      </c>
      <c r="E31" s="45">
        <v>16.212</v>
      </c>
      <c r="F31" s="45">
        <v>2.8570000000000002</v>
      </c>
      <c r="G31" s="45">
        <v>29.021999999999998</v>
      </c>
      <c r="H31" s="45">
        <v>-10.625999999999999</v>
      </c>
      <c r="I31" s="45">
        <v>25.128</v>
      </c>
      <c r="U31" s="218">
        <f t="shared" si="4"/>
        <v>1</v>
      </c>
    </row>
    <row r="32" spans="2:21">
      <c r="B32" s="2" t="s">
        <v>1108</v>
      </c>
      <c r="C32" s="61" t="s">
        <v>1093</v>
      </c>
      <c r="D32" s="45">
        <v>-69.417000000000002</v>
      </c>
      <c r="E32" s="45">
        <v>20.186</v>
      </c>
      <c r="F32" s="45">
        <v>6.9690000000000003</v>
      </c>
      <c r="G32" s="45">
        <v>32.113999999999997</v>
      </c>
      <c r="H32" s="45">
        <v>-6.4260000000000002</v>
      </c>
      <c r="I32" s="45">
        <v>28.956</v>
      </c>
      <c r="U32" s="218">
        <f t="shared" si="4"/>
        <v>1</v>
      </c>
    </row>
    <row r="33" spans="2:21">
      <c r="B33" s="2" t="s">
        <v>1682</v>
      </c>
      <c r="C33" s="61" t="s">
        <v>1683</v>
      </c>
      <c r="D33" s="45">
        <v>3.4889999999999999</v>
      </c>
      <c r="E33" s="45">
        <v>2.8490000000000002</v>
      </c>
      <c r="F33" s="45">
        <v>3.3610000000000002</v>
      </c>
      <c r="G33" s="45">
        <v>2.19</v>
      </c>
      <c r="H33" s="45">
        <v>2.2549999999999999</v>
      </c>
      <c r="I33" s="45">
        <v>0.95299999999999996</v>
      </c>
      <c r="U33" s="218">
        <f t="shared" si="4"/>
        <v>1</v>
      </c>
    </row>
    <row r="34" spans="2:21">
      <c r="C34" s="61"/>
      <c r="D34" s="102"/>
      <c r="E34" s="102"/>
      <c r="F34" s="102"/>
      <c r="G34" s="102"/>
      <c r="H34" s="102"/>
      <c r="I34" s="102"/>
      <c r="U34" s="217">
        <v>1</v>
      </c>
    </row>
    <row r="35" spans="2:21">
      <c r="B35" s="95" t="s">
        <v>1111</v>
      </c>
      <c r="C35" s="61" t="s">
        <v>272</v>
      </c>
      <c r="D35" s="102"/>
      <c r="E35" s="102"/>
      <c r="F35" s="102"/>
      <c r="G35" s="102"/>
      <c r="H35" s="102"/>
      <c r="I35" s="102"/>
      <c r="U35" s="217">
        <v>1</v>
      </c>
    </row>
    <row r="36" spans="2:21">
      <c r="B36" s="91" t="s">
        <v>1112</v>
      </c>
      <c r="C36" s="61" t="s">
        <v>1113</v>
      </c>
      <c r="D36" s="45">
        <v>0.47</v>
      </c>
      <c r="E36" s="45">
        <v>0.34300000000000003</v>
      </c>
      <c r="F36" s="45">
        <v>0.34300000000000003</v>
      </c>
      <c r="G36" s="45">
        <v>0.40100000000000002</v>
      </c>
      <c r="H36" s="45">
        <v>0.307</v>
      </c>
      <c r="I36" s="45">
        <v>0.34499999999999997</v>
      </c>
      <c r="U36" s="218">
        <f t="shared" ref="U36:U39" si="5">IF(COUNT(D36:I36)&lt;&gt;0,1,"")</f>
        <v>1</v>
      </c>
    </row>
    <row r="37" spans="2:21">
      <c r="B37" s="91" t="s">
        <v>1114</v>
      </c>
      <c r="C37" s="61" t="s">
        <v>1115</v>
      </c>
      <c r="D37" s="45">
        <v>5.4779999999999998</v>
      </c>
      <c r="E37" s="45">
        <v>4.0979999999999999</v>
      </c>
      <c r="F37" s="45">
        <v>3.956</v>
      </c>
      <c r="G37" s="45">
        <v>4.5629999999999997</v>
      </c>
      <c r="H37" s="45">
        <v>3.645</v>
      </c>
      <c r="I37" s="45">
        <v>4.1920000000000002</v>
      </c>
      <c r="U37" s="218">
        <f t="shared" si="5"/>
        <v>1</v>
      </c>
    </row>
    <row r="38" spans="2:21">
      <c r="B38" s="91" t="s">
        <v>1116</v>
      </c>
      <c r="C38" s="61" t="s">
        <v>1117</v>
      </c>
      <c r="D38" s="45">
        <v>1.7709999999999999</v>
      </c>
      <c r="E38" s="45">
        <v>1.3560000000000001</v>
      </c>
      <c r="F38" s="45">
        <v>1.4690000000000001</v>
      </c>
      <c r="G38" s="45">
        <v>1.7410000000000001</v>
      </c>
      <c r="H38" s="45">
        <v>1.33</v>
      </c>
      <c r="I38" s="45">
        <v>1.5049999999999999</v>
      </c>
      <c r="U38" s="218">
        <f t="shared" si="5"/>
        <v>1</v>
      </c>
    </row>
    <row r="39" spans="2:21">
      <c r="B39" s="91" t="s">
        <v>1118</v>
      </c>
      <c r="C39" s="61" t="s">
        <v>1119</v>
      </c>
      <c r="D39" s="45">
        <v>1.7130000000000001</v>
      </c>
      <c r="E39" s="45">
        <v>1.1679999999999999</v>
      </c>
      <c r="F39" s="45">
        <v>1.18</v>
      </c>
      <c r="G39" s="45">
        <v>1.526</v>
      </c>
      <c r="H39" s="45">
        <v>1.397</v>
      </c>
      <c r="I39" s="45">
        <v>1.6950000000000001</v>
      </c>
      <c r="U39" s="218">
        <f t="shared" si="5"/>
        <v>1</v>
      </c>
    </row>
    <row r="40" spans="2:21">
      <c r="B40" s="130"/>
      <c r="C40" s="61" t="s">
        <v>272</v>
      </c>
      <c r="D40" s="102"/>
      <c r="E40" s="102"/>
      <c r="F40" s="102"/>
      <c r="G40" s="102"/>
      <c r="H40" s="102"/>
      <c r="I40" s="102"/>
      <c r="U40" s="217">
        <v>1</v>
      </c>
    </row>
    <row r="41" spans="2:21">
      <c r="B41" s="95" t="s">
        <v>1120</v>
      </c>
      <c r="C41" s="61" t="s">
        <v>272</v>
      </c>
      <c r="D41" s="102"/>
      <c r="E41" s="102"/>
      <c r="F41" s="102"/>
      <c r="G41" s="102"/>
      <c r="H41" s="102"/>
      <c r="I41" s="102"/>
      <c r="U41" s="217">
        <v>1</v>
      </c>
    </row>
    <row r="42" spans="2:21">
      <c r="B42" s="91" t="s">
        <v>1121</v>
      </c>
      <c r="C42" s="61" t="s">
        <v>1122</v>
      </c>
      <c r="D42" s="45">
        <v>1.29</v>
      </c>
      <c r="E42" s="45">
        <v>1.44</v>
      </c>
      <c r="F42" s="45">
        <v>1.544</v>
      </c>
      <c r="G42" s="45">
        <v>1.5149999999999999</v>
      </c>
      <c r="H42" s="45">
        <v>1.4630000000000001</v>
      </c>
      <c r="I42" s="45">
        <v>1.4790000000000001</v>
      </c>
      <c r="U42" s="218">
        <f t="shared" ref="U42:U44" si="6">IF(COUNT(D42:I42)&lt;&gt;0,1,"")</f>
        <v>1</v>
      </c>
    </row>
    <row r="43" spans="2:21">
      <c r="B43" s="91" t="s">
        <v>1123</v>
      </c>
      <c r="C43" s="61" t="s">
        <v>1124</v>
      </c>
      <c r="D43" s="45">
        <v>0.79300000000000004</v>
      </c>
      <c r="E43" s="45">
        <v>0.85599999999999998</v>
      </c>
      <c r="F43" s="45">
        <v>0.83799999999999997</v>
      </c>
      <c r="G43" s="45">
        <v>0.96</v>
      </c>
      <c r="H43" s="45">
        <v>0.91100000000000003</v>
      </c>
      <c r="I43" s="45">
        <v>0.90100000000000002</v>
      </c>
      <c r="U43" s="218">
        <f t="shared" si="6"/>
        <v>1</v>
      </c>
    </row>
    <row r="44" spans="2:21">
      <c r="B44" s="91" t="s">
        <v>1125</v>
      </c>
      <c r="C44" s="61" t="s">
        <v>1126</v>
      </c>
      <c r="D44" s="45" t="s">
        <v>321</v>
      </c>
      <c r="E44" s="45">
        <v>0.108</v>
      </c>
      <c r="F44" s="45">
        <v>7.8E-2</v>
      </c>
      <c r="G44" s="45">
        <v>0.34599999999999997</v>
      </c>
      <c r="H44" s="45" t="s">
        <v>321</v>
      </c>
      <c r="I44" s="45">
        <v>0.33500000000000002</v>
      </c>
      <c r="U44" s="218">
        <f t="shared" si="6"/>
        <v>1</v>
      </c>
    </row>
    <row r="45" spans="2:21">
      <c r="B45" s="91"/>
      <c r="C45" s="61" t="s">
        <v>272</v>
      </c>
      <c r="D45" s="102"/>
      <c r="E45" s="102"/>
      <c r="F45" s="102"/>
      <c r="G45" s="102"/>
      <c r="H45" s="102"/>
      <c r="I45" s="102"/>
      <c r="U45" s="217">
        <v>1</v>
      </c>
    </row>
    <row r="46" spans="2:21">
      <c r="B46" s="91" t="s">
        <v>1127</v>
      </c>
      <c r="C46" s="61" t="s">
        <v>1128</v>
      </c>
      <c r="D46" s="45">
        <v>203.30799999999999</v>
      </c>
      <c r="E46" s="45">
        <v>268.42099999999999</v>
      </c>
      <c r="F46" s="45">
        <v>250.51</v>
      </c>
      <c r="G46" s="45">
        <v>211.42500000000001</v>
      </c>
      <c r="H46" s="45">
        <v>273.649</v>
      </c>
      <c r="I46" s="45">
        <v>241.88499999999999</v>
      </c>
      <c r="U46" s="218">
        <f t="shared" ref="U46:U49" si="7">IF(COUNT(D46:I46)&lt;&gt;0,1,"")</f>
        <v>1</v>
      </c>
    </row>
    <row r="47" spans="2:21">
      <c r="B47" s="91" t="s">
        <v>1129</v>
      </c>
      <c r="C47" s="61" t="s">
        <v>1130</v>
      </c>
      <c r="D47" s="45">
        <v>210.108</v>
      </c>
      <c r="E47" s="45">
        <v>311.56200000000001</v>
      </c>
      <c r="F47" s="45">
        <v>311.73899999999998</v>
      </c>
      <c r="G47" s="45">
        <v>241.08600000000001</v>
      </c>
      <c r="H47" s="45">
        <v>260.56099999999998</v>
      </c>
      <c r="I47" s="45">
        <v>214.75200000000001</v>
      </c>
      <c r="U47" s="218">
        <f t="shared" si="7"/>
        <v>1</v>
      </c>
    </row>
    <row r="48" spans="2:21">
      <c r="B48" s="91" t="s">
        <v>1131</v>
      </c>
      <c r="C48" s="61" t="s">
        <v>1132</v>
      </c>
      <c r="D48" s="45">
        <v>107.185</v>
      </c>
      <c r="E48" s="45">
        <v>135.655</v>
      </c>
      <c r="F48" s="45">
        <v>147.96799999999999</v>
      </c>
      <c r="G48" s="45">
        <v>133.33000000000001</v>
      </c>
      <c r="H48" s="45">
        <v>123.009</v>
      </c>
      <c r="I48" s="45">
        <v>119.91</v>
      </c>
      <c r="U48" s="218">
        <f t="shared" si="7"/>
        <v>1</v>
      </c>
    </row>
    <row r="49" spans="2:21">
      <c r="B49" s="91" t="s">
        <v>1133</v>
      </c>
      <c r="C49" s="61" t="s">
        <v>1134</v>
      </c>
      <c r="D49" s="45">
        <v>306.23200000000003</v>
      </c>
      <c r="E49" s="45">
        <v>444.32799999999997</v>
      </c>
      <c r="F49" s="45">
        <v>414.28100000000001</v>
      </c>
      <c r="G49" s="45">
        <v>319.18</v>
      </c>
      <c r="H49" s="45">
        <v>411.20100000000002</v>
      </c>
      <c r="I49" s="45">
        <v>336.726</v>
      </c>
      <c r="U49" s="218">
        <f t="shared" si="7"/>
        <v>1</v>
      </c>
    </row>
    <row r="50" spans="2:21">
      <c r="B50" s="130"/>
      <c r="C50" s="61" t="s">
        <v>272</v>
      </c>
      <c r="D50" s="102"/>
      <c r="E50" s="102"/>
      <c r="F50" s="102"/>
      <c r="G50" s="102"/>
      <c r="H50" s="102"/>
      <c r="I50" s="102"/>
      <c r="U50" s="217">
        <v>1</v>
      </c>
    </row>
    <row r="51" spans="2:21">
      <c r="B51" s="95" t="s">
        <v>1135</v>
      </c>
      <c r="C51" s="61" t="s">
        <v>272</v>
      </c>
      <c r="D51" s="102"/>
      <c r="E51" s="102"/>
      <c r="F51" s="102"/>
      <c r="G51" s="102"/>
      <c r="H51" s="102"/>
      <c r="I51" s="102"/>
      <c r="U51" s="217">
        <v>1</v>
      </c>
    </row>
    <row r="52" spans="2:21">
      <c r="B52" s="91" t="s">
        <v>1136</v>
      </c>
      <c r="C52" s="61" t="s">
        <v>1137</v>
      </c>
      <c r="D52" s="45">
        <v>124.93300000000001</v>
      </c>
      <c r="E52" s="45">
        <v>143.04499999999999</v>
      </c>
      <c r="F52" s="45">
        <v>128.626</v>
      </c>
      <c r="G52" s="45">
        <v>92.596999999999994</v>
      </c>
      <c r="H52" s="45">
        <v>103.503</v>
      </c>
      <c r="I52" s="45">
        <v>94.352000000000004</v>
      </c>
      <c r="U52" s="218">
        <f t="shared" ref="U52:U56" si="8">IF(COUNT(D52:I52)&lt;&gt;0,1,"")</f>
        <v>1</v>
      </c>
    </row>
    <row r="53" spans="2:21">
      <c r="B53" s="91" t="s">
        <v>1138</v>
      </c>
      <c r="C53" s="61" t="s">
        <v>1139</v>
      </c>
      <c r="D53" s="45">
        <v>55.542000000000002</v>
      </c>
      <c r="E53" s="45">
        <v>58.854999999999997</v>
      </c>
      <c r="F53" s="45">
        <v>56.26</v>
      </c>
      <c r="G53" s="45">
        <v>48.078000000000003</v>
      </c>
      <c r="H53" s="45">
        <v>50.860999999999997</v>
      </c>
      <c r="I53" s="45">
        <v>48.546999999999997</v>
      </c>
      <c r="U53" s="218">
        <f t="shared" si="8"/>
        <v>1</v>
      </c>
    </row>
    <row r="54" spans="2:21">
      <c r="B54" s="91" t="s">
        <v>1140</v>
      </c>
      <c r="C54" s="61" t="s">
        <v>1257</v>
      </c>
      <c r="D54" s="45">
        <v>70.522000000000006</v>
      </c>
      <c r="E54" s="45">
        <v>93.22</v>
      </c>
      <c r="F54" s="45">
        <v>94.945999999999998</v>
      </c>
      <c r="G54" s="45">
        <v>70.978999999999999</v>
      </c>
      <c r="H54" s="45">
        <v>72.596000000000004</v>
      </c>
      <c r="I54" s="45">
        <v>68.585999999999999</v>
      </c>
      <c r="U54" s="218">
        <f t="shared" si="8"/>
        <v>1</v>
      </c>
    </row>
    <row r="55" spans="2:21">
      <c r="B55" s="91" t="s">
        <v>1141</v>
      </c>
      <c r="C55" s="61" t="s">
        <v>1258</v>
      </c>
      <c r="D55" s="45">
        <v>31.352</v>
      </c>
      <c r="E55" s="45">
        <v>38.354999999999997</v>
      </c>
      <c r="F55" s="45">
        <v>41.529000000000003</v>
      </c>
      <c r="G55" s="45">
        <v>36.853999999999999</v>
      </c>
      <c r="H55" s="45">
        <v>35.673000000000002</v>
      </c>
      <c r="I55" s="45">
        <v>35.289000000000001</v>
      </c>
      <c r="U55" s="218">
        <f t="shared" si="8"/>
        <v>1</v>
      </c>
    </row>
    <row r="56" spans="2:21">
      <c r="B56" s="91" t="s">
        <v>1142</v>
      </c>
      <c r="C56" s="61" t="s">
        <v>1259</v>
      </c>
      <c r="D56" s="45">
        <v>70.213999999999999</v>
      </c>
      <c r="E56" s="45">
        <v>71.741</v>
      </c>
      <c r="F56" s="45">
        <v>69.748000000000005</v>
      </c>
      <c r="G56" s="45">
        <v>62.826000000000001</v>
      </c>
      <c r="H56" s="45">
        <v>63.826999999999998</v>
      </c>
      <c r="I56" s="45">
        <v>62.238999999999997</v>
      </c>
      <c r="U56" s="218">
        <f t="shared" si="8"/>
        <v>1</v>
      </c>
    </row>
    <row r="57" spans="2:21">
      <c r="B57" s="91"/>
      <c r="C57" s="61" t="s">
        <v>272</v>
      </c>
      <c r="D57" s="102"/>
      <c r="E57" s="102"/>
      <c r="F57" s="102"/>
      <c r="G57" s="102"/>
      <c r="H57" s="102"/>
      <c r="I57" s="102"/>
      <c r="U57" s="217">
        <v>1</v>
      </c>
    </row>
    <row r="58" spans="2:21">
      <c r="B58" s="91" t="s">
        <v>1143</v>
      </c>
      <c r="C58" s="61" t="s">
        <v>1144</v>
      </c>
      <c r="D58" s="45">
        <v>6.1669999999999998</v>
      </c>
      <c r="E58" s="45">
        <v>2.1629999999999998</v>
      </c>
      <c r="F58" s="45">
        <v>1.9970000000000001</v>
      </c>
      <c r="G58" s="45">
        <v>1.653</v>
      </c>
      <c r="H58" s="45">
        <v>1.8620000000000001</v>
      </c>
      <c r="I58" s="45">
        <v>2.4750000000000001</v>
      </c>
      <c r="U58" s="218">
        <f t="shared" ref="U58:U64" si="9">IF(COUNT(D58:I58)&lt;&gt;0,1,"")</f>
        <v>1</v>
      </c>
    </row>
    <row r="59" spans="2:21">
      <c r="B59" s="91" t="s">
        <v>1145</v>
      </c>
      <c r="C59" s="61" t="s">
        <v>1146</v>
      </c>
      <c r="D59" s="45">
        <v>7.2469999999999999</v>
      </c>
      <c r="E59" s="45">
        <v>3.0779999999999998</v>
      </c>
      <c r="F59" s="45">
        <v>2.8919999999999999</v>
      </c>
      <c r="G59" s="45">
        <v>2.6669999999999998</v>
      </c>
      <c r="H59" s="45">
        <v>2.7989999999999999</v>
      </c>
      <c r="I59" s="45">
        <v>3.3519999999999999</v>
      </c>
      <c r="U59" s="218">
        <f t="shared" si="9"/>
        <v>1</v>
      </c>
    </row>
    <row r="60" spans="2:21">
      <c r="B60" s="91" t="s">
        <v>1147</v>
      </c>
      <c r="C60" s="61" t="s">
        <v>1260</v>
      </c>
      <c r="D60" s="45">
        <v>6.335</v>
      </c>
      <c r="E60" s="45">
        <v>2.629</v>
      </c>
      <c r="F60" s="45">
        <v>2.3809999999999998</v>
      </c>
      <c r="G60" s="45">
        <v>2.2240000000000002</v>
      </c>
      <c r="H60" s="45">
        <v>2.464</v>
      </c>
      <c r="I60" s="45">
        <v>3.1970000000000001</v>
      </c>
      <c r="U60" s="218">
        <f t="shared" si="9"/>
        <v>1</v>
      </c>
    </row>
    <row r="61" spans="2:21">
      <c r="B61" s="91" t="s">
        <v>1055</v>
      </c>
      <c r="C61" s="61" t="s">
        <v>1004</v>
      </c>
      <c r="D61" s="45">
        <v>2.93</v>
      </c>
      <c r="E61" s="45">
        <v>6.085</v>
      </c>
      <c r="F61" s="45">
        <v>5.7060000000000004</v>
      </c>
      <c r="G61" s="45">
        <v>6.7869999999999999</v>
      </c>
      <c r="H61" s="45">
        <v>6.492</v>
      </c>
      <c r="I61" s="45">
        <v>5.0679999999999996</v>
      </c>
      <c r="U61" s="218">
        <f t="shared" si="9"/>
        <v>1</v>
      </c>
    </row>
    <row r="62" spans="2:21">
      <c r="B62" s="91" t="s">
        <v>1057</v>
      </c>
      <c r="C62" s="61" t="s">
        <v>1006</v>
      </c>
      <c r="D62" s="45">
        <v>2.5939999999999999</v>
      </c>
      <c r="E62" s="45">
        <v>4.899</v>
      </c>
      <c r="F62" s="45">
        <v>5.2720000000000002</v>
      </c>
      <c r="G62" s="45">
        <v>6.2869999999999999</v>
      </c>
      <c r="H62" s="45">
        <v>5.883</v>
      </c>
      <c r="I62" s="45">
        <v>4.5149999999999997</v>
      </c>
      <c r="U62" s="218">
        <f t="shared" si="9"/>
        <v>1</v>
      </c>
    </row>
    <row r="63" spans="2:21">
      <c r="B63" s="91" t="s">
        <v>1148</v>
      </c>
      <c r="C63" s="61" t="s">
        <v>1005</v>
      </c>
      <c r="D63" s="45">
        <v>3.3519999999999999</v>
      </c>
      <c r="E63" s="45">
        <v>7.1210000000000004</v>
      </c>
      <c r="F63" s="45">
        <v>6.93</v>
      </c>
      <c r="G63" s="45">
        <v>8.1370000000000005</v>
      </c>
      <c r="H63" s="45">
        <v>7.3760000000000003</v>
      </c>
      <c r="I63" s="45">
        <v>5.3150000000000004</v>
      </c>
      <c r="U63" s="218">
        <f t="shared" si="9"/>
        <v>1</v>
      </c>
    </row>
    <row r="64" spans="2:21">
      <c r="B64" s="91" t="s">
        <v>1149</v>
      </c>
      <c r="C64" s="61" t="s">
        <v>1007</v>
      </c>
      <c r="D64" s="45">
        <v>2.9670000000000001</v>
      </c>
      <c r="E64" s="45">
        <v>5.734</v>
      </c>
      <c r="F64" s="45">
        <v>6.4039999999999999</v>
      </c>
      <c r="G64" s="45">
        <v>7.5380000000000003</v>
      </c>
      <c r="H64" s="45">
        <v>6.6849999999999996</v>
      </c>
      <c r="I64" s="45">
        <v>4.7350000000000003</v>
      </c>
      <c r="U64" s="218">
        <f t="shared" si="9"/>
        <v>1</v>
      </c>
    </row>
    <row r="65" spans="2:21">
      <c r="C65" s="61"/>
      <c r="D65" s="102"/>
      <c r="E65" s="102"/>
      <c r="F65" s="102"/>
      <c r="G65" s="102"/>
      <c r="H65" s="102"/>
      <c r="I65" s="102"/>
      <c r="U65" s="217">
        <v>1</v>
      </c>
    </row>
    <row r="66" spans="2:21">
      <c r="B66" s="131" t="s">
        <v>1155</v>
      </c>
      <c r="C66" s="61"/>
      <c r="D66" s="102"/>
      <c r="E66" s="102"/>
      <c r="F66" s="102"/>
      <c r="G66" s="102"/>
      <c r="H66" s="102"/>
      <c r="I66" s="102"/>
      <c r="U66" s="217">
        <v>1</v>
      </c>
    </row>
    <row r="67" spans="2:21">
      <c r="B67" s="2" t="s">
        <v>1174</v>
      </c>
      <c r="C67" s="61" t="s">
        <v>19</v>
      </c>
      <c r="D67" s="45">
        <v>-0.48099999999999998</v>
      </c>
      <c r="E67" s="45">
        <v>-30.145</v>
      </c>
      <c r="F67" s="45">
        <v>-28.702999999999999</v>
      </c>
      <c r="G67" s="45">
        <v>-29.34</v>
      </c>
      <c r="H67" s="45">
        <v>-31.712</v>
      </c>
      <c r="I67" s="45">
        <v>2.3559999999999999</v>
      </c>
      <c r="U67" s="218">
        <f t="shared" ref="U67:U86" si="10">IF(COUNT(D67:I67)&lt;&gt;0,1,"")</f>
        <v>1</v>
      </c>
    </row>
    <row r="68" spans="2:21">
      <c r="B68" s="2" t="s">
        <v>1177</v>
      </c>
      <c r="C68" s="61" t="s">
        <v>1156</v>
      </c>
      <c r="D68" s="45">
        <v>1.502</v>
      </c>
      <c r="E68" s="45">
        <v>-26.768000000000001</v>
      </c>
      <c r="F68" s="45">
        <v>-20.167999999999999</v>
      </c>
      <c r="G68" s="45">
        <v>-36.450000000000003</v>
      </c>
      <c r="H68" s="45">
        <v>-41.561999999999998</v>
      </c>
      <c r="I68" s="45">
        <v>-8.0180000000000007</v>
      </c>
      <c r="U68" s="218">
        <f t="shared" si="10"/>
        <v>1</v>
      </c>
    </row>
    <row r="69" spans="2:21">
      <c r="B69" s="2" t="s">
        <v>1179</v>
      </c>
      <c r="C69" s="61" t="s">
        <v>1157</v>
      </c>
      <c r="D69" s="45">
        <v>1.9450000000000001</v>
      </c>
      <c r="E69" s="45">
        <v>-47.817</v>
      </c>
      <c r="F69" s="45">
        <v>-33.103999999999999</v>
      </c>
      <c r="G69" s="45">
        <v>-67.647999999999996</v>
      </c>
      <c r="H69" s="45">
        <v>-55.598999999999997</v>
      </c>
      <c r="I69" s="45">
        <v>7.516</v>
      </c>
      <c r="U69" s="218">
        <f t="shared" si="10"/>
        <v>1</v>
      </c>
    </row>
    <row r="70" spans="2:21">
      <c r="B70" s="2" t="s">
        <v>1178</v>
      </c>
      <c r="C70" s="61" t="s">
        <v>1158</v>
      </c>
      <c r="D70" s="45">
        <v>1.5860000000000001</v>
      </c>
      <c r="E70" s="45">
        <v>-53.133000000000003</v>
      </c>
      <c r="F70" s="45">
        <v>-38.107999999999997</v>
      </c>
      <c r="G70" s="45">
        <v>-72.819999999999993</v>
      </c>
      <c r="H70" s="45">
        <v>-60.570999999999998</v>
      </c>
      <c r="I70" s="45">
        <v>11.696999999999999</v>
      </c>
      <c r="U70" s="218">
        <f t="shared" si="10"/>
        <v>1</v>
      </c>
    </row>
    <row r="71" spans="2:21">
      <c r="B71" s="2" t="s">
        <v>1180</v>
      </c>
      <c r="C71" s="61" t="s">
        <v>1159</v>
      </c>
      <c r="D71" s="45">
        <v>1.472</v>
      </c>
      <c r="E71" s="45">
        <v>-55.951999999999998</v>
      </c>
      <c r="F71" s="45">
        <v>-41.256999999999998</v>
      </c>
      <c r="G71" s="45">
        <v>-75.894000000000005</v>
      </c>
      <c r="H71" s="45">
        <v>-63.753999999999998</v>
      </c>
      <c r="I71" s="45">
        <v>12.832000000000001</v>
      </c>
      <c r="U71" s="218">
        <f t="shared" si="10"/>
        <v>1</v>
      </c>
    </row>
    <row r="72" spans="2:21">
      <c r="B72" s="2" t="s">
        <v>1181</v>
      </c>
      <c r="C72" s="61" t="s">
        <v>1160</v>
      </c>
      <c r="D72" s="45">
        <v>-8.5540000000000003</v>
      </c>
      <c r="E72" s="45">
        <v>-62.042000000000002</v>
      </c>
      <c r="F72" s="45">
        <v>-96.58</v>
      </c>
      <c r="G72" s="45">
        <v>243.94800000000001</v>
      </c>
      <c r="H72" s="45">
        <v>-95.468000000000004</v>
      </c>
      <c r="I72" s="45" t="s">
        <v>321</v>
      </c>
      <c r="U72" s="218">
        <f t="shared" si="10"/>
        <v>1</v>
      </c>
    </row>
    <row r="73" spans="2:21">
      <c r="B73" s="2" t="s">
        <v>1182</v>
      </c>
      <c r="C73" s="61" t="s">
        <v>1161</v>
      </c>
      <c r="D73" s="45">
        <v>-5.4969999999999999</v>
      </c>
      <c r="E73" s="45">
        <v>-77.272999999999996</v>
      </c>
      <c r="F73" s="45" t="s">
        <v>321</v>
      </c>
      <c r="G73" s="45" t="s">
        <v>321</v>
      </c>
      <c r="H73" s="45" t="s">
        <v>321</v>
      </c>
      <c r="I73" s="45" t="s">
        <v>321</v>
      </c>
      <c r="U73" s="218">
        <f t="shared" si="10"/>
        <v>1</v>
      </c>
    </row>
    <row r="74" spans="2:21">
      <c r="B74" s="2" t="s">
        <v>1183</v>
      </c>
      <c r="C74" s="61" t="s">
        <v>1162</v>
      </c>
      <c r="D74" s="45">
        <v>-3.633</v>
      </c>
      <c r="E74" s="45">
        <v>-74.856999999999999</v>
      </c>
      <c r="F74" s="45">
        <v>-64.462999999999994</v>
      </c>
      <c r="G74" s="45" t="s">
        <v>321</v>
      </c>
      <c r="H74" s="45">
        <v>-79.741</v>
      </c>
      <c r="I74" s="45">
        <v>30.128</v>
      </c>
      <c r="U74" s="218">
        <f t="shared" si="10"/>
        <v>1</v>
      </c>
    </row>
    <row r="75" spans="2:21">
      <c r="B75" s="2" t="s">
        <v>1175</v>
      </c>
      <c r="C75" s="61" t="s">
        <v>289</v>
      </c>
      <c r="D75" s="45">
        <v>-6.3834999999999997</v>
      </c>
      <c r="E75" s="45">
        <v>-64.240799999999993</v>
      </c>
      <c r="F75" s="45">
        <v>-96.441299999999998</v>
      </c>
      <c r="G75" s="45">
        <v>256.4273</v>
      </c>
      <c r="H75" s="45">
        <v>-95.217500000000001</v>
      </c>
      <c r="I75" s="45" t="s">
        <v>321</v>
      </c>
      <c r="U75" s="218">
        <f t="shared" si="10"/>
        <v>1</v>
      </c>
    </row>
    <row r="76" spans="2:21">
      <c r="B76" s="2" t="s">
        <v>1184</v>
      </c>
      <c r="C76" s="61" t="s">
        <v>1163</v>
      </c>
      <c r="D76" s="45">
        <v>11.625999999999999</v>
      </c>
      <c r="E76" s="45">
        <v>-3.5459999999999998</v>
      </c>
      <c r="F76" s="45">
        <v>-1.3620000000000001</v>
      </c>
      <c r="G76" s="45">
        <v>-5.8579999999999997</v>
      </c>
      <c r="H76" s="45">
        <v>-11.997999999999999</v>
      </c>
      <c r="I76" s="45">
        <v>-2.8889999999999998</v>
      </c>
      <c r="U76" s="218">
        <f t="shared" si="10"/>
        <v>1</v>
      </c>
    </row>
    <row r="77" spans="2:21">
      <c r="B77" s="2" t="s">
        <v>1185</v>
      </c>
      <c r="C77" s="61" t="s">
        <v>1164</v>
      </c>
      <c r="D77" s="45">
        <v>20.13</v>
      </c>
      <c r="E77" s="45">
        <v>30.300999999999998</v>
      </c>
      <c r="F77" s="45">
        <v>15.426</v>
      </c>
      <c r="G77" s="45">
        <v>4.42</v>
      </c>
      <c r="H77" s="45">
        <v>-16.945</v>
      </c>
      <c r="I77" s="45">
        <v>-30.753</v>
      </c>
      <c r="U77" s="218">
        <f t="shared" si="10"/>
        <v>1</v>
      </c>
    </row>
    <row r="78" spans="2:21">
      <c r="B78" s="2" t="s">
        <v>1186</v>
      </c>
      <c r="C78" s="61" t="s">
        <v>1165</v>
      </c>
      <c r="D78" s="45">
        <v>5.4219999999999997</v>
      </c>
      <c r="E78" s="45">
        <v>7.0330000000000004</v>
      </c>
      <c r="F78" s="45">
        <v>8.9220000000000006</v>
      </c>
      <c r="G78" s="45">
        <v>4.202</v>
      </c>
      <c r="H78" s="45">
        <v>1.101</v>
      </c>
      <c r="I78" s="45">
        <v>-0.95899999999999996</v>
      </c>
      <c r="U78" s="218">
        <f t="shared" si="10"/>
        <v>1</v>
      </c>
    </row>
    <row r="79" spans="2:21">
      <c r="B79" s="2" t="s">
        <v>1176</v>
      </c>
      <c r="C79" s="61" t="s">
        <v>1166</v>
      </c>
      <c r="D79" s="45">
        <v>7.5869999999999997</v>
      </c>
      <c r="E79" s="45">
        <v>8.2170000000000005</v>
      </c>
      <c r="F79" s="45">
        <v>1.7809999999999999</v>
      </c>
      <c r="G79" s="45">
        <v>6.7569999999999997</v>
      </c>
      <c r="H79" s="45">
        <v>2.0990000000000002</v>
      </c>
      <c r="I79" s="45">
        <v>1.498</v>
      </c>
      <c r="U79" s="218">
        <f t="shared" si="10"/>
        <v>1</v>
      </c>
    </row>
    <row r="80" spans="2:21">
      <c r="B80" s="2" t="s">
        <v>1187</v>
      </c>
      <c r="C80" s="61" t="s">
        <v>1167</v>
      </c>
      <c r="D80" s="45">
        <v>-30.609000000000002</v>
      </c>
      <c r="E80" s="45">
        <v>-8.2899999999999991</v>
      </c>
      <c r="F80" s="45">
        <v>-13.01</v>
      </c>
      <c r="G80" s="45" t="s">
        <v>321</v>
      </c>
      <c r="H80" s="45" t="s">
        <v>321</v>
      </c>
      <c r="I80" s="45" t="s">
        <v>321</v>
      </c>
      <c r="U80" s="218">
        <f t="shared" si="10"/>
        <v>1</v>
      </c>
    </row>
    <row r="81" spans="2:21">
      <c r="B81" s="2" t="s">
        <v>1188</v>
      </c>
      <c r="C81" s="61" t="s">
        <v>1168</v>
      </c>
      <c r="D81" s="45">
        <v>13.455</v>
      </c>
      <c r="E81" s="45">
        <v>7.8659999999999997</v>
      </c>
      <c r="F81" s="45">
        <v>3.2210000000000001</v>
      </c>
      <c r="G81" s="45">
        <v>30.581</v>
      </c>
      <c r="H81" s="45">
        <v>24.225999999999999</v>
      </c>
      <c r="I81" s="45">
        <v>35.979999999999997</v>
      </c>
      <c r="U81" s="218">
        <f t="shared" si="10"/>
        <v>1</v>
      </c>
    </row>
    <row r="82" spans="2:21">
      <c r="B82" s="2" t="s">
        <v>1189</v>
      </c>
      <c r="C82" s="61" t="s">
        <v>1169</v>
      </c>
      <c r="D82" s="45">
        <v>41.902000000000001</v>
      </c>
      <c r="E82" s="45">
        <v>-33.143000000000001</v>
      </c>
      <c r="F82" s="45">
        <v>-83.015000000000001</v>
      </c>
      <c r="G82" s="45">
        <v>-52.66</v>
      </c>
      <c r="H82" s="45">
        <v>-80.97</v>
      </c>
      <c r="I82" s="45">
        <v>151.536</v>
      </c>
      <c r="U82" s="218">
        <f t="shared" si="10"/>
        <v>1</v>
      </c>
    </row>
    <row r="83" spans="2:21">
      <c r="B83" s="2" t="s">
        <v>1190</v>
      </c>
      <c r="C83" s="61" t="s">
        <v>1170</v>
      </c>
      <c r="D83" s="45">
        <v>-6.76</v>
      </c>
      <c r="E83" s="45">
        <v>23.504000000000001</v>
      </c>
      <c r="F83" s="45">
        <v>-4.899</v>
      </c>
      <c r="G83" s="45">
        <v>-25.959</v>
      </c>
      <c r="H83" s="45">
        <v>-55.863999999999997</v>
      </c>
      <c r="I83" s="45">
        <v>-65.744</v>
      </c>
      <c r="U83" s="218">
        <f t="shared" si="10"/>
        <v>1</v>
      </c>
    </row>
    <row r="84" spans="2:21">
      <c r="B84" s="2" t="s">
        <v>1191</v>
      </c>
      <c r="C84" s="61" t="s">
        <v>1171</v>
      </c>
      <c r="D84" s="45">
        <v>91.286000000000001</v>
      </c>
      <c r="E84" s="45">
        <v>-34.957999999999998</v>
      </c>
      <c r="F84" s="45">
        <v>-90.1</v>
      </c>
      <c r="G84" s="45">
        <v>-39.887999999999998</v>
      </c>
      <c r="H84" s="45">
        <v>-89.894000000000005</v>
      </c>
      <c r="I84" s="45">
        <v>58.640999999999998</v>
      </c>
      <c r="U84" s="218">
        <f t="shared" si="10"/>
        <v>1</v>
      </c>
    </row>
    <row r="85" spans="2:21">
      <c r="B85" s="2" t="s">
        <v>1192</v>
      </c>
      <c r="C85" s="61" t="s">
        <v>1172</v>
      </c>
      <c r="D85" s="45">
        <v>92.031000000000006</v>
      </c>
      <c r="E85" s="45">
        <v>-25.515000000000001</v>
      </c>
      <c r="F85" s="45">
        <v>-77.888000000000005</v>
      </c>
      <c r="G85" s="45">
        <v>-36.686999999999998</v>
      </c>
      <c r="H85" s="45">
        <v>-93.679000000000002</v>
      </c>
      <c r="I85" s="45">
        <v>46.823</v>
      </c>
      <c r="U85" s="218">
        <f t="shared" si="10"/>
        <v>1</v>
      </c>
    </row>
    <row r="86" spans="2:21">
      <c r="B86" s="2" t="s">
        <v>1193</v>
      </c>
      <c r="C86" s="61" t="s">
        <v>1173</v>
      </c>
      <c r="D86" s="45">
        <v>9.4339999999999993</v>
      </c>
      <c r="E86" s="45">
        <v>9.4339999999999993</v>
      </c>
      <c r="F86" s="45">
        <v>9.4339999999999993</v>
      </c>
      <c r="G86" s="45">
        <v>0</v>
      </c>
      <c r="H86" s="45">
        <v>0</v>
      </c>
      <c r="I86" s="45">
        <v>0</v>
      </c>
      <c r="U86" s="218">
        <f t="shared" si="10"/>
        <v>1</v>
      </c>
    </row>
    <row r="87" spans="2:21">
      <c r="C87" s="61"/>
      <c r="D87" s="102"/>
      <c r="E87" s="102"/>
      <c r="F87" s="102"/>
      <c r="G87" s="102"/>
      <c r="H87" s="102"/>
      <c r="I87" s="102"/>
      <c r="U87" s="217">
        <v>1</v>
      </c>
    </row>
    <row r="88" spans="2:21">
      <c r="B88" s="94" t="s">
        <v>1194</v>
      </c>
      <c r="C88" s="61"/>
      <c r="D88" s="102"/>
      <c r="E88" s="102"/>
      <c r="F88" s="102"/>
      <c r="G88" s="102"/>
      <c r="H88" s="102"/>
      <c r="I88" s="102"/>
      <c r="U88" s="217">
        <v>1</v>
      </c>
    </row>
    <row r="89" spans="2:21">
      <c r="B89" s="91" t="s">
        <v>1174</v>
      </c>
      <c r="C89" s="61" t="s">
        <v>1195</v>
      </c>
      <c r="D89" s="45">
        <v>6.0359999999999996</v>
      </c>
      <c r="E89" s="45">
        <v>-9.6219999999999999</v>
      </c>
      <c r="F89" s="45">
        <v>-9.3160000000000007</v>
      </c>
      <c r="G89" s="45">
        <v>-9.9580000000000002</v>
      </c>
      <c r="H89" s="45">
        <v>-17.562000000000001</v>
      </c>
      <c r="I89" s="45">
        <v>-15.442</v>
      </c>
      <c r="U89" s="218">
        <f t="shared" ref="U89:U108" si="11">IF(COUNT(D89:I89)&lt;&gt;0,1,"")</f>
        <v>1</v>
      </c>
    </row>
    <row r="90" spans="2:21">
      <c r="B90" s="91" t="s">
        <v>1177</v>
      </c>
      <c r="C90" s="61" t="s">
        <v>1196</v>
      </c>
      <c r="D90" s="45">
        <v>6.5110000000000001</v>
      </c>
      <c r="E90" s="45">
        <v>-9.5739999999999998</v>
      </c>
      <c r="F90" s="45">
        <v>-13.672000000000001</v>
      </c>
      <c r="G90" s="45">
        <v>-15.353999999999999</v>
      </c>
      <c r="H90" s="45">
        <v>-22.983000000000001</v>
      </c>
      <c r="I90" s="45">
        <v>-17.927</v>
      </c>
      <c r="U90" s="218">
        <f t="shared" si="11"/>
        <v>1</v>
      </c>
    </row>
    <row r="91" spans="2:21">
      <c r="B91" s="91" t="s">
        <v>1179</v>
      </c>
      <c r="C91" s="61" t="s">
        <v>1197</v>
      </c>
      <c r="D91" s="45">
        <v>8.5619999999999994</v>
      </c>
      <c r="E91" s="45">
        <v>-26.248999999999999</v>
      </c>
      <c r="F91" s="45">
        <v>-22.66</v>
      </c>
      <c r="G91" s="45">
        <v>-38.584000000000003</v>
      </c>
      <c r="H91" s="45">
        <v>-32.720999999999997</v>
      </c>
      <c r="I91" s="45">
        <v>-25.096</v>
      </c>
      <c r="U91" s="218">
        <f t="shared" si="11"/>
        <v>1</v>
      </c>
    </row>
    <row r="92" spans="2:21">
      <c r="B92" s="91" t="s">
        <v>1178</v>
      </c>
      <c r="C92" s="61" t="s">
        <v>1198</v>
      </c>
      <c r="D92" s="45">
        <v>9.0350000000000001</v>
      </c>
      <c r="E92" s="45">
        <v>-30.061</v>
      </c>
      <c r="F92" s="45">
        <v>-25.866</v>
      </c>
      <c r="G92" s="45">
        <v>-43.463999999999999</v>
      </c>
      <c r="H92" s="45">
        <v>-36.710999999999999</v>
      </c>
      <c r="I92" s="45">
        <v>-27.646999999999998</v>
      </c>
      <c r="U92" s="218">
        <f t="shared" si="11"/>
        <v>1</v>
      </c>
    </row>
    <row r="93" spans="2:21">
      <c r="B93" s="91" t="s">
        <v>1180</v>
      </c>
      <c r="C93" s="61" t="s">
        <v>1199</v>
      </c>
      <c r="D93" s="45">
        <v>9.5169999999999995</v>
      </c>
      <c r="E93" s="45">
        <v>-32.08</v>
      </c>
      <c r="F93" s="45">
        <v>-27.95</v>
      </c>
      <c r="G93" s="45">
        <v>-46.527000000000001</v>
      </c>
      <c r="H93" s="45">
        <v>-39.353999999999999</v>
      </c>
      <c r="I93" s="45">
        <v>-29.501999999999999</v>
      </c>
      <c r="U93" s="218">
        <f t="shared" si="11"/>
        <v>1</v>
      </c>
    </row>
    <row r="94" spans="2:21">
      <c r="B94" s="91" t="s">
        <v>1181</v>
      </c>
      <c r="C94" s="61" t="s">
        <v>1200</v>
      </c>
      <c r="D94" s="45">
        <v>4.1230000000000002</v>
      </c>
      <c r="E94" s="45">
        <v>-50.670999999999999</v>
      </c>
      <c r="F94" s="45">
        <v>-83.641999999999996</v>
      </c>
      <c r="G94" s="45">
        <v>128.678</v>
      </c>
      <c r="H94" s="45">
        <v>-79.641999999999996</v>
      </c>
      <c r="I94" s="45">
        <v>44.865000000000002</v>
      </c>
      <c r="U94" s="218">
        <f t="shared" si="11"/>
        <v>1</v>
      </c>
    </row>
    <row r="95" spans="2:21">
      <c r="B95" s="91" t="s">
        <v>1182</v>
      </c>
      <c r="C95" s="61" t="s">
        <v>1201</v>
      </c>
      <c r="D95" s="45">
        <v>3.6040000000000001</v>
      </c>
      <c r="E95" s="45">
        <v>-61.578000000000003</v>
      </c>
      <c r="F95" s="45">
        <v>-85.195999999999998</v>
      </c>
      <c r="G95" s="45">
        <v>140.00700000000001</v>
      </c>
      <c r="H95" s="45">
        <v>-88.59</v>
      </c>
      <c r="I95" s="45">
        <v>48.289000000000001</v>
      </c>
      <c r="U95" s="218">
        <f t="shared" si="11"/>
        <v>1</v>
      </c>
    </row>
    <row r="96" spans="2:21">
      <c r="B96" s="91" t="s">
        <v>1183</v>
      </c>
      <c r="C96" s="61" t="s">
        <v>1202</v>
      </c>
      <c r="D96" s="45">
        <v>7.274</v>
      </c>
      <c r="E96" s="45">
        <v>-48.31</v>
      </c>
      <c r="F96" s="45">
        <v>-44.668999999999997</v>
      </c>
      <c r="G96" s="45">
        <v>-66.155000000000001</v>
      </c>
      <c r="H96" s="45">
        <v>-55.814999999999998</v>
      </c>
      <c r="I96" s="45">
        <v>-42.8</v>
      </c>
      <c r="U96" s="218">
        <f t="shared" si="11"/>
        <v>1</v>
      </c>
    </row>
    <row r="97" spans="2:21">
      <c r="B97" s="91" t="s">
        <v>1175</v>
      </c>
      <c r="C97" s="61" t="s">
        <v>1203</v>
      </c>
      <c r="D97" s="45">
        <v>5.9850000000000003</v>
      </c>
      <c r="E97" s="45">
        <v>-50.86</v>
      </c>
      <c r="F97" s="45">
        <v>-82.918000000000006</v>
      </c>
      <c r="G97" s="45">
        <v>128.434</v>
      </c>
      <c r="H97" s="45">
        <v>-78.840999999999994</v>
      </c>
      <c r="I97" s="45">
        <v>43.773000000000003</v>
      </c>
      <c r="U97" s="218">
        <f t="shared" si="11"/>
        <v>1</v>
      </c>
    </row>
    <row r="98" spans="2:21">
      <c r="B98" s="91" t="s">
        <v>1184</v>
      </c>
      <c r="C98" s="61" t="s">
        <v>1204</v>
      </c>
      <c r="D98" s="45">
        <v>12.439</v>
      </c>
      <c r="E98" s="45">
        <v>2.9169999999999998</v>
      </c>
      <c r="F98" s="45">
        <v>1.2110000000000001</v>
      </c>
      <c r="G98" s="45">
        <v>2.286</v>
      </c>
      <c r="H98" s="45">
        <v>-0.88800000000000001</v>
      </c>
      <c r="I98" s="45">
        <v>-3.218</v>
      </c>
      <c r="U98" s="218">
        <f t="shared" si="11"/>
        <v>1</v>
      </c>
    </row>
    <row r="99" spans="2:21">
      <c r="B99" s="91" t="s">
        <v>1185</v>
      </c>
      <c r="C99" s="61" t="s">
        <v>1205</v>
      </c>
      <c r="D99" s="45">
        <v>23.41</v>
      </c>
      <c r="E99" s="45">
        <v>21.747</v>
      </c>
      <c r="F99" s="45">
        <v>17.382999999999999</v>
      </c>
      <c r="G99" s="45">
        <v>6.4509999999999996</v>
      </c>
      <c r="H99" s="45">
        <v>-0.113</v>
      </c>
      <c r="I99" s="45">
        <v>-5.0110000000000001</v>
      </c>
      <c r="U99" s="218">
        <f t="shared" si="11"/>
        <v>1</v>
      </c>
    </row>
    <row r="100" spans="2:21">
      <c r="B100" s="91" t="s">
        <v>1186</v>
      </c>
      <c r="C100" s="61" t="s">
        <v>1206</v>
      </c>
      <c r="D100" s="45">
        <v>4.5339999999999998</v>
      </c>
      <c r="E100" s="45">
        <v>3.4849999999999999</v>
      </c>
      <c r="F100" s="45">
        <v>3.855</v>
      </c>
      <c r="G100" s="45">
        <v>3.2090000000000001</v>
      </c>
      <c r="H100" s="45">
        <v>3.2389999999999999</v>
      </c>
      <c r="I100" s="45">
        <v>2.96</v>
      </c>
      <c r="U100" s="218">
        <f t="shared" si="11"/>
        <v>1</v>
      </c>
    </row>
    <row r="101" spans="2:21">
      <c r="B101" s="91" t="s">
        <v>1176</v>
      </c>
      <c r="C101" s="61" t="s">
        <v>1207</v>
      </c>
      <c r="D101" s="45">
        <v>6.093</v>
      </c>
      <c r="E101" s="45">
        <v>4.5119999999999996</v>
      </c>
      <c r="F101" s="45">
        <v>2.59</v>
      </c>
      <c r="G101" s="45">
        <v>5.7080000000000002</v>
      </c>
      <c r="H101" s="45">
        <v>4.8070000000000004</v>
      </c>
      <c r="I101" s="45">
        <v>4.8040000000000003</v>
      </c>
      <c r="U101" s="218">
        <f t="shared" si="11"/>
        <v>1</v>
      </c>
    </row>
    <row r="102" spans="2:21">
      <c r="B102" s="91" t="s">
        <v>1187</v>
      </c>
      <c r="C102" s="61" t="s">
        <v>1208</v>
      </c>
      <c r="D102" s="45">
        <v>-22.75</v>
      </c>
      <c r="E102" s="45">
        <v>-11.516</v>
      </c>
      <c r="F102" s="45">
        <v>-12.659000000000001</v>
      </c>
      <c r="G102" s="45">
        <v>-52.268999999999998</v>
      </c>
      <c r="H102" s="45">
        <v>-43.024000000000001</v>
      </c>
      <c r="I102" s="45">
        <v>-10.414</v>
      </c>
      <c r="U102" s="218">
        <f t="shared" si="11"/>
        <v>1</v>
      </c>
    </row>
    <row r="103" spans="2:21">
      <c r="B103" s="91" t="s">
        <v>1188</v>
      </c>
      <c r="C103" s="61" t="s">
        <v>1209</v>
      </c>
      <c r="D103" s="45">
        <v>7.4050000000000002</v>
      </c>
      <c r="E103" s="45">
        <v>3.8220000000000001</v>
      </c>
      <c r="F103" s="45">
        <v>4.1920000000000002</v>
      </c>
      <c r="G103" s="45">
        <v>18.818999999999999</v>
      </c>
      <c r="H103" s="45">
        <v>18.718</v>
      </c>
      <c r="I103" s="45">
        <v>21.11</v>
      </c>
      <c r="U103" s="218">
        <f t="shared" si="11"/>
        <v>1</v>
      </c>
    </row>
    <row r="104" spans="2:21">
      <c r="B104" s="91" t="s">
        <v>1189</v>
      </c>
      <c r="C104" s="61" t="s">
        <v>1210</v>
      </c>
      <c r="D104" s="45">
        <v>68.853999999999999</v>
      </c>
      <c r="E104" s="45">
        <v>-28.802</v>
      </c>
      <c r="F104" s="45">
        <v>-53.79</v>
      </c>
      <c r="G104" s="45">
        <v>-28.69</v>
      </c>
      <c r="H104" s="45">
        <v>-48.034999999999997</v>
      </c>
      <c r="I104" s="45">
        <v>29.68</v>
      </c>
      <c r="U104" s="218">
        <f t="shared" si="11"/>
        <v>1</v>
      </c>
    </row>
    <row r="105" spans="2:21">
      <c r="B105" s="91" t="s">
        <v>1190</v>
      </c>
      <c r="C105" s="61" t="s">
        <v>1211</v>
      </c>
      <c r="D105" s="45">
        <v>36.966999999999999</v>
      </c>
      <c r="E105" s="45">
        <v>14.875</v>
      </c>
      <c r="F105" s="45">
        <v>5.766</v>
      </c>
      <c r="G105" s="45">
        <v>2.911</v>
      </c>
      <c r="H105" s="45">
        <v>-35.848999999999997</v>
      </c>
      <c r="I105" s="45">
        <v>-34.956000000000003</v>
      </c>
      <c r="U105" s="218">
        <f t="shared" si="11"/>
        <v>1</v>
      </c>
    </row>
    <row r="106" spans="2:21">
      <c r="B106" s="91" t="s">
        <v>1191</v>
      </c>
      <c r="C106" s="61" t="s">
        <v>1212</v>
      </c>
      <c r="D106" s="45">
        <v>62.722000000000001</v>
      </c>
      <c r="E106" s="45">
        <v>-14.297000000000001</v>
      </c>
      <c r="F106" s="45">
        <v>-65.962999999999994</v>
      </c>
      <c r="G106" s="45">
        <v>-17.591000000000001</v>
      </c>
      <c r="H106" s="45">
        <v>-56.033000000000001</v>
      </c>
      <c r="I106" s="45">
        <v>1.579</v>
      </c>
      <c r="U106" s="218">
        <f t="shared" si="11"/>
        <v>1</v>
      </c>
    </row>
    <row r="107" spans="2:21">
      <c r="B107" s="91" t="s">
        <v>1192</v>
      </c>
      <c r="C107" s="61" t="s">
        <v>1213</v>
      </c>
      <c r="D107" s="45">
        <v>64.629000000000005</v>
      </c>
      <c r="E107" s="45">
        <v>-8.4429999999999996</v>
      </c>
      <c r="F107" s="45">
        <v>-48.975000000000001</v>
      </c>
      <c r="G107" s="45">
        <v>-15.082000000000001</v>
      </c>
      <c r="H107" s="45">
        <v>-65.16</v>
      </c>
      <c r="I107" s="45">
        <v>4.5759999999999996</v>
      </c>
      <c r="U107" s="218">
        <f t="shared" si="11"/>
        <v>1</v>
      </c>
    </row>
    <row r="108" spans="2:21">
      <c r="B108" s="91" t="s">
        <v>1193</v>
      </c>
      <c r="C108" s="61" t="s">
        <v>1214</v>
      </c>
      <c r="D108" s="45">
        <v>9.9242000000000008</v>
      </c>
      <c r="E108" s="45">
        <v>9.9242000000000008</v>
      </c>
      <c r="F108" s="45">
        <v>9.9242000000000008</v>
      </c>
      <c r="G108" s="45">
        <v>4.6106999999999996</v>
      </c>
      <c r="H108" s="45">
        <v>4.6106999999999996</v>
      </c>
      <c r="I108" s="45">
        <v>4.6106999999999996</v>
      </c>
      <c r="U108" s="218">
        <f t="shared" si="11"/>
        <v>1</v>
      </c>
    </row>
    <row r="109" spans="2:21">
      <c r="C109" s="61"/>
      <c r="D109" s="102"/>
      <c r="E109" s="102"/>
      <c r="F109" s="102"/>
      <c r="G109" s="102"/>
      <c r="H109" s="102"/>
      <c r="I109" s="102"/>
      <c r="U109" s="217">
        <v>1</v>
      </c>
    </row>
    <row r="110" spans="2:21">
      <c r="B110" s="94" t="s">
        <v>1215</v>
      </c>
      <c r="C110" s="61"/>
      <c r="D110" s="102"/>
      <c r="E110" s="102"/>
      <c r="F110" s="102"/>
      <c r="G110" s="102"/>
      <c r="H110" s="102"/>
      <c r="I110" s="102"/>
      <c r="U110" s="217">
        <v>1</v>
      </c>
    </row>
    <row r="111" spans="2:21">
      <c r="B111" s="2" t="s">
        <v>1174</v>
      </c>
      <c r="C111" s="61" t="s">
        <v>1216</v>
      </c>
      <c r="D111" s="45">
        <v>2.4540000000000002</v>
      </c>
      <c r="E111" s="45">
        <v>-4.24</v>
      </c>
      <c r="F111" s="45">
        <v>-3.262</v>
      </c>
      <c r="G111" s="45">
        <v>-0.17699999999999999</v>
      </c>
      <c r="H111" s="45">
        <v>-8.43</v>
      </c>
      <c r="I111" s="45">
        <v>-5.7939999999999996</v>
      </c>
      <c r="U111" s="218">
        <f t="shared" ref="U111:U130" si="12">IF(COUNT(D111:I111)&lt;&gt;0,1,"")</f>
        <v>1</v>
      </c>
    </row>
    <row r="112" spans="2:21">
      <c r="B112" s="2" t="s">
        <v>1177</v>
      </c>
      <c r="C112" s="61" t="s">
        <v>1217</v>
      </c>
      <c r="D112" s="45">
        <v>1.1619999999999999</v>
      </c>
      <c r="E112" s="45">
        <v>-6.0970000000000004</v>
      </c>
      <c r="F112" s="45">
        <v>-6.5030000000000001</v>
      </c>
      <c r="G112" s="45">
        <v>-4.5739999999999998</v>
      </c>
      <c r="H112" s="45">
        <v>-12.804</v>
      </c>
      <c r="I112" s="45">
        <v>-9.0579999999999998</v>
      </c>
      <c r="U112" s="218">
        <f t="shared" si="12"/>
        <v>1</v>
      </c>
    </row>
    <row r="113" spans="2:21">
      <c r="B113" s="2" t="s">
        <v>1179</v>
      </c>
      <c r="C113" s="61" t="s">
        <v>1218</v>
      </c>
      <c r="D113" s="45">
        <v>0.44600000000000001</v>
      </c>
      <c r="E113" s="45">
        <v>-18.021000000000001</v>
      </c>
      <c r="F113" s="45">
        <v>-12.753</v>
      </c>
      <c r="G113" s="45">
        <v>-21.637</v>
      </c>
      <c r="H113" s="45">
        <v>-19.416</v>
      </c>
      <c r="I113" s="45">
        <v>-16.375</v>
      </c>
      <c r="U113" s="218">
        <f t="shared" si="12"/>
        <v>1</v>
      </c>
    </row>
    <row r="114" spans="2:21">
      <c r="B114" s="2" t="s">
        <v>1178</v>
      </c>
      <c r="C114" s="61" t="s">
        <v>1219</v>
      </c>
      <c r="D114" s="45">
        <v>-0.01</v>
      </c>
      <c r="E114" s="45">
        <v>-21.009</v>
      </c>
      <c r="F114" s="45">
        <v>-15.092000000000001</v>
      </c>
      <c r="G114" s="45">
        <v>-25.34</v>
      </c>
      <c r="H114" s="45">
        <v>-22.318999999999999</v>
      </c>
      <c r="I114" s="45">
        <v>-18.248999999999999</v>
      </c>
      <c r="U114" s="218">
        <f t="shared" si="12"/>
        <v>1</v>
      </c>
    </row>
    <row r="115" spans="2:21">
      <c r="B115" s="2" t="s">
        <v>1180</v>
      </c>
      <c r="C115" s="61" t="s">
        <v>1220</v>
      </c>
      <c r="D115" s="45">
        <v>-8.4000000000000005E-2</v>
      </c>
      <c r="E115" s="45">
        <v>-22.561</v>
      </c>
      <c r="F115" s="45">
        <v>-16.477</v>
      </c>
      <c r="G115" s="45">
        <v>-27.716999999999999</v>
      </c>
      <c r="H115" s="45">
        <v>-24.245999999999999</v>
      </c>
      <c r="I115" s="45">
        <v>-19.559999999999999</v>
      </c>
      <c r="U115" s="218">
        <f t="shared" si="12"/>
        <v>1</v>
      </c>
    </row>
    <row r="116" spans="2:21">
      <c r="B116" s="2" t="s">
        <v>1181</v>
      </c>
      <c r="C116" s="61" t="s">
        <v>1221</v>
      </c>
      <c r="D116" s="45">
        <v>-0.99299999999999999</v>
      </c>
      <c r="E116" s="45">
        <v>-34.948</v>
      </c>
      <c r="F116" s="45">
        <v>-67.212000000000003</v>
      </c>
      <c r="G116" s="45">
        <v>209.529</v>
      </c>
      <c r="H116" s="45">
        <v>-63.372999999999998</v>
      </c>
      <c r="I116" s="45">
        <v>10.395</v>
      </c>
      <c r="U116" s="218">
        <f t="shared" si="12"/>
        <v>1</v>
      </c>
    </row>
    <row r="117" spans="2:21">
      <c r="B117" s="2" t="s">
        <v>1182</v>
      </c>
      <c r="C117" s="61" t="s">
        <v>1222</v>
      </c>
      <c r="D117" s="45">
        <v>-1.677</v>
      </c>
      <c r="E117" s="45">
        <v>-45.107999999999997</v>
      </c>
      <c r="F117" s="45">
        <v>-68.445999999999998</v>
      </c>
      <c r="G117" s="45">
        <v>181.01599999999999</v>
      </c>
      <c r="H117" s="45">
        <v>-75.456000000000003</v>
      </c>
      <c r="I117" s="45">
        <v>12.619</v>
      </c>
      <c r="U117" s="218">
        <f t="shared" si="12"/>
        <v>1</v>
      </c>
    </row>
    <row r="118" spans="2:21">
      <c r="B118" s="2" t="s">
        <v>1183</v>
      </c>
      <c r="C118" s="61" t="s">
        <v>1223</v>
      </c>
      <c r="D118" s="45">
        <v>-1.371</v>
      </c>
      <c r="E118" s="45">
        <v>-34.725999999999999</v>
      </c>
      <c r="F118" s="45">
        <v>-29.51</v>
      </c>
      <c r="G118" s="45">
        <v>-45.683999999999997</v>
      </c>
      <c r="H118" s="45">
        <v>-38.454000000000001</v>
      </c>
      <c r="I118" s="45">
        <v>-29.681999999999999</v>
      </c>
      <c r="U118" s="218">
        <f t="shared" si="12"/>
        <v>1</v>
      </c>
    </row>
    <row r="119" spans="2:21">
      <c r="B119" s="2" t="s">
        <v>1175</v>
      </c>
      <c r="C119" s="61" t="s">
        <v>1224</v>
      </c>
      <c r="D119" s="45">
        <v>0</v>
      </c>
      <c r="E119" s="45">
        <v>-34.957000000000001</v>
      </c>
      <c r="F119" s="45">
        <v>-66.14</v>
      </c>
      <c r="G119" s="45">
        <v>207.81100000000001</v>
      </c>
      <c r="H119" s="45">
        <v>-62.268000000000001</v>
      </c>
      <c r="I119" s="45">
        <v>11.757999999999999</v>
      </c>
      <c r="U119" s="218">
        <f t="shared" si="12"/>
        <v>1</v>
      </c>
    </row>
    <row r="120" spans="2:21">
      <c r="B120" s="2" t="s">
        <v>1184</v>
      </c>
      <c r="C120" s="61" t="s">
        <v>1225</v>
      </c>
      <c r="D120" s="45">
        <v>9.1839999999999993</v>
      </c>
      <c r="E120" s="45">
        <v>5.9109999999999996</v>
      </c>
      <c r="F120" s="45">
        <v>6.2519999999999998</v>
      </c>
      <c r="G120" s="45">
        <v>5.0720000000000001</v>
      </c>
      <c r="H120" s="45">
        <v>3.62</v>
      </c>
      <c r="I120" s="45">
        <v>0.94399999999999995</v>
      </c>
      <c r="U120" s="218">
        <f t="shared" si="12"/>
        <v>1</v>
      </c>
    </row>
    <row r="121" spans="2:21">
      <c r="B121" s="2" t="s">
        <v>1185</v>
      </c>
      <c r="C121" s="61" t="s">
        <v>1226</v>
      </c>
      <c r="D121" s="45">
        <v>21.603000000000002</v>
      </c>
      <c r="E121" s="45">
        <v>22.097000000000001</v>
      </c>
      <c r="F121" s="45">
        <v>20.038</v>
      </c>
      <c r="G121" s="45">
        <v>16.327000000000002</v>
      </c>
      <c r="H121" s="45">
        <v>8.1489999999999991</v>
      </c>
      <c r="I121" s="45">
        <v>0.872</v>
      </c>
      <c r="U121" s="218">
        <f t="shared" si="12"/>
        <v>1</v>
      </c>
    </row>
    <row r="122" spans="2:21">
      <c r="B122" s="2" t="s">
        <v>1186</v>
      </c>
      <c r="C122" s="61" t="s">
        <v>1227</v>
      </c>
      <c r="D122" s="45">
        <v>3.5449999999999999</v>
      </c>
      <c r="E122" s="45">
        <v>3.86</v>
      </c>
      <c r="F122" s="45">
        <v>3.8029999999999999</v>
      </c>
      <c r="G122" s="45">
        <v>3.3439999999999999</v>
      </c>
      <c r="H122" s="45">
        <v>3.3769999999999998</v>
      </c>
      <c r="I122" s="45">
        <v>1.982</v>
      </c>
      <c r="U122" s="218">
        <f t="shared" si="12"/>
        <v>1</v>
      </c>
    </row>
    <row r="123" spans="2:21">
      <c r="B123" s="2" t="s">
        <v>1176</v>
      </c>
      <c r="C123" s="61" t="s">
        <v>1228</v>
      </c>
      <c r="D123" s="45">
        <v>4.8120000000000003</v>
      </c>
      <c r="E123" s="45">
        <v>6.1449999999999996</v>
      </c>
      <c r="F123" s="45">
        <v>3.8860000000000001</v>
      </c>
      <c r="G123" s="45">
        <v>5.3970000000000002</v>
      </c>
      <c r="H123" s="45">
        <v>4.7450000000000001</v>
      </c>
      <c r="I123" s="45">
        <v>3.4969999999999999</v>
      </c>
      <c r="U123" s="218">
        <f t="shared" si="12"/>
        <v>1</v>
      </c>
    </row>
    <row r="124" spans="2:21">
      <c r="B124" s="2" t="s">
        <v>1187</v>
      </c>
      <c r="C124" s="61" t="s">
        <v>1229</v>
      </c>
      <c r="D124" s="45">
        <v>-23.645</v>
      </c>
      <c r="E124" s="45">
        <v>-16.324000000000002</v>
      </c>
      <c r="F124" s="45">
        <v>-12.898999999999999</v>
      </c>
      <c r="G124" s="45">
        <v>-43.811</v>
      </c>
      <c r="H124" s="45">
        <v>-34.643000000000001</v>
      </c>
      <c r="I124" s="45">
        <v>-11.840999999999999</v>
      </c>
      <c r="U124" s="218">
        <f t="shared" si="12"/>
        <v>1</v>
      </c>
    </row>
    <row r="125" spans="2:21">
      <c r="B125" s="2" t="s">
        <v>1188</v>
      </c>
      <c r="C125" s="61" t="s">
        <v>1230</v>
      </c>
      <c r="D125" s="45">
        <v>9.0630000000000006</v>
      </c>
      <c r="E125" s="45">
        <v>5.9130000000000003</v>
      </c>
      <c r="F125" s="45">
        <v>3.7770000000000001</v>
      </c>
      <c r="G125" s="45">
        <v>14.198</v>
      </c>
      <c r="H125" s="45">
        <v>12.743</v>
      </c>
      <c r="I125" s="45">
        <v>13.593</v>
      </c>
      <c r="U125" s="218">
        <f t="shared" si="12"/>
        <v>1</v>
      </c>
    </row>
    <row r="126" spans="2:21">
      <c r="B126" s="2" t="s">
        <v>1189</v>
      </c>
      <c r="C126" s="61" t="s">
        <v>1231</v>
      </c>
      <c r="D126" s="45">
        <v>38.058999999999997</v>
      </c>
      <c r="E126" s="45">
        <v>-20.652999999999999</v>
      </c>
      <c r="F126" s="45">
        <v>-41.715000000000003</v>
      </c>
      <c r="G126" s="45">
        <v>-9.9220000000000006</v>
      </c>
      <c r="H126" s="45">
        <v>-18.437999999999999</v>
      </c>
      <c r="I126" s="45">
        <v>8.4380000000000006</v>
      </c>
      <c r="U126" s="218">
        <f t="shared" si="12"/>
        <v>1</v>
      </c>
    </row>
    <row r="127" spans="2:21">
      <c r="B127" s="2" t="s">
        <v>1190</v>
      </c>
      <c r="C127" s="61" t="s">
        <v>1232</v>
      </c>
      <c r="D127" s="45">
        <v>44.637</v>
      </c>
      <c r="E127" s="45">
        <v>55.405999999999999</v>
      </c>
      <c r="F127" s="45">
        <v>40.101999999999997</v>
      </c>
      <c r="G127" s="45">
        <v>-36.406999999999996</v>
      </c>
      <c r="H127" s="45">
        <v>-6.0979999999999999</v>
      </c>
      <c r="I127" s="45">
        <v>-23.253</v>
      </c>
      <c r="U127" s="218">
        <f t="shared" si="12"/>
        <v>1</v>
      </c>
    </row>
    <row r="128" spans="2:21">
      <c r="B128" s="2" t="s">
        <v>1191</v>
      </c>
      <c r="C128" s="61" t="s">
        <v>1233</v>
      </c>
      <c r="D128" s="45">
        <v>33.438000000000002</v>
      </c>
      <c r="E128" s="45">
        <v>-12.595000000000001</v>
      </c>
      <c r="F128" s="45">
        <v>-57.276000000000003</v>
      </c>
      <c r="G128" s="45">
        <v>4.5060000000000002</v>
      </c>
      <c r="H128" s="45">
        <v>-35.561</v>
      </c>
      <c r="I128" s="45">
        <v>5.23</v>
      </c>
      <c r="U128" s="218">
        <f t="shared" si="12"/>
        <v>1</v>
      </c>
    </row>
    <row r="129" spans="2:21">
      <c r="B129" s="2" t="s">
        <v>1192</v>
      </c>
      <c r="C129" s="61" t="s">
        <v>1234</v>
      </c>
      <c r="D129" s="45">
        <v>34.823</v>
      </c>
      <c r="E129" s="45">
        <v>-8.9990000000000006</v>
      </c>
      <c r="F129" s="45">
        <v>-43.624000000000002</v>
      </c>
      <c r="G129" s="45">
        <v>5.5659999999999998</v>
      </c>
      <c r="H129" s="45">
        <v>-44.460999999999999</v>
      </c>
      <c r="I129" s="45">
        <v>7.1660000000000004</v>
      </c>
      <c r="U129" s="218">
        <f t="shared" si="12"/>
        <v>1</v>
      </c>
    </row>
    <row r="130" spans="2:21">
      <c r="B130" s="2" t="s">
        <v>1193</v>
      </c>
      <c r="C130" s="61" t="s">
        <v>1235</v>
      </c>
      <c r="D130" s="45">
        <v>9.6460000000000008</v>
      </c>
      <c r="E130" s="45">
        <v>9.6460000000000008</v>
      </c>
      <c r="F130" s="45">
        <v>9.6460000000000008</v>
      </c>
      <c r="G130" s="45">
        <v>6.5110000000000001</v>
      </c>
      <c r="H130" s="45">
        <v>6.5110000000000001</v>
      </c>
      <c r="I130" s="45">
        <v>6.5110000000000001</v>
      </c>
      <c r="U130" s="218">
        <f t="shared" si="12"/>
        <v>1</v>
      </c>
    </row>
    <row r="131" spans="2:21">
      <c r="C131" s="61"/>
      <c r="D131" s="102"/>
      <c r="E131" s="102"/>
      <c r="F131" s="102"/>
      <c r="G131" s="102"/>
      <c r="H131" s="102"/>
      <c r="I131" s="102"/>
      <c r="U131" s="217">
        <v>1</v>
      </c>
    </row>
    <row r="132" spans="2:21">
      <c r="B132" s="94" t="s">
        <v>1236</v>
      </c>
      <c r="C132" s="61"/>
      <c r="D132" s="102"/>
      <c r="E132" s="102"/>
      <c r="F132" s="102"/>
      <c r="G132" s="102"/>
      <c r="H132" s="102"/>
      <c r="I132" s="102"/>
      <c r="U132" s="217">
        <v>1</v>
      </c>
    </row>
    <row r="133" spans="2:21">
      <c r="B133" s="2" t="s">
        <v>1174</v>
      </c>
      <c r="C133" s="61" t="s">
        <v>1256</v>
      </c>
      <c r="D133" s="45">
        <v>3.944</v>
      </c>
      <c r="E133" s="45">
        <v>-2.5510000000000002</v>
      </c>
      <c r="F133" s="45">
        <v>1.232</v>
      </c>
      <c r="G133" s="45">
        <v>0.83599999999999997</v>
      </c>
      <c r="H133" s="45">
        <v>-5.0910000000000002</v>
      </c>
      <c r="I133" s="45">
        <v>-2.95</v>
      </c>
      <c r="U133" s="218">
        <f t="shared" ref="U133:U152" si="13">IF(COUNT(D133:I133)&lt;&gt;0,1,"")</f>
        <v>1</v>
      </c>
    </row>
    <row r="134" spans="2:21">
      <c r="B134" s="2" t="s">
        <v>1177</v>
      </c>
      <c r="C134" s="61" t="s">
        <v>1237</v>
      </c>
      <c r="D134" s="45">
        <v>1.7729999999999999</v>
      </c>
      <c r="E134" s="45">
        <v>-3.9279999999999999</v>
      </c>
      <c r="F134" s="45">
        <v>-0.78400000000000003</v>
      </c>
      <c r="G134" s="45">
        <v>-2.3889999999999998</v>
      </c>
      <c r="H134" s="45">
        <v>-9.0109999999999992</v>
      </c>
      <c r="I134" s="45">
        <v>-6.2770000000000001</v>
      </c>
      <c r="U134" s="218">
        <f t="shared" si="13"/>
        <v>1</v>
      </c>
    </row>
    <row r="135" spans="2:21">
      <c r="B135" s="2" t="s">
        <v>1179</v>
      </c>
      <c r="C135" s="61" t="s">
        <v>1238</v>
      </c>
      <c r="D135" s="45">
        <v>1.95</v>
      </c>
      <c r="E135" s="45">
        <v>-10.163</v>
      </c>
      <c r="F135" s="45">
        <v>-1.31</v>
      </c>
      <c r="G135" s="45">
        <v>-11.414</v>
      </c>
      <c r="H135" s="45">
        <v>-14.101000000000001</v>
      </c>
      <c r="I135" s="45">
        <v>-9.8000000000000007</v>
      </c>
      <c r="U135" s="218">
        <f t="shared" si="13"/>
        <v>1</v>
      </c>
    </row>
    <row r="136" spans="2:21">
      <c r="B136" s="2" t="s">
        <v>1178</v>
      </c>
      <c r="C136" s="61" t="s">
        <v>1239</v>
      </c>
      <c r="D136" s="45">
        <v>1.5669999999999999</v>
      </c>
      <c r="E136" s="45">
        <v>-12.211</v>
      </c>
      <c r="F136" s="45">
        <v>-2.4769999999999999</v>
      </c>
      <c r="G136" s="45">
        <v>-15.167999999999999</v>
      </c>
      <c r="H136" s="45">
        <v>-16.408000000000001</v>
      </c>
      <c r="I136" s="45">
        <v>-11.275</v>
      </c>
      <c r="U136" s="218">
        <f t="shared" si="13"/>
        <v>1</v>
      </c>
    </row>
    <row r="137" spans="2:21">
      <c r="B137" s="2" t="s">
        <v>1180</v>
      </c>
      <c r="C137" s="61" t="s">
        <v>1240</v>
      </c>
      <c r="D137" s="45">
        <v>1.4770000000000001</v>
      </c>
      <c r="E137" s="45">
        <v>-13.057</v>
      </c>
      <c r="F137" s="45">
        <v>-2.802</v>
      </c>
      <c r="G137" s="45">
        <v>-16.763000000000002</v>
      </c>
      <c r="H137" s="45">
        <v>-17.795999999999999</v>
      </c>
      <c r="I137" s="45">
        <v>-12.138</v>
      </c>
      <c r="U137" s="218">
        <f t="shared" si="13"/>
        <v>1</v>
      </c>
    </row>
    <row r="138" spans="2:21">
      <c r="B138" s="2" t="s">
        <v>1181</v>
      </c>
      <c r="C138" s="61" t="s">
        <v>1241</v>
      </c>
      <c r="D138" s="45">
        <v>-2.0640000000000001</v>
      </c>
      <c r="E138" s="45">
        <v>-11.592000000000001</v>
      </c>
      <c r="F138" s="45">
        <v>-38.168999999999997</v>
      </c>
      <c r="G138" s="45">
        <v>49.072000000000003</v>
      </c>
      <c r="H138" s="45">
        <v>-46.151000000000003</v>
      </c>
      <c r="I138" s="45">
        <v>8.9190000000000005</v>
      </c>
      <c r="U138" s="218">
        <f t="shared" si="13"/>
        <v>1</v>
      </c>
    </row>
    <row r="139" spans="2:21">
      <c r="B139" s="2" t="s">
        <v>1182</v>
      </c>
      <c r="C139" s="61" t="s">
        <v>1242</v>
      </c>
      <c r="D139" s="45">
        <v>-6.01</v>
      </c>
      <c r="E139" s="45">
        <v>-25.135999999999999</v>
      </c>
      <c r="F139" s="45">
        <v>-45.500999999999998</v>
      </c>
      <c r="G139" s="45">
        <v>102.32599999999999</v>
      </c>
      <c r="H139" s="45">
        <v>-58.360999999999997</v>
      </c>
      <c r="I139" s="45">
        <v>11.08</v>
      </c>
      <c r="U139" s="218">
        <f t="shared" si="13"/>
        <v>1</v>
      </c>
    </row>
    <row r="140" spans="2:21">
      <c r="B140" s="2" t="s">
        <v>1183</v>
      </c>
      <c r="C140" s="61" t="s">
        <v>1243</v>
      </c>
      <c r="D140" s="45">
        <v>0.67600000000000005</v>
      </c>
      <c r="E140" s="45">
        <v>-21.533999999999999</v>
      </c>
      <c r="F140" s="45">
        <v>-10.404</v>
      </c>
      <c r="G140" s="45">
        <v>-29.466999999999999</v>
      </c>
      <c r="H140" s="45">
        <v>-27.521999999999998</v>
      </c>
      <c r="I140" s="45">
        <v>-18.361999999999998</v>
      </c>
      <c r="U140" s="218">
        <f t="shared" si="13"/>
        <v>1</v>
      </c>
    </row>
    <row r="141" spans="2:21">
      <c r="B141" s="2" t="s">
        <v>1175</v>
      </c>
      <c r="C141" s="61" t="s">
        <v>1244</v>
      </c>
      <c r="D141" s="45">
        <v>-0.36199999999999999</v>
      </c>
      <c r="E141" s="45">
        <v>-10.571</v>
      </c>
      <c r="F141" s="45">
        <v>-36.073</v>
      </c>
      <c r="G141" s="45">
        <v>51.838999999999999</v>
      </c>
      <c r="H141" s="45">
        <v>-44.94</v>
      </c>
      <c r="I141" s="45">
        <v>10.173999999999999</v>
      </c>
      <c r="U141" s="218">
        <f t="shared" si="13"/>
        <v>1</v>
      </c>
    </row>
    <row r="142" spans="2:21">
      <c r="B142" s="2" t="s">
        <v>1184</v>
      </c>
      <c r="C142" s="61" t="s">
        <v>1245</v>
      </c>
      <c r="D142" s="45">
        <v>5.9390000000000001</v>
      </c>
      <c r="E142" s="45">
        <v>4.8689999999999998</v>
      </c>
      <c r="F142" s="45">
        <v>6.1609999999999996</v>
      </c>
      <c r="G142" s="45">
        <v>4.7460000000000004</v>
      </c>
      <c r="H142" s="45">
        <v>2.177</v>
      </c>
      <c r="I142" s="45">
        <v>2.5390000000000001</v>
      </c>
      <c r="U142" s="218">
        <f t="shared" si="13"/>
        <v>1</v>
      </c>
    </row>
    <row r="143" spans="2:21">
      <c r="B143" s="2" t="s">
        <v>1185</v>
      </c>
      <c r="C143" s="61" t="s">
        <v>1246</v>
      </c>
      <c r="D143" s="45">
        <v>13.042999999999999</v>
      </c>
      <c r="E143" s="45">
        <v>16.669</v>
      </c>
      <c r="F143" s="45">
        <v>14.96</v>
      </c>
      <c r="G143" s="45">
        <v>10.956</v>
      </c>
      <c r="H143" s="45">
        <v>6.8959999999999999</v>
      </c>
      <c r="I143" s="45">
        <v>4.4660000000000002</v>
      </c>
      <c r="U143" s="218">
        <f t="shared" si="13"/>
        <v>1</v>
      </c>
    </row>
    <row r="144" spans="2:21">
      <c r="B144" s="2" t="s">
        <v>1186</v>
      </c>
      <c r="C144" s="61" t="s">
        <v>1247</v>
      </c>
      <c r="D144" s="45">
        <v>-0.80300000000000005</v>
      </c>
      <c r="E144" s="45">
        <v>-0.47</v>
      </c>
      <c r="F144" s="45">
        <v>-0.154</v>
      </c>
      <c r="G144" s="45">
        <v>6.0289999999999999</v>
      </c>
      <c r="H144" s="45">
        <v>1.9319999999999999</v>
      </c>
      <c r="I144" s="45">
        <v>1.831</v>
      </c>
      <c r="U144" s="218">
        <f t="shared" si="13"/>
        <v>1</v>
      </c>
    </row>
    <row r="145" spans="2:21">
      <c r="B145" s="2" t="s">
        <v>1176</v>
      </c>
      <c r="C145" s="61" t="s">
        <v>1248</v>
      </c>
      <c r="D145" s="45">
        <v>2.9409999999999998</v>
      </c>
      <c r="E145" s="45">
        <v>4.2240000000000002</v>
      </c>
      <c r="F145" s="45">
        <v>3.097</v>
      </c>
      <c r="G145" s="45">
        <v>3.6389999999999998</v>
      </c>
      <c r="H145" s="45">
        <v>3.7890000000000001</v>
      </c>
      <c r="I145" s="45">
        <v>4.3070000000000004</v>
      </c>
      <c r="U145" s="218">
        <f t="shared" si="13"/>
        <v>1</v>
      </c>
    </row>
    <row r="146" spans="2:21">
      <c r="B146" s="2" t="s">
        <v>1187</v>
      </c>
      <c r="C146" s="61" t="s">
        <v>1249</v>
      </c>
      <c r="D146" s="45">
        <v>-10.154</v>
      </c>
      <c r="E146" s="45">
        <v>-5.7320000000000002</v>
      </c>
      <c r="F146" s="45">
        <v>-8.4269999999999996</v>
      </c>
      <c r="G146" s="45">
        <v>-27.106000000000002</v>
      </c>
      <c r="H146" s="45">
        <v>-26.867999999999999</v>
      </c>
      <c r="I146" s="45">
        <v>-14.316000000000001</v>
      </c>
      <c r="U146" s="218">
        <f t="shared" si="13"/>
        <v>1</v>
      </c>
    </row>
    <row r="147" spans="2:21">
      <c r="B147" s="2" t="s">
        <v>1188</v>
      </c>
      <c r="C147" s="61" t="s">
        <v>1250</v>
      </c>
      <c r="D147" s="45">
        <v>3.05</v>
      </c>
      <c r="E147" s="45">
        <v>2.2759999999999998</v>
      </c>
      <c r="F147" s="45">
        <v>1.556</v>
      </c>
      <c r="G147" s="45">
        <v>7.1630000000000003</v>
      </c>
      <c r="H147" s="45">
        <v>9.3230000000000004</v>
      </c>
      <c r="I147" s="45">
        <v>10.532</v>
      </c>
      <c r="U147" s="218">
        <f t="shared" si="13"/>
        <v>1</v>
      </c>
    </row>
    <row r="148" spans="2:21">
      <c r="B148" s="2" t="s">
        <v>1189</v>
      </c>
      <c r="C148" s="61" t="s">
        <v>1251</v>
      </c>
      <c r="D148" s="45">
        <v>61.595999999999997</v>
      </c>
      <c r="E148" s="45">
        <v>-15.484999999999999</v>
      </c>
      <c r="F148" s="45">
        <v>-21.088999999999999</v>
      </c>
      <c r="G148" s="45">
        <v>45.051000000000002</v>
      </c>
      <c r="H148" s="45">
        <v>-9.9209999999999994</v>
      </c>
      <c r="I148" s="45">
        <v>41.646999999999998</v>
      </c>
      <c r="U148" s="218">
        <f t="shared" si="13"/>
        <v>1</v>
      </c>
    </row>
    <row r="149" spans="2:21">
      <c r="B149" s="2" t="s">
        <v>1190</v>
      </c>
      <c r="C149" s="61" t="s">
        <v>1252</v>
      </c>
      <c r="D149" s="45">
        <v>25.945</v>
      </c>
      <c r="E149" s="45">
        <v>13.27</v>
      </c>
      <c r="F149" s="45">
        <v>16.016999999999999</v>
      </c>
      <c r="G149" s="45">
        <v>-7.468</v>
      </c>
      <c r="H149" s="45">
        <v>1.6220000000000001</v>
      </c>
      <c r="I149" s="45">
        <v>-9.6020000000000003</v>
      </c>
      <c r="U149" s="218">
        <f t="shared" si="13"/>
        <v>1</v>
      </c>
    </row>
    <row r="150" spans="2:21">
      <c r="B150" s="2" t="s">
        <v>1191</v>
      </c>
      <c r="C150" s="61" t="s">
        <v>1253</v>
      </c>
      <c r="D150" s="45">
        <v>61.795000000000002</v>
      </c>
      <c r="E150" s="45">
        <v>-16.085999999999999</v>
      </c>
      <c r="F150" s="45">
        <v>-37.027999999999999</v>
      </c>
      <c r="G150" s="45">
        <v>15.613</v>
      </c>
      <c r="H150" s="45">
        <v>-9.1880000000000006</v>
      </c>
      <c r="I150" s="45">
        <v>93.625</v>
      </c>
      <c r="U150" s="218">
        <f t="shared" si="13"/>
        <v>1</v>
      </c>
    </row>
    <row r="151" spans="2:21">
      <c r="B151" s="2" t="s">
        <v>1192</v>
      </c>
      <c r="C151" s="61" t="s">
        <v>1254</v>
      </c>
      <c r="D151" s="45">
        <v>69.921999999999997</v>
      </c>
      <c r="E151" s="45">
        <v>-13.249000000000001</v>
      </c>
      <c r="F151" s="45">
        <v>-25.795999999999999</v>
      </c>
      <c r="G151" s="45">
        <v>21.234000000000002</v>
      </c>
      <c r="H151" s="45">
        <v>-15.433999999999999</v>
      </c>
      <c r="I151" s="45">
        <v>54.392000000000003</v>
      </c>
      <c r="U151" s="218">
        <f t="shared" si="13"/>
        <v>1</v>
      </c>
    </row>
    <row r="152" spans="2:21">
      <c r="B152" s="2" t="s">
        <v>1193</v>
      </c>
      <c r="C152" s="61" t="s">
        <v>1255</v>
      </c>
      <c r="D152" s="45">
        <v>28.585000000000001</v>
      </c>
      <c r="E152" s="45">
        <v>28.585000000000001</v>
      </c>
      <c r="F152" s="45">
        <v>28.585000000000001</v>
      </c>
      <c r="G152" s="45">
        <v>7.4470000000000001</v>
      </c>
      <c r="H152" s="45">
        <v>7.7140000000000004</v>
      </c>
      <c r="I152" s="45">
        <v>7.7140000000000004</v>
      </c>
      <c r="U152" s="218">
        <f t="shared" si="13"/>
        <v>1</v>
      </c>
    </row>
    <row r="153" spans="2:21">
      <c r="B153" s="221"/>
      <c r="C153" s="222"/>
      <c r="D153" s="223"/>
      <c r="E153" s="223"/>
      <c r="F153" s="223"/>
      <c r="G153" s="223"/>
      <c r="H153" s="223"/>
      <c r="I153" s="223"/>
    </row>
  </sheetData>
  <pageMargins left="0.25" right="0.25" top="0.25" bottom="0.25" header="0" footer="0"/>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ideEmpty4">
                <anchor moveWithCells="1" sizeWithCells="1">
                  <from>
                    <xdr:col>4</xdr:col>
                    <xdr:colOff>746760</xdr:colOff>
                    <xdr:row>0</xdr:row>
                    <xdr:rowOff>106680</xdr:rowOff>
                  </from>
                  <to>
                    <xdr:col>6</xdr:col>
                    <xdr:colOff>99060</xdr:colOff>
                    <xdr:row>2</xdr:row>
                    <xdr:rowOff>38100</xdr:rowOff>
                  </to>
                </anchor>
              </controlPr>
            </control>
          </mc:Choice>
        </mc:AlternateContent>
        <mc:AlternateContent xmlns:mc="http://schemas.openxmlformats.org/markup-compatibility/2006">
          <mc:Choice Requires="x14">
            <control shapeId="8194" r:id="rId5" name="Button 2">
              <controlPr defaultSize="0" print="0" autoFill="0" autoPict="0" macro="[0]!UnhideAll">
                <anchor moveWithCells="1" sizeWithCells="1">
                  <from>
                    <xdr:col>6</xdr:col>
                    <xdr:colOff>251460</xdr:colOff>
                    <xdr:row>0</xdr:row>
                    <xdr:rowOff>106680</xdr:rowOff>
                  </from>
                  <to>
                    <xdr:col>7</xdr:col>
                    <xdr:colOff>373380</xdr:colOff>
                    <xdr:row>2</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2:V167"/>
  <sheetViews>
    <sheetView showGridLines="0" workbookViewId="0"/>
  </sheetViews>
  <sheetFormatPr defaultRowHeight="10.199999999999999" outlineLevelRow="1" outlineLevelCol="1"/>
  <cols>
    <col min="1" max="1" width="2" customWidth="1"/>
    <col min="2" max="2" width="53.28515625" customWidth="1"/>
    <col min="3" max="3" width="18.85546875" style="2" hidden="1" customWidth="1" outlineLevel="1"/>
    <col min="4" max="4" width="14.28515625" style="3" customWidth="1" collapsed="1"/>
    <col min="5" max="9" width="13.42578125" style="3" customWidth="1"/>
    <col min="10" max="16" width="13.42578125" customWidth="1"/>
    <col min="21" max="21" width="9.28515625" hidden="1" customWidth="1" outlineLevel="1"/>
    <col min="22" max="22" width="9.28515625" collapsed="1"/>
  </cols>
  <sheetData>
    <row r="2" spans="1:9">
      <c r="B2" t="s">
        <v>2275</v>
      </c>
    </row>
    <row r="3" spans="1:9">
      <c r="A3" s="47"/>
      <c r="B3" s="47"/>
      <c r="C3" s="91"/>
      <c r="D3" s="48"/>
      <c r="E3" s="48"/>
      <c r="F3" s="104"/>
      <c r="G3" s="48"/>
      <c r="H3" s="48"/>
      <c r="I3" s="48"/>
    </row>
    <row r="4" spans="1:9" ht="16.2" thickBot="1">
      <c r="A4" s="47"/>
      <c r="B4" s="50" t="str">
        <f>D11&amp;IF(D12="",""," ("&amp;D12&amp;")")</f>
        <v>FMC Corporation (NYSE:FMC) (FMC-US)</v>
      </c>
      <c r="C4" s="100"/>
      <c r="D4" s="52"/>
      <c r="E4" s="52"/>
      <c r="F4" s="52"/>
      <c r="G4" s="52"/>
      <c r="H4" s="52"/>
      <c r="I4" s="119" t="s">
        <v>2280</v>
      </c>
    </row>
    <row r="5" spans="1:9">
      <c r="A5" s="47"/>
      <c r="B5" s="54" t="str">
        <f>"Data in "&amp;Curr_Sym</f>
        <v>Data in ($M)</v>
      </c>
      <c r="C5" s="54"/>
      <c r="D5" s="48"/>
      <c r="E5" s="48"/>
      <c r="F5" s="48"/>
      <c r="G5" s="48"/>
      <c r="H5" s="48"/>
      <c r="I5" s="48"/>
    </row>
    <row r="6" spans="1:9" hidden="1" outlineLevel="1">
      <c r="A6" s="47"/>
      <c r="B6" s="56"/>
      <c r="C6" s="57" t="str">
        <f ca="1">_xll.SNL.Clients.Office.Excel.Functions.SPGTable($D$6:$I$6,$C$11:$C$166,$D$7:$I$7,"Options: Curr="&amp;Sel_Curr&amp;", Mag="&amp;Sel_Mag&amp;",ConvMethod="&amp;Sel_Conv&amp;", NA=NA, Term=en-US")</f>
        <v>SPGTable</v>
      </c>
      <c r="D6" s="59" t="str">
        <f t="shared" ref="D6:I6" si="0">Focus_Co</f>
        <v>FMC</v>
      </c>
      <c r="E6" s="59" t="str">
        <f t="shared" si="0"/>
        <v>FMC</v>
      </c>
      <c r="F6" s="59" t="str">
        <f t="shared" si="0"/>
        <v>FMC</v>
      </c>
      <c r="G6" s="59" t="str">
        <f t="shared" si="0"/>
        <v>FMC</v>
      </c>
      <c r="H6" s="59" t="str">
        <f t="shared" si="0"/>
        <v>FMC</v>
      </c>
      <c r="I6" s="59" t="str">
        <f t="shared" si="0"/>
        <v>FMC</v>
      </c>
    </row>
    <row r="7" spans="1:9" hidden="1" outlineLevel="1">
      <c r="A7" s="47"/>
      <c r="B7" s="56"/>
      <c r="C7" s="57"/>
      <c r="D7" s="59" t="str">
        <f t="shared" ref="D7:F7" si="1">LEFT(E7,LEN(E7)-1)&amp;RIGHT(E7,1)+1</f>
        <v>FQ-5</v>
      </c>
      <c r="E7" s="59" t="str">
        <f t="shared" si="1"/>
        <v>FQ-4</v>
      </c>
      <c r="F7" s="59" t="str">
        <f t="shared" si="1"/>
        <v>FQ-3</v>
      </c>
      <c r="G7" s="59" t="str">
        <f>LEFT(H7,LEN(H7)-1)&amp;RIGHT(H7,1)+1</f>
        <v>FQ-2</v>
      </c>
      <c r="H7" s="59" t="str">
        <f>VLOOKUP(Period,FormatTable,2,FALSE)</f>
        <v>FQ-1</v>
      </c>
      <c r="I7" s="59" t="str">
        <f>Period</f>
        <v>FQ0</v>
      </c>
    </row>
    <row r="8" spans="1:9" hidden="1" outlineLevel="1">
      <c r="A8" s="47"/>
      <c r="B8" s="56"/>
      <c r="C8" s="57"/>
      <c r="D8" s="209">
        <f t="shared" ref="D8:I8" ca="1" si="2">IF(Date="","",Date)</f>
        <v>45536</v>
      </c>
      <c r="E8" s="209">
        <f t="shared" ca="1" si="2"/>
        <v>45536</v>
      </c>
      <c r="F8" s="209">
        <f t="shared" ca="1" si="2"/>
        <v>45536</v>
      </c>
      <c r="G8" s="209">
        <f t="shared" ca="1" si="2"/>
        <v>45536</v>
      </c>
      <c r="H8" s="209">
        <f t="shared" ca="1" si="2"/>
        <v>45536</v>
      </c>
      <c r="I8" s="209">
        <f t="shared" ca="1" si="2"/>
        <v>45536</v>
      </c>
    </row>
    <row r="9" spans="1:9" hidden="1" outlineLevel="1">
      <c r="A9" s="47"/>
      <c r="B9" s="2"/>
      <c r="C9" s="61"/>
      <c r="D9" s="48"/>
      <c r="E9" s="48"/>
      <c r="F9" s="48"/>
      <c r="G9" s="48"/>
      <c r="H9" s="48"/>
      <c r="I9" s="48"/>
    </row>
    <row r="10" spans="1:9" hidden="1" outlineLevel="1">
      <c r="A10" s="47"/>
      <c r="B10" s="2"/>
      <c r="C10" s="61"/>
      <c r="D10" s="48"/>
      <c r="E10" s="48"/>
      <c r="F10" s="48"/>
      <c r="G10" s="48"/>
      <c r="H10" s="48"/>
      <c r="I10" s="48"/>
    </row>
    <row r="11" spans="1:9" hidden="1" outlineLevel="1">
      <c r="A11" s="47"/>
      <c r="B11" s="56"/>
      <c r="C11" s="61" t="s">
        <v>322</v>
      </c>
      <c r="D11" s="48" t="s">
        <v>2289</v>
      </c>
      <c r="E11" s="48" t="s">
        <v>2289</v>
      </c>
      <c r="F11" s="48" t="s">
        <v>2289</v>
      </c>
      <c r="G11" s="48" t="s">
        <v>2289</v>
      </c>
      <c r="H11" s="48" t="s">
        <v>2289</v>
      </c>
      <c r="I11" s="48" t="s">
        <v>2289</v>
      </c>
    </row>
    <row r="12" spans="1:9" hidden="1" outlineLevel="1">
      <c r="A12" s="47"/>
      <c r="B12" s="56"/>
      <c r="C12" s="61" t="s">
        <v>323</v>
      </c>
      <c r="D12" s="48" t="s">
        <v>2290</v>
      </c>
      <c r="E12" s="48" t="s">
        <v>2290</v>
      </c>
      <c r="F12" s="48" t="s">
        <v>2290</v>
      </c>
      <c r="G12" s="48" t="s">
        <v>2290</v>
      </c>
      <c r="H12" s="48" t="s">
        <v>2290</v>
      </c>
      <c r="I12" s="48" t="s">
        <v>2290</v>
      </c>
    </row>
    <row r="13" spans="1:9" ht="20.100000000000001" customHeight="1" collapsed="1">
      <c r="A13" s="47"/>
      <c r="B13" s="62" t="s">
        <v>325</v>
      </c>
      <c r="C13" s="61" t="s">
        <v>326</v>
      </c>
      <c r="D13" s="162">
        <v>45016</v>
      </c>
      <c r="E13" s="162">
        <v>45107</v>
      </c>
      <c r="F13" s="162">
        <v>45199</v>
      </c>
      <c r="G13" s="162">
        <v>45291</v>
      </c>
      <c r="H13" s="162">
        <v>45382</v>
      </c>
      <c r="I13" s="162">
        <v>45473</v>
      </c>
    </row>
    <row r="14" spans="1:9">
      <c r="C14" s="61"/>
      <c r="D14" s="15"/>
      <c r="E14" s="15"/>
      <c r="F14" s="15"/>
      <c r="G14" s="15"/>
      <c r="H14" s="15"/>
      <c r="I14" s="15"/>
    </row>
    <row r="15" spans="1:9">
      <c r="B15" s="1" t="s">
        <v>1327</v>
      </c>
      <c r="C15" s="61" t="s">
        <v>272</v>
      </c>
      <c r="D15" s="15"/>
      <c r="E15" s="15"/>
      <c r="F15" s="15"/>
      <c r="G15" s="15"/>
      <c r="H15" s="15"/>
      <c r="I15" s="15"/>
    </row>
    <row r="16" spans="1:9">
      <c r="B16" s="2"/>
      <c r="C16" s="61"/>
      <c r="D16" s="15"/>
      <c r="E16" s="15"/>
      <c r="F16" s="15"/>
      <c r="G16" s="15"/>
      <c r="H16" s="15"/>
      <c r="I16" s="15"/>
    </row>
    <row r="17" spans="2:21">
      <c r="B17" s="94" t="s">
        <v>1424</v>
      </c>
      <c r="C17" s="61" t="s">
        <v>272</v>
      </c>
      <c r="D17" s="15"/>
      <c r="E17" s="15"/>
      <c r="F17" s="15"/>
      <c r="G17" s="15"/>
      <c r="H17" s="15"/>
      <c r="I17" s="15"/>
    </row>
    <row r="18" spans="2:21">
      <c r="B18" s="2" t="s">
        <v>1684</v>
      </c>
      <c r="C18" s="61" t="s">
        <v>1685</v>
      </c>
      <c r="D18" s="85" t="s">
        <v>301</v>
      </c>
      <c r="E18" s="85" t="s">
        <v>301</v>
      </c>
      <c r="F18" s="85" t="s">
        <v>301</v>
      </c>
      <c r="G18" s="85" t="s">
        <v>301</v>
      </c>
      <c r="H18" s="85" t="s">
        <v>301</v>
      </c>
      <c r="I18" s="85" t="s">
        <v>301</v>
      </c>
      <c r="U18" s="218" t="str">
        <f>IF(COUNT(D18:I18)&lt;&gt;0,1,"")</f>
        <v/>
      </c>
    </row>
    <row r="19" spans="2:21">
      <c r="B19" s="2" t="s">
        <v>454</v>
      </c>
      <c r="C19" s="61" t="s">
        <v>455</v>
      </c>
      <c r="D19" s="85" t="s">
        <v>301</v>
      </c>
      <c r="E19" s="85" t="s">
        <v>301</v>
      </c>
      <c r="F19" s="85" t="s">
        <v>301</v>
      </c>
      <c r="G19" s="85">
        <v>59.6</v>
      </c>
      <c r="H19" s="85" t="s">
        <v>301</v>
      </c>
      <c r="I19" s="85" t="s">
        <v>301</v>
      </c>
      <c r="U19" s="218">
        <f t="shared" ref="U19:U73" si="3">IF(COUNT(D19:I19)&lt;&gt;0,1,"")</f>
        <v>1</v>
      </c>
    </row>
    <row r="20" spans="2:21">
      <c r="B20" s="2" t="s">
        <v>456</v>
      </c>
      <c r="C20" s="61" t="s">
        <v>457</v>
      </c>
      <c r="D20" s="85" t="s">
        <v>301</v>
      </c>
      <c r="E20" s="85" t="s">
        <v>301</v>
      </c>
      <c r="F20" s="85" t="s">
        <v>301</v>
      </c>
      <c r="G20" s="85">
        <v>113.9</v>
      </c>
      <c r="H20" s="85" t="s">
        <v>301</v>
      </c>
      <c r="I20" s="85" t="s">
        <v>301</v>
      </c>
      <c r="U20" s="218">
        <f t="shared" si="3"/>
        <v>1</v>
      </c>
    </row>
    <row r="21" spans="2:21">
      <c r="B21" s="2" t="s">
        <v>460</v>
      </c>
      <c r="C21" s="61" t="s">
        <v>461</v>
      </c>
      <c r="D21" s="85" t="s">
        <v>301</v>
      </c>
      <c r="E21" s="85" t="s">
        <v>301</v>
      </c>
      <c r="F21" s="85" t="s">
        <v>301</v>
      </c>
      <c r="G21" s="85">
        <v>-80.8</v>
      </c>
      <c r="H21" s="85" t="s">
        <v>301</v>
      </c>
      <c r="I21" s="85" t="s">
        <v>301</v>
      </c>
      <c r="U21" s="218">
        <f t="shared" si="3"/>
        <v>1</v>
      </c>
    </row>
    <row r="22" spans="2:21">
      <c r="B22" s="2" t="s">
        <v>462</v>
      </c>
      <c r="C22" s="61" t="s">
        <v>463</v>
      </c>
      <c r="D22" s="85" t="s">
        <v>301</v>
      </c>
      <c r="E22" s="85" t="s">
        <v>301</v>
      </c>
      <c r="F22" s="85" t="s">
        <v>301</v>
      </c>
      <c r="G22" s="85">
        <v>-1212</v>
      </c>
      <c r="H22" s="85" t="s">
        <v>301</v>
      </c>
      <c r="I22" s="85" t="s">
        <v>301</v>
      </c>
      <c r="U22" s="218">
        <f t="shared" si="3"/>
        <v>1</v>
      </c>
    </row>
    <row r="23" spans="2:21">
      <c r="B23" s="2" t="s">
        <v>1729</v>
      </c>
      <c r="C23" s="61" t="s">
        <v>1686</v>
      </c>
      <c r="D23" s="85" t="s">
        <v>301</v>
      </c>
      <c r="E23" s="85" t="s">
        <v>301</v>
      </c>
      <c r="F23" s="85" t="s">
        <v>301</v>
      </c>
      <c r="G23" s="85" t="s">
        <v>301</v>
      </c>
      <c r="H23" s="85" t="s">
        <v>301</v>
      </c>
      <c r="I23" s="85" t="s">
        <v>301</v>
      </c>
      <c r="U23" s="218" t="str">
        <f t="shared" si="3"/>
        <v/>
      </c>
    </row>
    <row r="24" spans="2:21">
      <c r="B24" s="2" t="s">
        <v>1732</v>
      </c>
      <c r="C24" s="61" t="s">
        <v>1689</v>
      </c>
      <c r="D24" s="85" t="s">
        <v>301</v>
      </c>
      <c r="E24" s="85" t="s">
        <v>301</v>
      </c>
      <c r="F24" s="85" t="s">
        <v>301</v>
      </c>
      <c r="G24" s="85" t="s">
        <v>301</v>
      </c>
      <c r="H24" s="85" t="s">
        <v>301</v>
      </c>
      <c r="I24" s="85" t="s">
        <v>301</v>
      </c>
      <c r="U24" s="218" t="str">
        <f t="shared" si="3"/>
        <v/>
      </c>
    </row>
    <row r="25" spans="2:21">
      <c r="B25" s="2" t="s">
        <v>1733</v>
      </c>
      <c r="C25" s="61" t="s">
        <v>1690</v>
      </c>
      <c r="D25" s="85" t="s">
        <v>301</v>
      </c>
      <c r="E25" s="85" t="s">
        <v>301</v>
      </c>
      <c r="F25" s="85" t="s">
        <v>301</v>
      </c>
      <c r="G25" s="85" t="s">
        <v>301</v>
      </c>
      <c r="H25" s="85" t="s">
        <v>301</v>
      </c>
      <c r="I25" s="85" t="s">
        <v>301</v>
      </c>
      <c r="U25" s="218" t="str">
        <f t="shared" si="3"/>
        <v/>
      </c>
    </row>
    <row r="26" spans="2:21">
      <c r="B26" s="2" t="s">
        <v>1734</v>
      </c>
      <c r="C26" s="61" t="s">
        <v>1390</v>
      </c>
      <c r="D26" s="85" t="s">
        <v>301</v>
      </c>
      <c r="E26" s="85" t="s">
        <v>301</v>
      </c>
      <c r="F26" s="85" t="s">
        <v>301</v>
      </c>
      <c r="G26" s="85" t="s">
        <v>301</v>
      </c>
      <c r="H26" s="85" t="s">
        <v>301</v>
      </c>
      <c r="I26" s="85" t="s">
        <v>301</v>
      </c>
      <c r="U26" s="218" t="str">
        <f t="shared" si="3"/>
        <v/>
      </c>
    </row>
    <row r="27" spans="2:21">
      <c r="B27" s="2" t="s">
        <v>1735</v>
      </c>
      <c r="C27" s="61" t="s">
        <v>1391</v>
      </c>
      <c r="D27" s="85" t="s">
        <v>301</v>
      </c>
      <c r="E27" s="85" t="s">
        <v>301</v>
      </c>
      <c r="F27" s="85" t="s">
        <v>301</v>
      </c>
      <c r="G27" s="85" t="s">
        <v>301</v>
      </c>
      <c r="H27" s="85" t="s">
        <v>301</v>
      </c>
      <c r="I27" s="85" t="s">
        <v>301</v>
      </c>
      <c r="U27" s="218" t="str">
        <f t="shared" si="3"/>
        <v/>
      </c>
    </row>
    <row r="28" spans="2:21">
      <c r="B28" s="2" t="s">
        <v>1730</v>
      </c>
      <c r="C28" s="61" t="s">
        <v>1687</v>
      </c>
      <c r="D28" s="85" t="s">
        <v>301</v>
      </c>
      <c r="E28" s="85" t="s">
        <v>301</v>
      </c>
      <c r="F28" s="85" t="s">
        <v>301</v>
      </c>
      <c r="G28" s="85" t="s">
        <v>301</v>
      </c>
      <c r="H28" s="85" t="s">
        <v>301</v>
      </c>
      <c r="I28" s="85" t="s">
        <v>301</v>
      </c>
      <c r="U28" s="218" t="str">
        <f t="shared" si="3"/>
        <v/>
      </c>
    </row>
    <row r="29" spans="2:21">
      <c r="B29" s="2" t="s">
        <v>1731</v>
      </c>
      <c r="C29" s="61" t="s">
        <v>1688</v>
      </c>
      <c r="D29" s="85" t="s">
        <v>301</v>
      </c>
      <c r="E29" s="85" t="s">
        <v>301</v>
      </c>
      <c r="F29" s="85" t="s">
        <v>301</v>
      </c>
      <c r="G29" s="85" t="s">
        <v>301</v>
      </c>
      <c r="H29" s="85" t="s">
        <v>301</v>
      </c>
      <c r="I29" s="85" t="s">
        <v>301</v>
      </c>
      <c r="U29" s="218" t="str">
        <f t="shared" si="3"/>
        <v/>
      </c>
    </row>
    <row r="30" spans="2:21">
      <c r="B30" s="2" t="s">
        <v>1736</v>
      </c>
      <c r="C30" s="61" t="s">
        <v>1691</v>
      </c>
      <c r="D30" s="85" t="s">
        <v>301</v>
      </c>
      <c r="E30" s="85" t="s">
        <v>301</v>
      </c>
      <c r="F30" s="85" t="s">
        <v>301</v>
      </c>
      <c r="G30" s="85" t="s">
        <v>301</v>
      </c>
      <c r="H30" s="85" t="s">
        <v>301</v>
      </c>
      <c r="I30" s="85" t="s">
        <v>301</v>
      </c>
      <c r="U30" s="218" t="str">
        <f t="shared" si="3"/>
        <v/>
      </c>
    </row>
    <row r="31" spans="2:21">
      <c r="B31" s="2" t="s">
        <v>1737</v>
      </c>
      <c r="C31" s="61" t="s">
        <v>1692</v>
      </c>
      <c r="D31" s="85" t="s">
        <v>301</v>
      </c>
      <c r="E31" s="85" t="s">
        <v>301</v>
      </c>
      <c r="F31" s="85" t="s">
        <v>301</v>
      </c>
      <c r="G31" s="85" t="s">
        <v>301</v>
      </c>
      <c r="H31" s="85" t="s">
        <v>301</v>
      </c>
      <c r="I31" s="85" t="s">
        <v>301</v>
      </c>
      <c r="U31" s="218" t="str">
        <f t="shared" si="3"/>
        <v/>
      </c>
    </row>
    <row r="32" spans="2:21">
      <c r="B32" s="2" t="s">
        <v>1738</v>
      </c>
      <c r="C32" s="61" t="s">
        <v>1693</v>
      </c>
      <c r="D32" s="85" t="s">
        <v>301</v>
      </c>
      <c r="E32" s="85" t="s">
        <v>301</v>
      </c>
      <c r="F32" s="85" t="s">
        <v>301</v>
      </c>
      <c r="G32" s="85" t="s">
        <v>301</v>
      </c>
      <c r="H32" s="85" t="s">
        <v>301</v>
      </c>
      <c r="I32" s="85" t="s">
        <v>301</v>
      </c>
      <c r="U32" s="218" t="str">
        <f t="shared" si="3"/>
        <v/>
      </c>
    </row>
    <row r="33" spans="2:21">
      <c r="B33" s="2" t="s">
        <v>1739</v>
      </c>
      <c r="C33" s="61" t="s">
        <v>1694</v>
      </c>
      <c r="D33" s="85" t="s">
        <v>301</v>
      </c>
      <c r="E33" s="85" t="s">
        <v>301</v>
      </c>
      <c r="F33" s="85" t="s">
        <v>301</v>
      </c>
      <c r="G33" s="85" t="s">
        <v>301</v>
      </c>
      <c r="H33" s="85" t="s">
        <v>301</v>
      </c>
      <c r="I33" s="85" t="s">
        <v>301</v>
      </c>
      <c r="U33" s="218" t="str">
        <f t="shared" si="3"/>
        <v/>
      </c>
    </row>
    <row r="34" spans="2:21">
      <c r="B34" s="2" t="s">
        <v>1740</v>
      </c>
      <c r="C34" s="61" t="s">
        <v>1695</v>
      </c>
      <c r="D34" s="85" t="s">
        <v>301</v>
      </c>
      <c r="E34" s="85" t="s">
        <v>301</v>
      </c>
      <c r="F34" s="85" t="s">
        <v>301</v>
      </c>
      <c r="G34" s="85" t="s">
        <v>301</v>
      </c>
      <c r="H34" s="85" t="s">
        <v>301</v>
      </c>
      <c r="I34" s="85" t="s">
        <v>301</v>
      </c>
      <c r="U34" s="218" t="str">
        <f t="shared" si="3"/>
        <v/>
      </c>
    </row>
    <row r="35" spans="2:21">
      <c r="B35" s="2" t="s">
        <v>1741</v>
      </c>
      <c r="C35" s="61" t="s">
        <v>1696</v>
      </c>
      <c r="D35" s="85" t="s">
        <v>301</v>
      </c>
      <c r="E35" s="85" t="s">
        <v>301</v>
      </c>
      <c r="F35" s="85" t="s">
        <v>301</v>
      </c>
      <c r="G35" s="85" t="s">
        <v>301</v>
      </c>
      <c r="H35" s="85" t="s">
        <v>301</v>
      </c>
      <c r="I35" s="85" t="s">
        <v>301</v>
      </c>
      <c r="U35" s="218" t="str">
        <f t="shared" si="3"/>
        <v/>
      </c>
    </row>
    <row r="36" spans="2:21">
      <c r="B36" s="2" t="s">
        <v>1742</v>
      </c>
      <c r="C36" s="61" t="s">
        <v>1697</v>
      </c>
      <c r="D36" s="85" t="s">
        <v>301</v>
      </c>
      <c r="E36" s="85" t="s">
        <v>301</v>
      </c>
      <c r="F36" s="85" t="s">
        <v>301</v>
      </c>
      <c r="G36" s="85" t="s">
        <v>301</v>
      </c>
      <c r="H36" s="85" t="s">
        <v>301</v>
      </c>
      <c r="I36" s="85" t="s">
        <v>301</v>
      </c>
      <c r="U36" s="218" t="str">
        <f t="shared" si="3"/>
        <v/>
      </c>
    </row>
    <row r="37" spans="2:21">
      <c r="B37" s="2" t="s">
        <v>1743</v>
      </c>
      <c r="C37" s="61" t="s">
        <v>1698</v>
      </c>
      <c r="D37" s="85" t="s">
        <v>301</v>
      </c>
      <c r="E37" s="85" t="s">
        <v>301</v>
      </c>
      <c r="F37" s="85" t="s">
        <v>301</v>
      </c>
      <c r="G37" s="85" t="s">
        <v>301</v>
      </c>
      <c r="H37" s="85" t="s">
        <v>301</v>
      </c>
      <c r="I37" s="85" t="s">
        <v>301</v>
      </c>
      <c r="U37" s="218" t="str">
        <f t="shared" si="3"/>
        <v/>
      </c>
    </row>
    <row r="38" spans="2:21">
      <c r="B38" s="2" t="s">
        <v>1699</v>
      </c>
      <c r="C38" s="61" t="s">
        <v>1700</v>
      </c>
      <c r="D38" s="85" t="s">
        <v>301</v>
      </c>
      <c r="E38" s="85" t="s">
        <v>301</v>
      </c>
      <c r="F38" s="85" t="s">
        <v>301</v>
      </c>
      <c r="G38" s="85" t="s">
        <v>301</v>
      </c>
      <c r="H38" s="85" t="s">
        <v>301</v>
      </c>
      <c r="I38" s="85" t="s">
        <v>301</v>
      </c>
      <c r="U38" s="218" t="str">
        <f t="shared" si="3"/>
        <v/>
      </c>
    </row>
    <row r="39" spans="2:21">
      <c r="B39" s="2" t="s">
        <v>1701</v>
      </c>
      <c r="C39" s="61" t="s">
        <v>1702</v>
      </c>
      <c r="D39" s="85" t="s">
        <v>301</v>
      </c>
      <c r="E39" s="85" t="s">
        <v>301</v>
      </c>
      <c r="F39" s="85" t="s">
        <v>301</v>
      </c>
      <c r="G39" s="85" t="s">
        <v>301</v>
      </c>
      <c r="H39" s="85" t="s">
        <v>301</v>
      </c>
      <c r="I39" s="85" t="s">
        <v>301</v>
      </c>
      <c r="U39" s="218" t="str">
        <f t="shared" si="3"/>
        <v/>
      </c>
    </row>
    <row r="40" spans="2:21">
      <c r="B40" s="2" t="s">
        <v>1703</v>
      </c>
      <c r="C40" s="61" t="s">
        <v>1704</v>
      </c>
      <c r="D40" s="85" t="s">
        <v>301</v>
      </c>
      <c r="E40" s="85" t="s">
        <v>301</v>
      </c>
      <c r="F40" s="85" t="s">
        <v>301</v>
      </c>
      <c r="G40" s="85" t="s">
        <v>301</v>
      </c>
      <c r="H40" s="85" t="s">
        <v>301</v>
      </c>
      <c r="I40" s="85" t="s">
        <v>301</v>
      </c>
      <c r="U40" s="218" t="str">
        <f t="shared" si="3"/>
        <v/>
      </c>
    </row>
    <row r="41" spans="2:21">
      <c r="B41" s="2" t="s">
        <v>1705</v>
      </c>
      <c r="C41" s="61" t="s">
        <v>1706</v>
      </c>
      <c r="D41" s="85" t="s">
        <v>301</v>
      </c>
      <c r="E41" s="85" t="s">
        <v>301</v>
      </c>
      <c r="F41" s="85" t="s">
        <v>301</v>
      </c>
      <c r="G41" s="85" t="s">
        <v>301</v>
      </c>
      <c r="H41" s="85" t="s">
        <v>301</v>
      </c>
      <c r="I41" s="85" t="s">
        <v>301</v>
      </c>
      <c r="U41" s="218" t="str">
        <f t="shared" si="3"/>
        <v/>
      </c>
    </row>
    <row r="42" spans="2:21">
      <c r="B42" s="2" t="s">
        <v>1707</v>
      </c>
      <c r="C42" s="61" t="s">
        <v>1708</v>
      </c>
      <c r="D42" s="85" t="s">
        <v>301</v>
      </c>
      <c r="E42" s="85" t="s">
        <v>301</v>
      </c>
      <c r="F42" s="85" t="s">
        <v>301</v>
      </c>
      <c r="G42" s="85" t="s">
        <v>301</v>
      </c>
      <c r="H42" s="85" t="s">
        <v>301</v>
      </c>
      <c r="I42" s="85" t="s">
        <v>301</v>
      </c>
      <c r="U42" s="218" t="str">
        <f t="shared" si="3"/>
        <v/>
      </c>
    </row>
    <row r="43" spans="2:21">
      <c r="B43" s="2" t="s">
        <v>1744</v>
      </c>
      <c r="C43" s="61" t="s">
        <v>1709</v>
      </c>
      <c r="D43" s="85" t="s">
        <v>301</v>
      </c>
      <c r="E43" s="85" t="s">
        <v>301</v>
      </c>
      <c r="F43" s="85" t="s">
        <v>301</v>
      </c>
      <c r="G43" s="85" t="s">
        <v>301</v>
      </c>
      <c r="H43" s="85" t="s">
        <v>301</v>
      </c>
      <c r="I43" s="85" t="s">
        <v>301</v>
      </c>
      <c r="U43" s="218" t="str">
        <f t="shared" si="3"/>
        <v/>
      </c>
    </row>
    <row r="44" spans="2:21">
      <c r="B44" s="2" t="s">
        <v>1745</v>
      </c>
      <c r="C44" s="61" t="s">
        <v>1392</v>
      </c>
      <c r="D44" s="85" t="s">
        <v>301</v>
      </c>
      <c r="E44" s="85" t="s">
        <v>301</v>
      </c>
      <c r="F44" s="85" t="s">
        <v>301</v>
      </c>
      <c r="G44" s="85" t="s">
        <v>301</v>
      </c>
      <c r="H44" s="85" t="s">
        <v>301</v>
      </c>
      <c r="I44" s="85" t="s">
        <v>301</v>
      </c>
      <c r="U44" s="218" t="str">
        <f t="shared" si="3"/>
        <v/>
      </c>
    </row>
    <row r="45" spans="2:21">
      <c r="B45" s="2" t="s">
        <v>1746</v>
      </c>
      <c r="C45" s="61" t="s">
        <v>1393</v>
      </c>
      <c r="D45" s="85" t="s">
        <v>301</v>
      </c>
      <c r="E45" s="85" t="s">
        <v>301</v>
      </c>
      <c r="F45" s="85" t="s">
        <v>301</v>
      </c>
      <c r="G45" s="85" t="s">
        <v>301</v>
      </c>
      <c r="H45" s="85" t="s">
        <v>301</v>
      </c>
      <c r="I45" s="85" t="s">
        <v>301</v>
      </c>
      <c r="U45" s="218" t="str">
        <f t="shared" si="3"/>
        <v/>
      </c>
    </row>
    <row r="46" spans="2:21">
      <c r="B46" s="2" t="s">
        <v>1747</v>
      </c>
      <c r="C46" s="61" t="s">
        <v>1710</v>
      </c>
      <c r="D46" s="85" t="s">
        <v>301</v>
      </c>
      <c r="E46" s="85" t="s">
        <v>301</v>
      </c>
      <c r="F46" s="85" t="s">
        <v>301</v>
      </c>
      <c r="G46" s="85" t="s">
        <v>301</v>
      </c>
      <c r="H46" s="85" t="s">
        <v>301</v>
      </c>
      <c r="I46" s="85" t="s">
        <v>301</v>
      </c>
      <c r="U46" s="218" t="str">
        <f t="shared" si="3"/>
        <v/>
      </c>
    </row>
    <row r="47" spans="2:21">
      <c r="B47" s="2" t="s">
        <v>1748</v>
      </c>
      <c r="C47" s="61" t="s">
        <v>1711</v>
      </c>
      <c r="D47" s="85" t="s">
        <v>301</v>
      </c>
      <c r="E47" s="85" t="s">
        <v>301</v>
      </c>
      <c r="F47" s="85" t="s">
        <v>301</v>
      </c>
      <c r="G47" s="85" t="s">
        <v>301</v>
      </c>
      <c r="H47" s="85" t="s">
        <v>301</v>
      </c>
      <c r="I47" s="85" t="s">
        <v>301</v>
      </c>
      <c r="U47" s="218" t="str">
        <f t="shared" si="3"/>
        <v/>
      </c>
    </row>
    <row r="48" spans="2:21">
      <c r="B48" s="2" t="s">
        <v>1749</v>
      </c>
      <c r="C48" s="61" t="s">
        <v>1712</v>
      </c>
      <c r="D48" s="85" t="s">
        <v>301</v>
      </c>
      <c r="E48" s="85" t="s">
        <v>301</v>
      </c>
      <c r="F48" s="85" t="s">
        <v>301</v>
      </c>
      <c r="G48" s="85" t="s">
        <v>301</v>
      </c>
      <c r="H48" s="85" t="s">
        <v>301</v>
      </c>
      <c r="I48" s="85" t="s">
        <v>301</v>
      </c>
      <c r="U48" s="218" t="str">
        <f t="shared" si="3"/>
        <v/>
      </c>
    </row>
    <row r="49" spans="2:21">
      <c r="B49" s="2" t="s">
        <v>1750</v>
      </c>
      <c r="C49" s="61" t="s">
        <v>1713</v>
      </c>
      <c r="D49" s="85" t="s">
        <v>301</v>
      </c>
      <c r="E49" s="85" t="s">
        <v>301</v>
      </c>
      <c r="F49" s="85" t="s">
        <v>301</v>
      </c>
      <c r="G49" s="85" t="s">
        <v>301</v>
      </c>
      <c r="H49" s="85" t="s">
        <v>301</v>
      </c>
      <c r="I49" s="85" t="s">
        <v>301</v>
      </c>
      <c r="U49" s="218" t="str">
        <f t="shared" si="3"/>
        <v/>
      </c>
    </row>
    <row r="50" spans="2:21">
      <c r="B50" s="2" t="s">
        <v>1751</v>
      </c>
      <c r="C50" s="61" t="s">
        <v>1714</v>
      </c>
      <c r="D50" s="85" t="s">
        <v>301</v>
      </c>
      <c r="E50" s="85" t="s">
        <v>301</v>
      </c>
      <c r="F50" s="85" t="s">
        <v>301</v>
      </c>
      <c r="G50" s="85" t="s">
        <v>301</v>
      </c>
      <c r="H50" s="85" t="s">
        <v>301</v>
      </c>
      <c r="I50" s="85" t="s">
        <v>301</v>
      </c>
      <c r="U50" s="218" t="str">
        <f t="shared" si="3"/>
        <v/>
      </c>
    </row>
    <row r="51" spans="2:21">
      <c r="B51" s="2" t="s">
        <v>1752</v>
      </c>
      <c r="C51" s="61" t="s">
        <v>1715</v>
      </c>
      <c r="D51" s="85" t="s">
        <v>301</v>
      </c>
      <c r="E51" s="85" t="s">
        <v>301</v>
      </c>
      <c r="F51" s="85" t="s">
        <v>301</v>
      </c>
      <c r="G51" s="85" t="s">
        <v>301</v>
      </c>
      <c r="H51" s="85" t="s">
        <v>301</v>
      </c>
      <c r="I51" s="85" t="s">
        <v>301</v>
      </c>
      <c r="U51" s="218" t="str">
        <f t="shared" si="3"/>
        <v/>
      </c>
    </row>
    <row r="52" spans="2:21">
      <c r="B52" s="2" t="s">
        <v>1753</v>
      </c>
      <c r="C52" s="61" t="s">
        <v>1716</v>
      </c>
      <c r="D52" s="85" t="s">
        <v>301</v>
      </c>
      <c r="E52" s="85" t="s">
        <v>301</v>
      </c>
      <c r="F52" s="85" t="s">
        <v>301</v>
      </c>
      <c r="G52" s="85" t="s">
        <v>301</v>
      </c>
      <c r="H52" s="85" t="s">
        <v>301</v>
      </c>
      <c r="I52" s="85" t="s">
        <v>301</v>
      </c>
      <c r="U52" s="218" t="str">
        <f t="shared" si="3"/>
        <v/>
      </c>
    </row>
    <row r="53" spans="2:21">
      <c r="B53" s="2" t="s">
        <v>1754</v>
      </c>
      <c r="C53" s="61" t="s">
        <v>1717</v>
      </c>
      <c r="D53" s="85" t="s">
        <v>301</v>
      </c>
      <c r="E53" s="85" t="s">
        <v>301</v>
      </c>
      <c r="F53" s="85" t="s">
        <v>301</v>
      </c>
      <c r="G53" s="85" t="s">
        <v>301</v>
      </c>
      <c r="H53" s="85" t="s">
        <v>301</v>
      </c>
      <c r="I53" s="85" t="s">
        <v>301</v>
      </c>
      <c r="U53" s="218" t="str">
        <f t="shared" si="3"/>
        <v/>
      </c>
    </row>
    <row r="54" spans="2:21">
      <c r="B54" s="2" t="s">
        <v>1755</v>
      </c>
      <c r="C54" s="61" t="s">
        <v>1718</v>
      </c>
      <c r="D54" s="85" t="s">
        <v>301</v>
      </c>
      <c r="E54" s="85" t="s">
        <v>301</v>
      </c>
      <c r="F54" s="85" t="s">
        <v>301</v>
      </c>
      <c r="G54" s="85" t="s">
        <v>301</v>
      </c>
      <c r="H54" s="85" t="s">
        <v>301</v>
      </c>
      <c r="I54" s="85" t="s">
        <v>301</v>
      </c>
      <c r="U54" s="218" t="str">
        <f t="shared" si="3"/>
        <v/>
      </c>
    </row>
    <row r="55" spans="2:21">
      <c r="B55" s="2" t="s">
        <v>1394</v>
      </c>
      <c r="C55" s="61" t="s">
        <v>1395</v>
      </c>
      <c r="D55" s="85" t="s">
        <v>301</v>
      </c>
      <c r="E55" s="85" t="s">
        <v>301</v>
      </c>
      <c r="F55" s="85" t="s">
        <v>301</v>
      </c>
      <c r="G55" s="85" t="s">
        <v>301</v>
      </c>
      <c r="H55" s="85" t="s">
        <v>301</v>
      </c>
      <c r="I55" s="85" t="s">
        <v>301</v>
      </c>
      <c r="U55" s="218" t="str">
        <f t="shared" si="3"/>
        <v/>
      </c>
    </row>
    <row r="56" spans="2:21">
      <c r="B56" s="2" t="s">
        <v>1396</v>
      </c>
      <c r="C56" s="61" t="s">
        <v>1397</v>
      </c>
      <c r="D56" s="85" t="s">
        <v>301</v>
      </c>
      <c r="E56" s="85" t="s">
        <v>301</v>
      </c>
      <c r="F56" s="85" t="s">
        <v>301</v>
      </c>
      <c r="G56" s="85" t="s">
        <v>301</v>
      </c>
      <c r="H56" s="85" t="s">
        <v>301</v>
      </c>
      <c r="I56" s="85" t="s">
        <v>301</v>
      </c>
      <c r="U56" s="218" t="str">
        <f t="shared" si="3"/>
        <v/>
      </c>
    </row>
    <row r="57" spans="2:21">
      <c r="B57" s="2" t="s">
        <v>1398</v>
      </c>
      <c r="C57" s="61" t="s">
        <v>1399</v>
      </c>
      <c r="D57" s="85" t="s">
        <v>301</v>
      </c>
      <c r="E57" s="85" t="s">
        <v>301</v>
      </c>
      <c r="F57" s="85" t="s">
        <v>301</v>
      </c>
      <c r="G57" s="85" t="s">
        <v>301</v>
      </c>
      <c r="H57" s="85" t="s">
        <v>301</v>
      </c>
      <c r="I57" s="85" t="s">
        <v>301</v>
      </c>
      <c r="U57" s="218" t="str">
        <f t="shared" si="3"/>
        <v/>
      </c>
    </row>
    <row r="58" spans="2:21">
      <c r="B58" s="2" t="s">
        <v>1756</v>
      </c>
      <c r="C58" s="61" t="s">
        <v>1719</v>
      </c>
      <c r="D58" s="85" t="s">
        <v>301</v>
      </c>
      <c r="E58" s="85" t="s">
        <v>301</v>
      </c>
      <c r="F58" s="85" t="s">
        <v>301</v>
      </c>
      <c r="G58" s="85" t="s">
        <v>301</v>
      </c>
      <c r="H58" s="85" t="s">
        <v>301</v>
      </c>
      <c r="I58" s="85" t="s">
        <v>301</v>
      </c>
      <c r="U58" s="218" t="str">
        <f t="shared" si="3"/>
        <v/>
      </c>
    </row>
    <row r="59" spans="2:21">
      <c r="B59" s="2" t="s">
        <v>1757</v>
      </c>
      <c r="C59" s="61" t="s">
        <v>1720</v>
      </c>
      <c r="D59" s="85" t="s">
        <v>301</v>
      </c>
      <c r="E59" s="85" t="s">
        <v>301</v>
      </c>
      <c r="F59" s="85" t="s">
        <v>301</v>
      </c>
      <c r="G59" s="85" t="s">
        <v>301</v>
      </c>
      <c r="H59" s="85" t="s">
        <v>301</v>
      </c>
      <c r="I59" s="85" t="s">
        <v>301</v>
      </c>
      <c r="U59" s="218" t="str">
        <f t="shared" si="3"/>
        <v/>
      </c>
    </row>
    <row r="60" spans="2:21">
      <c r="B60" s="2" t="s">
        <v>1758</v>
      </c>
      <c r="C60" s="61" t="s">
        <v>1721</v>
      </c>
      <c r="D60" s="85" t="s">
        <v>301</v>
      </c>
      <c r="E60" s="85" t="s">
        <v>301</v>
      </c>
      <c r="F60" s="85" t="s">
        <v>301</v>
      </c>
      <c r="G60" s="85" t="s">
        <v>301</v>
      </c>
      <c r="H60" s="85" t="s">
        <v>301</v>
      </c>
      <c r="I60" s="85" t="s">
        <v>301</v>
      </c>
      <c r="U60" s="218" t="str">
        <f t="shared" si="3"/>
        <v/>
      </c>
    </row>
    <row r="61" spans="2:21">
      <c r="B61" s="2" t="s">
        <v>1722</v>
      </c>
      <c r="C61" s="61" t="s">
        <v>1661</v>
      </c>
      <c r="D61" s="85" t="s">
        <v>301</v>
      </c>
      <c r="E61" s="85" t="s">
        <v>301</v>
      </c>
      <c r="F61" s="85" t="s">
        <v>301</v>
      </c>
      <c r="G61" s="85" t="s">
        <v>301</v>
      </c>
      <c r="H61" s="85" t="s">
        <v>301</v>
      </c>
      <c r="I61" s="85" t="s">
        <v>301</v>
      </c>
      <c r="U61" s="218" t="str">
        <f t="shared" si="3"/>
        <v/>
      </c>
    </row>
    <row r="62" spans="2:21">
      <c r="B62" s="2" t="s">
        <v>1723</v>
      </c>
      <c r="C62" s="61" t="s">
        <v>1662</v>
      </c>
      <c r="D62" s="85" t="s">
        <v>301</v>
      </c>
      <c r="E62" s="85" t="s">
        <v>301</v>
      </c>
      <c r="F62" s="85" t="s">
        <v>301</v>
      </c>
      <c r="G62" s="85" t="s">
        <v>301</v>
      </c>
      <c r="H62" s="85" t="s">
        <v>301</v>
      </c>
      <c r="I62" s="85" t="s">
        <v>301</v>
      </c>
      <c r="U62" s="218" t="str">
        <f t="shared" si="3"/>
        <v/>
      </c>
    </row>
    <row r="63" spans="2:21">
      <c r="B63" s="2" t="s">
        <v>1724</v>
      </c>
      <c r="C63" s="61" t="s">
        <v>1725</v>
      </c>
      <c r="D63" s="45" t="s">
        <v>301</v>
      </c>
      <c r="E63" s="45" t="s">
        <v>301</v>
      </c>
      <c r="F63" s="45" t="s">
        <v>301</v>
      </c>
      <c r="G63" s="45" t="s">
        <v>301</v>
      </c>
      <c r="H63" s="45" t="s">
        <v>301</v>
      </c>
      <c r="I63" s="45" t="s">
        <v>301</v>
      </c>
      <c r="U63" s="218" t="str">
        <f t="shared" si="3"/>
        <v/>
      </c>
    </row>
    <row r="64" spans="2:21">
      <c r="B64" s="2" t="s">
        <v>1400</v>
      </c>
      <c r="C64" s="61" t="s">
        <v>1401</v>
      </c>
      <c r="D64" s="85" t="s">
        <v>301</v>
      </c>
      <c r="E64" s="85" t="s">
        <v>301</v>
      </c>
      <c r="F64" s="85" t="s">
        <v>301</v>
      </c>
      <c r="G64" s="85" t="s">
        <v>301</v>
      </c>
      <c r="H64" s="85" t="s">
        <v>301</v>
      </c>
      <c r="I64" s="85" t="s">
        <v>301</v>
      </c>
      <c r="U64" s="218" t="str">
        <f t="shared" si="3"/>
        <v/>
      </c>
    </row>
    <row r="65" spans="2:21">
      <c r="B65" s="2" t="s">
        <v>1402</v>
      </c>
      <c r="C65" s="61" t="s">
        <v>1403</v>
      </c>
      <c r="D65" s="85" t="s">
        <v>301</v>
      </c>
      <c r="E65" s="85" t="s">
        <v>301</v>
      </c>
      <c r="F65" s="85" t="s">
        <v>301</v>
      </c>
      <c r="G65" s="85" t="s">
        <v>301</v>
      </c>
      <c r="H65" s="85" t="s">
        <v>301</v>
      </c>
      <c r="I65" s="85" t="s">
        <v>301</v>
      </c>
      <c r="U65" s="218" t="str">
        <f t="shared" si="3"/>
        <v/>
      </c>
    </row>
    <row r="66" spans="2:21">
      <c r="B66" s="2" t="s">
        <v>1404</v>
      </c>
      <c r="C66" s="61" t="s">
        <v>1405</v>
      </c>
      <c r="D66" s="85" t="s">
        <v>301</v>
      </c>
      <c r="E66" s="85" t="s">
        <v>301</v>
      </c>
      <c r="F66" s="85" t="s">
        <v>301</v>
      </c>
      <c r="G66" s="85" t="s">
        <v>301</v>
      </c>
      <c r="H66" s="85" t="s">
        <v>301</v>
      </c>
      <c r="I66" s="85" t="s">
        <v>301</v>
      </c>
      <c r="U66" s="218" t="str">
        <f t="shared" si="3"/>
        <v/>
      </c>
    </row>
    <row r="67" spans="2:21">
      <c r="B67" s="2" t="s">
        <v>1759</v>
      </c>
      <c r="C67" s="61" t="s">
        <v>1726</v>
      </c>
      <c r="D67" s="85" t="s">
        <v>301</v>
      </c>
      <c r="E67" s="85" t="s">
        <v>301</v>
      </c>
      <c r="F67" s="85" t="s">
        <v>301</v>
      </c>
      <c r="G67" s="85" t="s">
        <v>301</v>
      </c>
      <c r="H67" s="85" t="s">
        <v>301</v>
      </c>
      <c r="I67" s="85" t="s">
        <v>301</v>
      </c>
      <c r="U67" s="218" t="str">
        <f t="shared" si="3"/>
        <v/>
      </c>
    </row>
    <row r="68" spans="2:21">
      <c r="B68" s="2" t="s">
        <v>1727</v>
      </c>
      <c r="C68" s="61" t="s">
        <v>1728</v>
      </c>
      <c r="D68" s="45" t="s">
        <v>301</v>
      </c>
      <c r="E68" s="45" t="s">
        <v>301</v>
      </c>
      <c r="F68" s="45" t="s">
        <v>301</v>
      </c>
      <c r="G68" s="45" t="s">
        <v>301</v>
      </c>
      <c r="H68" s="45" t="s">
        <v>301</v>
      </c>
      <c r="I68" s="45" t="s">
        <v>301</v>
      </c>
      <c r="U68" s="218" t="str">
        <f t="shared" si="3"/>
        <v/>
      </c>
    </row>
    <row r="69" spans="2:21">
      <c r="B69" s="2" t="s">
        <v>1408</v>
      </c>
      <c r="C69" s="61" t="s">
        <v>1409</v>
      </c>
      <c r="D69" s="85" t="s">
        <v>301</v>
      </c>
      <c r="E69" s="85" t="s">
        <v>301</v>
      </c>
      <c r="F69" s="85" t="s">
        <v>301</v>
      </c>
      <c r="G69" s="85" t="s">
        <v>301</v>
      </c>
      <c r="H69" s="85" t="s">
        <v>301</v>
      </c>
      <c r="I69" s="85" t="s">
        <v>301</v>
      </c>
      <c r="U69" s="218" t="str">
        <f t="shared" si="3"/>
        <v/>
      </c>
    </row>
    <row r="70" spans="2:21">
      <c r="B70" s="2" t="s">
        <v>1406</v>
      </c>
      <c r="C70" s="61" t="s">
        <v>1407</v>
      </c>
      <c r="D70" s="85" t="s">
        <v>301</v>
      </c>
      <c r="E70" s="85" t="s">
        <v>301</v>
      </c>
      <c r="F70" s="85" t="s">
        <v>301</v>
      </c>
      <c r="G70" s="85" t="s">
        <v>301</v>
      </c>
      <c r="H70" s="85" t="s">
        <v>301</v>
      </c>
      <c r="I70" s="85" t="s">
        <v>301</v>
      </c>
      <c r="U70" s="218" t="str">
        <f t="shared" si="3"/>
        <v/>
      </c>
    </row>
    <row r="71" spans="2:21">
      <c r="B71" s="2" t="s">
        <v>1412</v>
      </c>
      <c r="C71" s="61" t="s">
        <v>1413</v>
      </c>
      <c r="D71" s="85" t="s">
        <v>301</v>
      </c>
      <c r="E71" s="85" t="s">
        <v>301</v>
      </c>
      <c r="F71" s="85" t="s">
        <v>301</v>
      </c>
      <c r="G71" s="85" t="s">
        <v>301</v>
      </c>
      <c r="H71" s="85" t="s">
        <v>301</v>
      </c>
      <c r="I71" s="85" t="s">
        <v>301</v>
      </c>
      <c r="U71" s="218" t="str">
        <f t="shared" si="3"/>
        <v/>
      </c>
    </row>
    <row r="72" spans="2:21">
      <c r="B72" s="2" t="s">
        <v>1410</v>
      </c>
      <c r="C72" s="61" t="s">
        <v>1411</v>
      </c>
      <c r="D72" s="85" t="s">
        <v>301</v>
      </c>
      <c r="E72" s="85" t="s">
        <v>301</v>
      </c>
      <c r="F72" s="85" t="s">
        <v>301</v>
      </c>
      <c r="G72" s="85" t="s">
        <v>301</v>
      </c>
      <c r="H72" s="85" t="s">
        <v>301</v>
      </c>
      <c r="I72" s="85" t="s">
        <v>301</v>
      </c>
      <c r="U72" s="218" t="str">
        <f t="shared" si="3"/>
        <v/>
      </c>
    </row>
    <row r="73" spans="2:21">
      <c r="B73" s="2" t="s">
        <v>809</v>
      </c>
      <c r="C73" s="61" t="s">
        <v>810</v>
      </c>
      <c r="D73" s="85">
        <v>32.799999999999997</v>
      </c>
      <c r="E73" s="85">
        <v>34.4</v>
      </c>
      <c r="F73" s="85">
        <v>36.700000000000003</v>
      </c>
      <c r="G73" s="85">
        <v>29.1</v>
      </c>
      <c r="H73" s="85">
        <v>30.400000000000002</v>
      </c>
      <c r="I73" s="85">
        <v>34.4</v>
      </c>
      <c r="U73" s="218">
        <f t="shared" si="3"/>
        <v>1</v>
      </c>
    </row>
    <row r="74" spans="2:21">
      <c r="B74" s="2"/>
      <c r="C74" s="61" t="s">
        <v>272</v>
      </c>
      <c r="D74" s="85"/>
      <c r="E74" s="85"/>
      <c r="F74" s="85"/>
      <c r="G74" s="85"/>
      <c r="H74" s="85"/>
      <c r="I74" s="85"/>
      <c r="U74" s="217">
        <v>1</v>
      </c>
    </row>
    <row r="75" spans="2:21">
      <c r="B75" s="94" t="s">
        <v>1593</v>
      </c>
      <c r="C75" s="61" t="s">
        <v>272</v>
      </c>
      <c r="D75" s="85"/>
      <c r="E75" s="85"/>
      <c r="F75" s="85"/>
      <c r="G75" s="85"/>
      <c r="H75" s="85"/>
      <c r="I75" s="85"/>
      <c r="U75" s="217">
        <v>1</v>
      </c>
    </row>
    <row r="76" spans="2:21">
      <c r="B76" s="2" t="s">
        <v>1414</v>
      </c>
      <c r="C76" s="61" t="s">
        <v>1415</v>
      </c>
      <c r="D76" s="85" t="s">
        <v>301</v>
      </c>
      <c r="E76" s="85" t="s">
        <v>301</v>
      </c>
      <c r="F76" s="85" t="s">
        <v>301</v>
      </c>
      <c r="G76" s="85" t="s">
        <v>301</v>
      </c>
      <c r="H76" s="85" t="s">
        <v>301</v>
      </c>
      <c r="I76" s="85" t="s">
        <v>301</v>
      </c>
      <c r="U76" s="218" t="str">
        <f t="shared" ref="U76:U81" si="4">IF(COUNT(D76:I76)&lt;&gt;0,1,"")</f>
        <v/>
      </c>
    </row>
    <row r="77" spans="2:21">
      <c r="B77" s="2" t="s">
        <v>1764</v>
      </c>
      <c r="C77" s="61" t="s">
        <v>469</v>
      </c>
      <c r="D77" s="85" t="s">
        <v>301</v>
      </c>
      <c r="E77" s="85" t="s">
        <v>301</v>
      </c>
      <c r="F77" s="85" t="s">
        <v>301</v>
      </c>
      <c r="G77" s="85" t="s">
        <v>301</v>
      </c>
      <c r="H77" s="85" t="s">
        <v>301</v>
      </c>
      <c r="I77" s="85" t="s">
        <v>301</v>
      </c>
      <c r="U77" s="218" t="str">
        <f t="shared" si="4"/>
        <v/>
      </c>
    </row>
    <row r="78" spans="2:21">
      <c r="B78" s="2" t="s">
        <v>1416</v>
      </c>
      <c r="C78" s="61" t="s">
        <v>1417</v>
      </c>
      <c r="D78" s="85" t="s">
        <v>301</v>
      </c>
      <c r="E78" s="85" t="s">
        <v>301</v>
      </c>
      <c r="F78" s="85" t="s">
        <v>301</v>
      </c>
      <c r="G78" s="85" t="s">
        <v>301</v>
      </c>
      <c r="H78" s="85" t="s">
        <v>301</v>
      </c>
      <c r="I78" s="85" t="s">
        <v>301</v>
      </c>
      <c r="U78" s="218" t="str">
        <f t="shared" si="4"/>
        <v/>
      </c>
    </row>
    <row r="79" spans="2:21">
      <c r="B79" s="2" t="s">
        <v>1418</v>
      </c>
      <c r="C79" s="61" t="s">
        <v>1419</v>
      </c>
      <c r="D79" s="85" t="s">
        <v>301</v>
      </c>
      <c r="E79" s="85" t="s">
        <v>301</v>
      </c>
      <c r="F79" s="85" t="s">
        <v>301</v>
      </c>
      <c r="G79" s="85" t="s">
        <v>301</v>
      </c>
      <c r="H79" s="85" t="s">
        <v>301</v>
      </c>
      <c r="I79" s="85" t="s">
        <v>301</v>
      </c>
      <c r="U79" s="218" t="str">
        <f t="shared" si="4"/>
        <v/>
      </c>
    </row>
    <row r="80" spans="2:21">
      <c r="B80" s="2" t="s">
        <v>1420</v>
      </c>
      <c r="C80" s="61" t="s">
        <v>1421</v>
      </c>
      <c r="D80" s="85" t="s">
        <v>301</v>
      </c>
      <c r="E80" s="85" t="s">
        <v>301</v>
      </c>
      <c r="F80" s="85" t="s">
        <v>301</v>
      </c>
      <c r="G80" s="85" t="s">
        <v>301</v>
      </c>
      <c r="H80" s="85" t="s">
        <v>301</v>
      </c>
      <c r="I80" s="85" t="s">
        <v>301</v>
      </c>
      <c r="U80" s="218" t="str">
        <f t="shared" si="4"/>
        <v/>
      </c>
    </row>
    <row r="81" spans="2:21">
      <c r="B81" s="2" t="s">
        <v>1422</v>
      </c>
      <c r="C81" s="61" t="s">
        <v>1423</v>
      </c>
      <c r="D81" s="85" t="s">
        <v>301</v>
      </c>
      <c r="E81" s="85" t="s">
        <v>301</v>
      </c>
      <c r="F81" s="85" t="s">
        <v>301</v>
      </c>
      <c r="G81" s="85" t="s">
        <v>301</v>
      </c>
      <c r="H81" s="85" t="s">
        <v>301</v>
      </c>
      <c r="I81" s="85" t="s">
        <v>301</v>
      </c>
      <c r="U81" s="218" t="str">
        <f t="shared" si="4"/>
        <v/>
      </c>
    </row>
    <row r="82" spans="2:21">
      <c r="B82" s="2"/>
      <c r="C82" s="61"/>
      <c r="D82" s="85"/>
      <c r="E82" s="85"/>
      <c r="F82" s="85"/>
      <c r="G82" s="85"/>
      <c r="H82" s="85"/>
      <c r="I82" s="85"/>
      <c r="U82" s="217">
        <v>1</v>
      </c>
    </row>
    <row r="83" spans="2:21">
      <c r="B83" s="94" t="s">
        <v>1328</v>
      </c>
      <c r="C83" s="61"/>
      <c r="D83" s="85"/>
      <c r="E83" s="85"/>
      <c r="F83" s="85"/>
      <c r="G83" s="85"/>
      <c r="H83" s="85"/>
      <c r="I83" s="85"/>
      <c r="U83" s="217">
        <v>1</v>
      </c>
    </row>
    <row r="84" spans="2:21">
      <c r="B84" s="2" t="s">
        <v>1352</v>
      </c>
      <c r="C84" s="61" t="s">
        <v>1261</v>
      </c>
      <c r="D84" s="85" t="s">
        <v>301</v>
      </c>
      <c r="E84" s="85" t="s">
        <v>301</v>
      </c>
      <c r="F84" s="85" t="s">
        <v>301</v>
      </c>
      <c r="G84" s="85" t="s">
        <v>301</v>
      </c>
      <c r="H84" s="85" t="s">
        <v>301</v>
      </c>
      <c r="I84" s="85" t="s">
        <v>301</v>
      </c>
      <c r="U84" s="218" t="str">
        <f t="shared" ref="U84:U128" si="5">IF(COUNT(D84:I84)&lt;&gt;0,1,"")</f>
        <v/>
      </c>
    </row>
    <row r="85" spans="2:21">
      <c r="B85" s="2" t="s">
        <v>1353</v>
      </c>
      <c r="C85" s="61" t="s">
        <v>1262</v>
      </c>
      <c r="D85" s="85" t="s">
        <v>301</v>
      </c>
      <c r="E85" s="85" t="s">
        <v>301</v>
      </c>
      <c r="F85" s="85" t="s">
        <v>301</v>
      </c>
      <c r="G85" s="85" t="s">
        <v>301</v>
      </c>
      <c r="H85" s="85" t="s">
        <v>301</v>
      </c>
      <c r="I85" s="85" t="s">
        <v>301</v>
      </c>
      <c r="U85" s="218" t="str">
        <f t="shared" si="5"/>
        <v/>
      </c>
    </row>
    <row r="86" spans="2:21">
      <c r="B86" s="2" t="s">
        <v>1354</v>
      </c>
      <c r="C86" s="61" t="s">
        <v>1263</v>
      </c>
      <c r="D86" s="85" t="s">
        <v>301</v>
      </c>
      <c r="E86" s="85" t="s">
        <v>301</v>
      </c>
      <c r="F86" s="85" t="s">
        <v>301</v>
      </c>
      <c r="G86" s="85" t="s">
        <v>301</v>
      </c>
      <c r="H86" s="85" t="s">
        <v>301</v>
      </c>
      <c r="I86" s="85" t="s">
        <v>301</v>
      </c>
      <c r="U86" s="218" t="str">
        <f t="shared" si="5"/>
        <v/>
      </c>
    </row>
    <row r="87" spans="2:21">
      <c r="B87" s="2" t="s">
        <v>1355</v>
      </c>
      <c r="C87" s="61" t="s">
        <v>1264</v>
      </c>
      <c r="D87" s="85" t="s">
        <v>301</v>
      </c>
      <c r="E87" s="85" t="s">
        <v>301</v>
      </c>
      <c r="F87" s="85" t="s">
        <v>301</v>
      </c>
      <c r="G87" s="85" t="s">
        <v>301</v>
      </c>
      <c r="H87" s="85" t="s">
        <v>301</v>
      </c>
      <c r="I87" s="85" t="s">
        <v>301</v>
      </c>
      <c r="U87" s="218" t="str">
        <f t="shared" si="5"/>
        <v/>
      </c>
    </row>
    <row r="88" spans="2:21">
      <c r="B88" s="2" t="s">
        <v>1356</v>
      </c>
      <c r="C88" s="61" t="s">
        <v>1265</v>
      </c>
      <c r="D88" s="85" t="s">
        <v>301</v>
      </c>
      <c r="E88" s="85" t="s">
        <v>301</v>
      </c>
      <c r="F88" s="85" t="s">
        <v>301</v>
      </c>
      <c r="G88" s="85" t="s">
        <v>301</v>
      </c>
      <c r="H88" s="85" t="s">
        <v>301</v>
      </c>
      <c r="I88" s="85" t="s">
        <v>301</v>
      </c>
      <c r="U88" s="218" t="str">
        <f t="shared" si="5"/>
        <v/>
      </c>
    </row>
    <row r="89" spans="2:21">
      <c r="B89" s="2" t="s">
        <v>1357</v>
      </c>
      <c r="C89" s="61" t="s">
        <v>1266</v>
      </c>
      <c r="D89" s="85" t="s">
        <v>301</v>
      </c>
      <c r="E89" s="85" t="s">
        <v>301</v>
      </c>
      <c r="F89" s="85" t="s">
        <v>301</v>
      </c>
      <c r="G89" s="85" t="s">
        <v>301</v>
      </c>
      <c r="H89" s="85" t="s">
        <v>301</v>
      </c>
      <c r="I89" s="85" t="s">
        <v>301</v>
      </c>
      <c r="U89" s="218" t="str">
        <f t="shared" si="5"/>
        <v/>
      </c>
    </row>
    <row r="90" spans="2:21">
      <c r="B90" s="2" t="s">
        <v>1358</v>
      </c>
      <c r="C90" s="61" t="s">
        <v>1267</v>
      </c>
      <c r="D90" s="85" t="s">
        <v>301</v>
      </c>
      <c r="E90" s="85" t="s">
        <v>301</v>
      </c>
      <c r="F90" s="85" t="s">
        <v>301</v>
      </c>
      <c r="G90" s="85" t="s">
        <v>301</v>
      </c>
      <c r="H90" s="85" t="s">
        <v>301</v>
      </c>
      <c r="I90" s="85" t="s">
        <v>301</v>
      </c>
      <c r="U90" s="218" t="str">
        <f t="shared" si="5"/>
        <v/>
      </c>
    </row>
    <row r="91" spans="2:21">
      <c r="B91" s="2" t="s">
        <v>1359</v>
      </c>
      <c r="C91" s="61" t="s">
        <v>1268</v>
      </c>
      <c r="D91" s="85" t="s">
        <v>301</v>
      </c>
      <c r="E91" s="85" t="s">
        <v>301</v>
      </c>
      <c r="F91" s="85" t="s">
        <v>301</v>
      </c>
      <c r="G91" s="85" t="s">
        <v>301</v>
      </c>
      <c r="H91" s="85" t="s">
        <v>301</v>
      </c>
      <c r="I91" s="85" t="s">
        <v>301</v>
      </c>
      <c r="U91" s="218" t="str">
        <f t="shared" si="5"/>
        <v/>
      </c>
    </row>
    <row r="92" spans="2:21">
      <c r="B92" s="2" t="s">
        <v>1329</v>
      </c>
      <c r="C92" s="61" t="s">
        <v>1269</v>
      </c>
      <c r="D92" s="85" t="s">
        <v>301</v>
      </c>
      <c r="E92" s="85" t="s">
        <v>301</v>
      </c>
      <c r="F92" s="85" t="s">
        <v>301</v>
      </c>
      <c r="G92" s="85" t="s">
        <v>301</v>
      </c>
      <c r="H92" s="85" t="s">
        <v>301</v>
      </c>
      <c r="I92" s="85" t="s">
        <v>301</v>
      </c>
      <c r="U92" s="218" t="str">
        <f t="shared" si="5"/>
        <v/>
      </c>
    </row>
    <row r="93" spans="2:21">
      <c r="B93" s="2" t="s">
        <v>1360</v>
      </c>
      <c r="C93" s="61" t="s">
        <v>1270</v>
      </c>
      <c r="D93" s="85" t="s">
        <v>301</v>
      </c>
      <c r="E93" s="85" t="s">
        <v>301</v>
      </c>
      <c r="F93" s="85" t="s">
        <v>301</v>
      </c>
      <c r="G93" s="85" t="s">
        <v>301</v>
      </c>
      <c r="H93" s="85" t="s">
        <v>301</v>
      </c>
      <c r="I93" s="85" t="s">
        <v>301</v>
      </c>
      <c r="U93" s="218" t="str">
        <f t="shared" si="5"/>
        <v/>
      </c>
    </row>
    <row r="94" spans="2:21">
      <c r="B94" s="2" t="s">
        <v>1361</v>
      </c>
      <c r="C94" s="61" t="s">
        <v>1271</v>
      </c>
      <c r="D94" s="85" t="s">
        <v>301</v>
      </c>
      <c r="E94" s="85" t="s">
        <v>301</v>
      </c>
      <c r="F94" s="85" t="s">
        <v>301</v>
      </c>
      <c r="G94" s="85" t="s">
        <v>301</v>
      </c>
      <c r="H94" s="85" t="s">
        <v>301</v>
      </c>
      <c r="I94" s="85" t="s">
        <v>301</v>
      </c>
      <c r="U94" s="218" t="str">
        <f t="shared" si="5"/>
        <v/>
      </c>
    </row>
    <row r="95" spans="2:21">
      <c r="B95" s="2" t="s">
        <v>1362</v>
      </c>
      <c r="C95" s="61" t="s">
        <v>1272</v>
      </c>
      <c r="D95" s="85" t="s">
        <v>301</v>
      </c>
      <c r="E95" s="85" t="s">
        <v>301</v>
      </c>
      <c r="F95" s="85" t="s">
        <v>301</v>
      </c>
      <c r="G95" s="85" t="s">
        <v>301</v>
      </c>
      <c r="H95" s="85" t="s">
        <v>301</v>
      </c>
      <c r="I95" s="85" t="s">
        <v>301</v>
      </c>
      <c r="U95" s="218" t="str">
        <f t="shared" si="5"/>
        <v/>
      </c>
    </row>
    <row r="96" spans="2:21">
      <c r="B96" s="2" t="s">
        <v>1363</v>
      </c>
      <c r="C96" s="61" t="s">
        <v>1273</v>
      </c>
      <c r="D96" s="85" t="s">
        <v>301</v>
      </c>
      <c r="E96" s="85" t="s">
        <v>301</v>
      </c>
      <c r="F96" s="85" t="s">
        <v>301</v>
      </c>
      <c r="G96" s="85" t="s">
        <v>301</v>
      </c>
      <c r="H96" s="85" t="s">
        <v>301</v>
      </c>
      <c r="I96" s="85" t="s">
        <v>301</v>
      </c>
      <c r="U96" s="218" t="str">
        <f t="shared" si="5"/>
        <v/>
      </c>
    </row>
    <row r="97" spans="2:21">
      <c r="B97" s="2" t="s">
        <v>1364</v>
      </c>
      <c r="C97" s="61" t="s">
        <v>1274</v>
      </c>
      <c r="D97" s="85" t="s">
        <v>301</v>
      </c>
      <c r="E97" s="85" t="s">
        <v>301</v>
      </c>
      <c r="F97" s="85" t="s">
        <v>301</v>
      </c>
      <c r="G97" s="85" t="s">
        <v>301</v>
      </c>
      <c r="H97" s="85" t="s">
        <v>301</v>
      </c>
      <c r="I97" s="85" t="s">
        <v>301</v>
      </c>
      <c r="U97" s="218" t="str">
        <f t="shared" si="5"/>
        <v/>
      </c>
    </row>
    <row r="98" spans="2:21">
      <c r="B98" s="2" t="s">
        <v>1365</v>
      </c>
      <c r="C98" s="61" t="s">
        <v>1275</v>
      </c>
      <c r="D98" s="85" t="s">
        <v>301</v>
      </c>
      <c r="E98" s="85" t="s">
        <v>301</v>
      </c>
      <c r="F98" s="85" t="s">
        <v>301</v>
      </c>
      <c r="G98" s="85" t="s">
        <v>301</v>
      </c>
      <c r="H98" s="85" t="s">
        <v>301</v>
      </c>
      <c r="I98" s="85" t="s">
        <v>301</v>
      </c>
      <c r="U98" s="218" t="str">
        <f t="shared" si="5"/>
        <v/>
      </c>
    </row>
    <row r="99" spans="2:21">
      <c r="B99" s="2" t="s">
        <v>1366</v>
      </c>
      <c r="C99" s="61" t="s">
        <v>1276</v>
      </c>
      <c r="D99" s="85" t="s">
        <v>301</v>
      </c>
      <c r="E99" s="85" t="s">
        <v>301</v>
      </c>
      <c r="F99" s="85" t="s">
        <v>301</v>
      </c>
      <c r="G99" s="85" t="s">
        <v>301</v>
      </c>
      <c r="H99" s="85" t="s">
        <v>301</v>
      </c>
      <c r="I99" s="85" t="s">
        <v>301</v>
      </c>
      <c r="U99" s="218" t="str">
        <f t="shared" si="5"/>
        <v/>
      </c>
    </row>
    <row r="100" spans="2:21">
      <c r="B100" s="2" t="s">
        <v>1367</v>
      </c>
      <c r="C100" s="61" t="s">
        <v>1277</v>
      </c>
      <c r="D100" s="85" t="s">
        <v>301</v>
      </c>
      <c r="E100" s="85" t="s">
        <v>301</v>
      </c>
      <c r="F100" s="85" t="s">
        <v>301</v>
      </c>
      <c r="G100" s="85" t="s">
        <v>301</v>
      </c>
      <c r="H100" s="85" t="s">
        <v>301</v>
      </c>
      <c r="I100" s="85" t="s">
        <v>301</v>
      </c>
      <c r="U100" s="218" t="str">
        <f t="shared" si="5"/>
        <v/>
      </c>
    </row>
    <row r="101" spans="2:21">
      <c r="B101" s="2" t="s">
        <v>1330</v>
      </c>
      <c r="C101" s="61" t="s">
        <v>1278</v>
      </c>
      <c r="D101" s="85" t="s">
        <v>301</v>
      </c>
      <c r="E101" s="85" t="s">
        <v>301</v>
      </c>
      <c r="F101" s="85" t="s">
        <v>301</v>
      </c>
      <c r="G101" s="85" t="s">
        <v>301</v>
      </c>
      <c r="H101" s="85" t="s">
        <v>301</v>
      </c>
      <c r="I101" s="85" t="s">
        <v>301</v>
      </c>
      <c r="U101" s="218" t="str">
        <f t="shared" si="5"/>
        <v/>
      </c>
    </row>
    <row r="102" spans="2:21">
      <c r="B102" s="2" t="s">
        <v>1368</v>
      </c>
      <c r="C102" s="61" t="s">
        <v>1279</v>
      </c>
      <c r="D102" s="85" t="s">
        <v>301</v>
      </c>
      <c r="E102" s="85" t="s">
        <v>301</v>
      </c>
      <c r="F102" s="85" t="s">
        <v>301</v>
      </c>
      <c r="G102" s="85" t="s">
        <v>301</v>
      </c>
      <c r="H102" s="85" t="s">
        <v>301</v>
      </c>
      <c r="I102" s="85" t="s">
        <v>301</v>
      </c>
      <c r="U102" s="218" t="str">
        <f t="shared" si="5"/>
        <v/>
      </c>
    </row>
    <row r="103" spans="2:21">
      <c r="B103" s="2" t="s">
        <v>1369</v>
      </c>
      <c r="C103" s="61" t="s">
        <v>1280</v>
      </c>
      <c r="D103" s="85" t="s">
        <v>301</v>
      </c>
      <c r="E103" s="85" t="s">
        <v>301</v>
      </c>
      <c r="F103" s="85" t="s">
        <v>301</v>
      </c>
      <c r="G103" s="85" t="s">
        <v>301</v>
      </c>
      <c r="H103" s="85" t="s">
        <v>301</v>
      </c>
      <c r="I103" s="85" t="s">
        <v>301</v>
      </c>
      <c r="U103" s="218" t="str">
        <f t="shared" si="5"/>
        <v/>
      </c>
    </row>
    <row r="104" spans="2:21">
      <c r="B104" s="2" t="s">
        <v>1370</v>
      </c>
      <c r="C104" s="61" t="s">
        <v>1281</v>
      </c>
      <c r="D104" s="85" t="s">
        <v>301</v>
      </c>
      <c r="E104" s="85" t="s">
        <v>301</v>
      </c>
      <c r="F104" s="85" t="s">
        <v>301</v>
      </c>
      <c r="G104" s="85" t="s">
        <v>301</v>
      </c>
      <c r="H104" s="85" t="s">
        <v>301</v>
      </c>
      <c r="I104" s="85" t="s">
        <v>301</v>
      </c>
      <c r="U104" s="218" t="str">
        <f t="shared" si="5"/>
        <v/>
      </c>
    </row>
    <row r="105" spans="2:21">
      <c r="B105" s="2" t="s">
        <v>1371</v>
      </c>
      <c r="C105" s="61" t="s">
        <v>1282</v>
      </c>
      <c r="D105" s="85" t="s">
        <v>301</v>
      </c>
      <c r="E105" s="85" t="s">
        <v>301</v>
      </c>
      <c r="F105" s="85" t="s">
        <v>301</v>
      </c>
      <c r="G105" s="85" t="s">
        <v>301</v>
      </c>
      <c r="H105" s="85" t="s">
        <v>301</v>
      </c>
      <c r="I105" s="85" t="s">
        <v>301</v>
      </c>
      <c r="U105" s="218" t="str">
        <f t="shared" si="5"/>
        <v/>
      </c>
    </row>
    <row r="106" spans="2:21">
      <c r="B106" s="2" t="s">
        <v>1372</v>
      </c>
      <c r="C106" s="61" t="s">
        <v>1283</v>
      </c>
      <c r="D106" s="85" t="s">
        <v>301</v>
      </c>
      <c r="E106" s="85" t="s">
        <v>301</v>
      </c>
      <c r="F106" s="85" t="s">
        <v>301</v>
      </c>
      <c r="G106" s="85" t="s">
        <v>301</v>
      </c>
      <c r="H106" s="85" t="s">
        <v>301</v>
      </c>
      <c r="I106" s="85" t="s">
        <v>301</v>
      </c>
      <c r="U106" s="218" t="str">
        <f t="shared" si="5"/>
        <v/>
      </c>
    </row>
    <row r="107" spans="2:21">
      <c r="B107" s="2" t="s">
        <v>1373</v>
      </c>
      <c r="C107" s="61" t="s">
        <v>1284</v>
      </c>
      <c r="D107" s="85" t="s">
        <v>301</v>
      </c>
      <c r="E107" s="85" t="s">
        <v>301</v>
      </c>
      <c r="F107" s="85" t="s">
        <v>301</v>
      </c>
      <c r="G107" s="85" t="s">
        <v>301</v>
      </c>
      <c r="H107" s="85" t="s">
        <v>301</v>
      </c>
      <c r="I107" s="85" t="s">
        <v>301</v>
      </c>
      <c r="U107" s="218" t="str">
        <f t="shared" si="5"/>
        <v/>
      </c>
    </row>
    <row r="108" spans="2:21">
      <c r="B108" s="2" t="s">
        <v>1374</v>
      </c>
      <c r="C108" s="61" t="s">
        <v>1285</v>
      </c>
      <c r="D108" s="85" t="s">
        <v>301</v>
      </c>
      <c r="E108" s="85" t="s">
        <v>301</v>
      </c>
      <c r="F108" s="85" t="s">
        <v>301</v>
      </c>
      <c r="G108" s="85" t="s">
        <v>301</v>
      </c>
      <c r="H108" s="85" t="s">
        <v>301</v>
      </c>
      <c r="I108" s="85" t="s">
        <v>301</v>
      </c>
      <c r="U108" s="218" t="str">
        <f t="shared" si="5"/>
        <v/>
      </c>
    </row>
    <row r="109" spans="2:21">
      <c r="B109" s="2" t="s">
        <v>1375</v>
      </c>
      <c r="C109" s="61" t="s">
        <v>1286</v>
      </c>
      <c r="D109" s="85" t="s">
        <v>301</v>
      </c>
      <c r="E109" s="85" t="s">
        <v>301</v>
      </c>
      <c r="F109" s="85" t="s">
        <v>301</v>
      </c>
      <c r="G109" s="85" t="s">
        <v>301</v>
      </c>
      <c r="H109" s="85" t="s">
        <v>301</v>
      </c>
      <c r="I109" s="85" t="s">
        <v>301</v>
      </c>
      <c r="U109" s="218" t="str">
        <f t="shared" si="5"/>
        <v/>
      </c>
    </row>
    <row r="110" spans="2:21">
      <c r="B110" s="2" t="s">
        <v>1331</v>
      </c>
      <c r="C110" s="61" t="s">
        <v>1287</v>
      </c>
      <c r="D110" s="85" t="s">
        <v>301</v>
      </c>
      <c r="E110" s="85" t="s">
        <v>301</v>
      </c>
      <c r="F110" s="85" t="s">
        <v>301</v>
      </c>
      <c r="G110" s="85" t="s">
        <v>301</v>
      </c>
      <c r="H110" s="85" t="s">
        <v>301</v>
      </c>
      <c r="I110" s="85" t="s">
        <v>301</v>
      </c>
      <c r="U110" s="218" t="str">
        <f t="shared" si="5"/>
        <v/>
      </c>
    </row>
    <row r="111" spans="2:21">
      <c r="B111" s="2" t="s">
        <v>515</v>
      </c>
      <c r="C111" s="61" t="s">
        <v>516</v>
      </c>
      <c r="D111" s="85" t="s">
        <v>301</v>
      </c>
      <c r="E111" s="85" t="s">
        <v>301</v>
      </c>
      <c r="F111" s="85" t="s">
        <v>301</v>
      </c>
      <c r="G111" s="85" t="s">
        <v>301</v>
      </c>
      <c r="H111" s="85" t="s">
        <v>301</v>
      </c>
      <c r="I111" s="85" t="s">
        <v>301</v>
      </c>
      <c r="U111" s="218" t="str">
        <f t="shared" si="5"/>
        <v/>
      </c>
    </row>
    <row r="112" spans="2:21">
      <c r="B112" s="2" t="s">
        <v>517</v>
      </c>
      <c r="C112" s="61" t="s">
        <v>518</v>
      </c>
      <c r="D112" s="85" t="s">
        <v>301</v>
      </c>
      <c r="E112" s="85" t="s">
        <v>301</v>
      </c>
      <c r="F112" s="85" t="s">
        <v>301</v>
      </c>
      <c r="G112" s="85">
        <v>-2.4</v>
      </c>
      <c r="H112" s="85" t="s">
        <v>301</v>
      </c>
      <c r="I112" s="85" t="s">
        <v>301</v>
      </c>
      <c r="U112" s="218">
        <f t="shared" si="5"/>
        <v>1</v>
      </c>
    </row>
    <row r="113" spans="2:21">
      <c r="B113" s="2" t="s">
        <v>519</v>
      </c>
      <c r="C113" s="61" t="s">
        <v>520</v>
      </c>
      <c r="D113" s="85" t="s">
        <v>301</v>
      </c>
      <c r="E113" s="85" t="s">
        <v>301</v>
      </c>
      <c r="F113" s="85" t="s">
        <v>301</v>
      </c>
      <c r="G113" s="85">
        <v>9</v>
      </c>
      <c r="H113" s="85" t="s">
        <v>301</v>
      </c>
      <c r="I113" s="85" t="s">
        <v>301</v>
      </c>
      <c r="U113" s="218">
        <f t="shared" si="5"/>
        <v>1</v>
      </c>
    </row>
    <row r="114" spans="2:21">
      <c r="B114" s="2" t="s">
        <v>521</v>
      </c>
      <c r="C114" s="61" t="s">
        <v>522</v>
      </c>
      <c r="D114" s="85" t="s">
        <v>301</v>
      </c>
      <c r="E114" s="85" t="s">
        <v>301</v>
      </c>
      <c r="F114" s="85" t="s">
        <v>301</v>
      </c>
      <c r="G114" s="85" t="s">
        <v>301</v>
      </c>
      <c r="H114" s="85" t="s">
        <v>301</v>
      </c>
      <c r="I114" s="85" t="s">
        <v>301</v>
      </c>
      <c r="U114" s="218" t="str">
        <f t="shared" si="5"/>
        <v/>
      </c>
    </row>
    <row r="115" spans="2:21">
      <c r="B115" s="2" t="s">
        <v>523</v>
      </c>
      <c r="C115" s="61" t="s">
        <v>524</v>
      </c>
      <c r="D115" s="85" t="s">
        <v>301</v>
      </c>
      <c r="E115" s="85" t="s">
        <v>301</v>
      </c>
      <c r="F115" s="85" t="s">
        <v>301</v>
      </c>
      <c r="G115" s="85">
        <v>-1.5</v>
      </c>
      <c r="H115" s="85" t="s">
        <v>301</v>
      </c>
      <c r="I115" s="85" t="s">
        <v>301</v>
      </c>
      <c r="U115" s="218">
        <f t="shared" si="5"/>
        <v>1</v>
      </c>
    </row>
    <row r="116" spans="2:21">
      <c r="B116" s="2" t="s">
        <v>525</v>
      </c>
      <c r="C116" s="61" t="s">
        <v>526</v>
      </c>
      <c r="D116" s="85" t="s">
        <v>301</v>
      </c>
      <c r="E116" s="85" t="s">
        <v>301</v>
      </c>
      <c r="F116" s="85" t="s">
        <v>301</v>
      </c>
      <c r="G116" s="85">
        <v>5.9</v>
      </c>
      <c r="H116" s="85" t="s">
        <v>301</v>
      </c>
      <c r="I116" s="85" t="s">
        <v>301</v>
      </c>
      <c r="U116" s="218">
        <f t="shared" si="5"/>
        <v>1</v>
      </c>
    </row>
    <row r="117" spans="2:21">
      <c r="B117" s="2" t="s">
        <v>527</v>
      </c>
      <c r="C117" s="61" t="s">
        <v>528</v>
      </c>
      <c r="D117" s="85">
        <v>7.3</v>
      </c>
      <c r="E117" s="85" t="s">
        <v>301</v>
      </c>
      <c r="F117" s="85" t="s">
        <v>301</v>
      </c>
      <c r="G117" s="85">
        <v>6.1000000000000005</v>
      </c>
      <c r="H117" s="85">
        <v>7.5</v>
      </c>
      <c r="I117" s="85" t="s">
        <v>301</v>
      </c>
      <c r="U117" s="218">
        <f t="shared" si="5"/>
        <v>1</v>
      </c>
    </row>
    <row r="118" spans="2:21">
      <c r="B118" s="2" t="s">
        <v>529</v>
      </c>
      <c r="C118" s="61" t="s">
        <v>530</v>
      </c>
      <c r="D118" s="85" t="s">
        <v>301</v>
      </c>
      <c r="E118" s="85" t="s">
        <v>301</v>
      </c>
      <c r="F118" s="85" t="s">
        <v>301</v>
      </c>
      <c r="G118" s="85">
        <v>-5.4</v>
      </c>
      <c r="H118" s="85" t="s">
        <v>301</v>
      </c>
      <c r="I118" s="85" t="s">
        <v>301</v>
      </c>
      <c r="U118" s="218">
        <f t="shared" si="5"/>
        <v>1</v>
      </c>
    </row>
    <row r="119" spans="2:21">
      <c r="B119" s="2" t="s">
        <v>531</v>
      </c>
      <c r="C119" s="61" t="s">
        <v>532</v>
      </c>
      <c r="D119" s="85" t="s">
        <v>301</v>
      </c>
      <c r="E119" s="85" t="s">
        <v>301</v>
      </c>
      <c r="F119" s="85" t="s">
        <v>301</v>
      </c>
      <c r="G119" s="85">
        <v>20.5</v>
      </c>
      <c r="H119" s="85" t="s">
        <v>301</v>
      </c>
      <c r="I119" s="85" t="s">
        <v>301</v>
      </c>
      <c r="U119" s="218">
        <f t="shared" si="5"/>
        <v>1</v>
      </c>
    </row>
    <row r="120" spans="2:21">
      <c r="B120" s="2"/>
      <c r="C120" s="61"/>
      <c r="D120" s="85"/>
      <c r="E120" s="85"/>
      <c r="F120" s="85"/>
      <c r="G120" s="85"/>
      <c r="H120" s="85"/>
      <c r="I120" s="85"/>
      <c r="U120" s="217">
        <v>1</v>
      </c>
    </row>
    <row r="121" spans="2:21">
      <c r="B121" s="2" t="s">
        <v>1376</v>
      </c>
      <c r="C121" s="61" t="s">
        <v>1288</v>
      </c>
      <c r="D121" s="85" t="s">
        <v>301</v>
      </c>
      <c r="E121" s="85" t="s">
        <v>301</v>
      </c>
      <c r="F121" s="85" t="s">
        <v>301</v>
      </c>
      <c r="G121" s="85" t="s">
        <v>301</v>
      </c>
      <c r="H121" s="85" t="s">
        <v>301</v>
      </c>
      <c r="I121" s="85" t="s">
        <v>301</v>
      </c>
      <c r="U121" s="218" t="str">
        <f t="shared" si="5"/>
        <v/>
      </c>
    </row>
    <row r="122" spans="2:21">
      <c r="B122" s="2" t="s">
        <v>1377</v>
      </c>
      <c r="C122" s="61" t="s">
        <v>1289</v>
      </c>
      <c r="D122" s="85" t="s">
        <v>301</v>
      </c>
      <c r="E122" s="85" t="s">
        <v>301</v>
      </c>
      <c r="F122" s="85" t="s">
        <v>301</v>
      </c>
      <c r="G122" s="85" t="s">
        <v>301</v>
      </c>
      <c r="H122" s="85" t="s">
        <v>301</v>
      </c>
      <c r="I122" s="85" t="s">
        <v>301</v>
      </c>
      <c r="U122" s="218" t="str">
        <f t="shared" si="5"/>
        <v/>
      </c>
    </row>
    <row r="123" spans="2:21">
      <c r="B123" s="2" t="s">
        <v>1378</v>
      </c>
      <c r="C123" s="61" t="s">
        <v>1290</v>
      </c>
      <c r="D123" s="85" t="s">
        <v>301</v>
      </c>
      <c r="E123" s="85" t="s">
        <v>301</v>
      </c>
      <c r="F123" s="85" t="s">
        <v>301</v>
      </c>
      <c r="G123" s="85" t="s">
        <v>301</v>
      </c>
      <c r="H123" s="85" t="s">
        <v>301</v>
      </c>
      <c r="I123" s="85" t="s">
        <v>301</v>
      </c>
      <c r="U123" s="218" t="str">
        <f t="shared" si="5"/>
        <v/>
      </c>
    </row>
    <row r="124" spans="2:21">
      <c r="B124" s="2" t="s">
        <v>1379</v>
      </c>
      <c r="C124" s="61" t="s">
        <v>1291</v>
      </c>
      <c r="D124" s="85" t="s">
        <v>301</v>
      </c>
      <c r="E124" s="85" t="s">
        <v>301</v>
      </c>
      <c r="F124" s="85" t="s">
        <v>301</v>
      </c>
      <c r="G124" s="85" t="s">
        <v>301</v>
      </c>
      <c r="H124" s="85" t="s">
        <v>301</v>
      </c>
      <c r="I124" s="85" t="s">
        <v>301</v>
      </c>
      <c r="U124" s="218" t="str">
        <f t="shared" si="5"/>
        <v/>
      </c>
    </row>
    <row r="125" spans="2:21">
      <c r="B125" s="2" t="s">
        <v>1380</v>
      </c>
      <c r="C125" s="61" t="s">
        <v>1292</v>
      </c>
      <c r="D125" s="85" t="s">
        <v>301</v>
      </c>
      <c r="E125" s="85" t="s">
        <v>301</v>
      </c>
      <c r="F125" s="85" t="s">
        <v>301</v>
      </c>
      <c r="G125" s="85" t="s">
        <v>301</v>
      </c>
      <c r="H125" s="85" t="s">
        <v>301</v>
      </c>
      <c r="I125" s="85" t="s">
        <v>301</v>
      </c>
      <c r="U125" s="218" t="str">
        <f t="shared" si="5"/>
        <v/>
      </c>
    </row>
    <row r="126" spans="2:21">
      <c r="B126" s="2" t="s">
        <v>1381</v>
      </c>
      <c r="C126" s="61" t="s">
        <v>1293</v>
      </c>
      <c r="D126" s="85" t="s">
        <v>301</v>
      </c>
      <c r="E126" s="85" t="s">
        <v>301</v>
      </c>
      <c r="F126" s="85" t="s">
        <v>301</v>
      </c>
      <c r="G126" s="85" t="s">
        <v>301</v>
      </c>
      <c r="H126" s="85" t="s">
        <v>301</v>
      </c>
      <c r="I126" s="85" t="s">
        <v>301</v>
      </c>
      <c r="U126" s="218" t="str">
        <f t="shared" si="5"/>
        <v/>
      </c>
    </row>
    <row r="127" spans="2:21">
      <c r="B127" s="2" t="s">
        <v>1382</v>
      </c>
      <c r="C127" s="61" t="s">
        <v>1294</v>
      </c>
      <c r="D127" s="85" t="s">
        <v>301</v>
      </c>
      <c r="E127" s="85" t="s">
        <v>301</v>
      </c>
      <c r="F127" s="85" t="s">
        <v>301</v>
      </c>
      <c r="G127" s="85" t="s">
        <v>301</v>
      </c>
      <c r="H127" s="85" t="s">
        <v>301</v>
      </c>
      <c r="I127" s="85" t="s">
        <v>301</v>
      </c>
      <c r="U127" s="218" t="str">
        <f t="shared" si="5"/>
        <v/>
      </c>
    </row>
    <row r="128" spans="2:21">
      <c r="B128" s="2" t="s">
        <v>1383</v>
      </c>
      <c r="C128" s="61" t="s">
        <v>1295</v>
      </c>
      <c r="D128" s="85" t="s">
        <v>301</v>
      </c>
      <c r="E128" s="85" t="s">
        <v>301</v>
      </c>
      <c r="F128" s="85" t="s">
        <v>301</v>
      </c>
      <c r="G128" s="85" t="s">
        <v>301</v>
      </c>
      <c r="H128" s="85" t="s">
        <v>301</v>
      </c>
      <c r="I128" s="85" t="s">
        <v>301</v>
      </c>
      <c r="U128" s="218" t="str">
        <f t="shared" si="5"/>
        <v/>
      </c>
    </row>
    <row r="129" spans="2:21">
      <c r="B129" s="94" t="s">
        <v>1384</v>
      </c>
      <c r="C129" s="61" t="s">
        <v>1296</v>
      </c>
      <c r="D129" s="87" t="s">
        <v>301</v>
      </c>
      <c r="E129" s="87" t="s">
        <v>301</v>
      </c>
      <c r="F129" s="87" t="s">
        <v>301</v>
      </c>
      <c r="G129" s="87" t="s">
        <v>301</v>
      </c>
      <c r="H129" s="87" t="s">
        <v>301</v>
      </c>
      <c r="I129" s="87" t="s">
        <v>301</v>
      </c>
      <c r="U129" s="217">
        <v>1</v>
      </c>
    </row>
    <row r="130" spans="2:21">
      <c r="B130" s="94"/>
      <c r="C130" s="61"/>
      <c r="D130" s="87"/>
      <c r="E130" s="87"/>
      <c r="F130" s="87"/>
      <c r="G130" s="87"/>
      <c r="H130" s="87"/>
      <c r="I130" s="87"/>
      <c r="U130" s="217">
        <v>1</v>
      </c>
    </row>
    <row r="131" spans="2:21">
      <c r="B131" s="2" t="s">
        <v>1765</v>
      </c>
      <c r="C131" s="61" t="s">
        <v>1766</v>
      </c>
      <c r="D131" s="85" t="s">
        <v>301</v>
      </c>
      <c r="E131" s="85" t="s">
        <v>301</v>
      </c>
      <c r="F131" s="85" t="s">
        <v>301</v>
      </c>
      <c r="G131" s="85" t="s">
        <v>301</v>
      </c>
      <c r="H131" s="85" t="s">
        <v>301</v>
      </c>
      <c r="I131" s="85" t="s">
        <v>301</v>
      </c>
      <c r="U131" s="218" t="str">
        <f t="shared" ref="U131:U137" si="6">IF(COUNT(D131:I131)&lt;&gt;0,1,"")</f>
        <v/>
      </c>
    </row>
    <row r="132" spans="2:21">
      <c r="B132" s="2" t="s">
        <v>1767</v>
      </c>
      <c r="C132" s="61" t="s">
        <v>1768</v>
      </c>
      <c r="D132" s="85" t="s">
        <v>301</v>
      </c>
      <c r="E132" s="85" t="s">
        <v>301</v>
      </c>
      <c r="F132" s="85" t="s">
        <v>301</v>
      </c>
      <c r="G132" s="85" t="s">
        <v>301</v>
      </c>
      <c r="H132" s="85" t="s">
        <v>301</v>
      </c>
      <c r="I132" s="85" t="s">
        <v>301</v>
      </c>
      <c r="U132" s="218" t="str">
        <f t="shared" si="6"/>
        <v/>
      </c>
    </row>
    <row r="133" spans="2:21">
      <c r="B133" s="2" t="s">
        <v>1385</v>
      </c>
      <c r="C133" s="61" t="s">
        <v>1297</v>
      </c>
      <c r="D133" s="85" t="s">
        <v>301</v>
      </c>
      <c r="E133" s="85" t="s">
        <v>301</v>
      </c>
      <c r="F133" s="85" t="s">
        <v>301</v>
      </c>
      <c r="G133" s="85" t="s">
        <v>301</v>
      </c>
      <c r="H133" s="85" t="s">
        <v>301</v>
      </c>
      <c r="I133" s="85" t="s">
        <v>301</v>
      </c>
      <c r="U133" s="218" t="str">
        <f t="shared" si="6"/>
        <v/>
      </c>
    </row>
    <row r="134" spans="2:21">
      <c r="B134" s="2" t="s">
        <v>1386</v>
      </c>
      <c r="C134" s="61" t="s">
        <v>1298</v>
      </c>
      <c r="D134" s="85" t="s">
        <v>301</v>
      </c>
      <c r="E134" s="85" t="s">
        <v>301</v>
      </c>
      <c r="F134" s="85" t="s">
        <v>301</v>
      </c>
      <c r="G134" s="85" t="s">
        <v>301</v>
      </c>
      <c r="H134" s="85" t="s">
        <v>301</v>
      </c>
      <c r="I134" s="85" t="s">
        <v>301</v>
      </c>
      <c r="U134" s="218" t="str">
        <f t="shared" si="6"/>
        <v/>
      </c>
    </row>
    <row r="135" spans="2:21">
      <c r="B135" s="2" t="s">
        <v>1387</v>
      </c>
      <c r="C135" s="61" t="s">
        <v>1299</v>
      </c>
      <c r="D135" s="85" t="s">
        <v>301</v>
      </c>
      <c r="E135" s="85" t="s">
        <v>301</v>
      </c>
      <c r="F135" s="85" t="s">
        <v>301</v>
      </c>
      <c r="G135" s="85" t="s">
        <v>301</v>
      </c>
      <c r="H135" s="85" t="s">
        <v>301</v>
      </c>
      <c r="I135" s="85" t="s">
        <v>301</v>
      </c>
      <c r="U135" s="218" t="str">
        <f t="shared" si="6"/>
        <v/>
      </c>
    </row>
    <row r="136" spans="2:21">
      <c r="B136" s="2" t="s">
        <v>1388</v>
      </c>
      <c r="C136" s="61" t="s">
        <v>1300</v>
      </c>
      <c r="D136" s="85" t="s">
        <v>301</v>
      </c>
      <c r="E136" s="85" t="s">
        <v>301</v>
      </c>
      <c r="F136" s="85" t="s">
        <v>301</v>
      </c>
      <c r="G136" s="85" t="s">
        <v>301</v>
      </c>
      <c r="H136" s="85" t="s">
        <v>301</v>
      </c>
      <c r="I136" s="85" t="s">
        <v>301</v>
      </c>
      <c r="U136" s="218" t="str">
        <f t="shared" si="6"/>
        <v/>
      </c>
    </row>
    <row r="137" spans="2:21">
      <c r="B137" s="2" t="s">
        <v>1389</v>
      </c>
      <c r="C137" s="61" t="s">
        <v>1301</v>
      </c>
      <c r="D137" s="85" t="s">
        <v>301</v>
      </c>
      <c r="E137" s="85" t="s">
        <v>301</v>
      </c>
      <c r="F137" s="85" t="s">
        <v>301</v>
      </c>
      <c r="G137" s="85" t="s">
        <v>301</v>
      </c>
      <c r="H137" s="85" t="s">
        <v>301</v>
      </c>
      <c r="I137" s="85" t="s">
        <v>301</v>
      </c>
      <c r="U137" s="218" t="str">
        <f t="shared" si="6"/>
        <v/>
      </c>
    </row>
    <row r="138" spans="2:21">
      <c r="C138" s="61"/>
      <c r="D138" s="85"/>
      <c r="E138" s="85"/>
      <c r="F138" s="85"/>
      <c r="G138" s="85"/>
      <c r="H138" s="85"/>
      <c r="I138" s="85"/>
      <c r="U138" s="217">
        <v>1</v>
      </c>
    </row>
    <row r="139" spans="2:21">
      <c r="B139" s="1" t="s">
        <v>1302</v>
      </c>
      <c r="C139" s="61"/>
      <c r="D139" s="85"/>
      <c r="E139" s="85"/>
      <c r="F139" s="85"/>
      <c r="G139" s="85"/>
      <c r="H139" s="85"/>
      <c r="I139" s="85"/>
      <c r="U139" s="217">
        <v>1</v>
      </c>
    </row>
    <row r="140" spans="2:21">
      <c r="B140" s="2" t="s">
        <v>1332</v>
      </c>
      <c r="C140" s="61" t="s">
        <v>1303</v>
      </c>
      <c r="D140" s="85" t="s">
        <v>301</v>
      </c>
      <c r="E140" s="85" t="s">
        <v>301</v>
      </c>
      <c r="F140" s="85" t="s">
        <v>301</v>
      </c>
      <c r="G140" s="85" t="s">
        <v>301</v>
      </c>
      <c r="H140" s="85" t="s">
        <v>301</v>
      </c>
      <c r="I140" s="85" t="s">
        <v>301</v>
      </c>
      <c r="U140" s="218" t="str">
        <f t="shared" ref="U140:U151" si="7">IF(COUNT(D140:I140)&lt;&gt;0,1,"")</f>
        <v/>
      </c>
    </row>
    <row r="141" spans="2:21">
      <c r="B141" s="2" t="s">
        <v>1333</v>
      </c>
      <c r="C141" s="61" t="s">
        <v>1304</v>
      </c>
      <c r="D141" s="85" t="s">
        <v>301</v>
      </c>
      <c r="E141" s="85" t="s">
        <v>301</v>
      </c>
      <c r="F141" s="85" t="s">
        <v>301</v>
      </c>
      <c r="G141" s="85" t="s">
        <v>301</v>
      </c>
      <c r="H141" s="85" t="s">
        <v>301</v>
      </c>
      <c r="I141" s="85" t="s">
        <v>301</v>
      </c>
      <c r="U141" s="218" t="str">
        <f t="shared" si="7"/>
        <v/>
      </c>
    </row>
    <row r="142" spans="2:21">
      <c r="B142" s="2" t="s">
        <v>1334</v>
      </c>
      <c r="C142" s="61" t="s">
        <v>1305</v>
      </c>
      <c r="D142" s="85" t="s">
        <v>301</v>
      </c>
      <c r="E142" s="85" t="s">
        <v>301</v>
      </c>
      <c r="F142" s="85" t="s">
        <v>301</v>
      </c>
      <c r="G142" s="85" t="s">
        <v>301</v>
      </c>
      <c r="H142" s="85" t="s">
        <v>301</v>
      </c>
      <c r="I142" s="85" t="s">
        <v>301</v>
      </c>
      <c r="U142" s="218" t="str">
        <f t="shared" si="7"/>
        <v/>
      </c>
    </row>
    <row r="143" spans="2:21">
      <c r="B143" s="2" t="s">
        <v>1335</v>
      </c>
      <c r="C143" s="61" t="s">
        <v>1306</v>
      </c>
      <c r="D143" s="85" t="s">
        <v>301</v>
      </c>
      <c r="E143" s="85" t="s">
        <v>301</v>
      </c>
      <c r="F143" s="85" t="s">
        <v>301</v>
      </c>
      <c r="G143" s="85" t="s">
        <v>301</v>
      </c>
      <c r="H143" s="85" t="s">
        <v>301</v>
      </c>
      <c r="I143" s="85" t="s">
        <v>301</v>
      </c>
      <c r="U143" s="218" t="str">
        <f t="shared" si="7"/>
        <v/>
      </c>
    </row>
    <row r="144" spans="2:21">
      <c r="B144" s="2" t="s">
        <v>1336</v>
      </c>
      <c r="C144" s="61" t="s">
        <v>1307</v>
      </c>
      <c r="D144" s="85" t="s">
        <v>301</v>
      </c>
      <c r="E144" s="85" t="s">
        <v>301</v>
      </c>
      <c r="F144" s="85" t="s">
        <v>301</v>
      </c>
      <c r="G144" s="85" t="s">
        <v>301</v>
      </c>
      <c r="H144" s="85" t="s">
        <v>301</v>
      </c>
      <c r="I144" s="85" t="s">
        <v>301</v>
      </c>
      <c r="U144" s="218" t="str">
        <f t="shared" si="7"/>
        <v/>
      </c>
    </row>
    <row r="145" spans="2:21">
      <c r="B145" s="2" t="s">
        <v>1760</v>
      </c>
      <c r="C145" s="61" t="s">
        <v>1308</v>
      </c>
      <c r="D145" s="85" t="s">
        <v>301</v>
      </c>
      <c r="E145" s="85" t="s">
        <v>301</v>
      </c>
      <c r="F145" s="85" t="s">
        <v>301</v>
      </c>
      <c r="G145" s="85" t="s">
        <v>301</v>
      </c>
      <c r="H145" s="85" t="s">
        <v>301</v>
      </c>
      <c r="I145" s="85" t="s">
        <v>301</v>
      </c>
      <c r="U145" s="218" t="str">
        <f t="shared" si="7"/>
        <v/>
      </c>
    </row>
    <row r="146" spans="2:21">
      <c r="B146" s="2" t="s">
        <v>1761</v>
      </c>
      <c r="C146" s="61" t="s">
        <v>1309</v>
      </c>
      <c r="D146" s="85" t="s">
        <v>301</v>
      </c>
      <c r="E146" s="85" t="s">
        <v>301</v>
      </c>
      <c r="F146" s="85" t="s">
        <v>301</v>
      </c>
      <c r="G146" s="85" t="s">
        <v>301</v>
      </c>
      <c r="H146" s="85" t="s">
        <v>301</v>
      </c>
      <c r="I146" s="85" t="s">
        <v>301</v>
      </c>
      <c r="U146" s="218" t="str">
        <f t="shared" si="7"/>
        <v/>
      </c>
    </row>
    <row r="147" spans="2:21">
      <c r="B147" s="2" t="s">
        <v>1337</v>
      </c>
      <c r="C147" s="61" t="s">
        <v>1310</v>
      </c>
      <c r="D147" s="85" t="s">
        <v>301</v>
      </c>
      <c r="E147" s="85" t="s">
        <v>301</v>
      </c>
      <c r="F147" s="85" t="s">
        <v>301</v>
      </c>
      <c r="G147" s="85" t="s">
        <v>301</v>
      </c>
      <c r="H147" s="85" t="s">
        <v>301</v>
      </c>
      <c r="I147" s="85" t="s">
        <v>301</v>
      </c>
      <c r="U147" s="218" t="str">
        <f t="shared" si="7"/>
        <v/>
      </c>
    </row>
    <row r="148" spans="2:21">
      <c r="B148" s="2" t="s">
        <v>1338</v>
      </c>
      <c r="C148" s="61" t="s">
        <v>1311</v>
      </c>
      <c r="D148" s="85" t="s">
        <v>301</v>
      </c>
      <c r="E148" s="85" t="s">
        <v>301</v>
      </c>
      <c r="F148" s="85" t="s">
        <v>301</v>
      </c>
      <c r="G148" s="85" t="s">
        <v>301</v>
      </c>
      <c r="H148" s="85" t="s">
        <v>301</v>
      </c>
      <c r="I148" s="85" t="s">
        <v>301</v>
      </c>
      <c r="U148" s="218" t="str">
        <f t="shared" si="7"/>
        <v/>
      </c>
    </row>
    <row r="149" spans="2:21">
      <c r="B149" s="2" t="s">
        <v>1339</v>
      </c>
      <c r="C149" s="61" t="s">
        <v>1312</v>
      </c>
      <c r="D149" s="85" t="s">
        <v>301</v>
      </c>
      <c r="E149" s="85" t="s">
        <v>301</v>
      </c>
      <c r="F149" s="85" t="s">
        <v>301</v>
      </c>
      <c r="G149" s="85" t="s">
        <v>301</v>
      </c>
      <c r="H149" s="85" t="s">
        <v>301</v>
      </c>
      <c r="I149" s="85" t="s">
        <v>301</v>
      </c>
      <c r="U149" s="218" t="str">
        <f t="shared" si="7"/>
        <v/>
      </c>
    </row>
    <row r="150" spans="2:21">
      <c r="B150" s="2" t="s">
        <v>1340</v>
      </c>
      <c r="C150" s="61" t="s">
        <v>1313</v>
      </c>
      <c r="D150" s="85" t="s">
        <v>301</v>
      </c>
      <c r="E150" s="85" t="s">
        <v>301</v>
      </c>
      <c r="F150" s="85" t="s">
        <v>301</v>
      </c>
      <c r="G150" s="85" t="s">
        <v>301</v>
      </c>
      <c r="H150" s="85" t="s">
        <v>301</v>
      </c>
      <c r="I150" s="85" t="s">
        <v>301</v>
      </c>
      <c r="U150" s="218" t="str">
        <f t="shared" si="7"/>
        <v/>
      </c>
    </row>
    <row r="151" spans="2:21">
      <c r="B151" s="2" t="s">
        <v>1341</v>
      </c>
      <c r="C151" s="61" t="s">
        <v>1314</v>
      </c>
      <c r="D151" s="85" t="s">
        <v>301</v>
      </c>
      <c r="E151" s="85" t="s">
        <v>301</v>
      </c>
      <c r="F151" s="85" t="s">
        <v>301</v>
      </c>
      <c r="G151" s="85" t="s">
        <v>301</v>
      </c>
      <c r="H151" s="85" t="s">
        <v>301</v>
      </c>
      <c r="I151" s="85" t="s">
        <v>301</v>
      </c>
      <c r="U151" s="218" t="str">
        <f t="shared" si="7"/>
        <v/>
      </c>
    </row>
    <row r="152" spans="2:21">
      <c r="B152" s="2"/>
      <c r="C152" s="61"/>
      <c r="D152" s="85"/>
      <c r="E152" s="85"/>
      <c r="F152" s="85"/>
      <c r="G152" s="85"/>
      <c r="H152" s="85"/>
      <c r="I152" s="85"/>
      <c r="U152" s="217">
        <v>1</v>
      </c>
    </row>
    <row r="153" spans="2:21">
      <c r="B153" s="2" t="s">
        <v>1342</v>
      </c>
      <c r="C153" s="61" t="s">
        <v>1315</v>
      </c>
      <c r="D153" s="85" t="s">
        <v>301</v>
      </c>
      <c r="E153" s="85" t="s">
        <v>301</v>
      </c>
      <c r="F153" s="85" t="s">
        <v>301</v>
      </c>
      <c r="G153" s="85" t="s">
        <v>301</v>
      </c>
      <c r="H153" s="85" t="s">
        <v>301</v>
      </c>
      <c r="I153" s="85" t="s">
        <v>301</v>
      </c>
      <c r="U153" s="218" t="str">
        <f t="shared" ref="U153:U164" si="8">IF(COUNT(D153:I153)&lt;&gt;0,1,"")</f>
        <v/>
      </c>
    </row>
    <row r="154" spans="2:21">
      <c r="B154" s="2" t="s">
        <v>1343</v>
      </c>
      <c r="C154" s="61" t="s">
        <v>1316</v>
      </c>
      <c r="D154" s="85" t="s">
        <v>301</v>
      </c>
      <c r="E154" s="85" t="s">
        <v>301</v>
      </c>
      <c r="F154" s="85" t="s">
        <v>301</v>
      </c>
      <c r="G154" s="85" t="s">
        <v>301</v>
      </c>
      <c r="H154" s="85" t="s">
        <v>301</v>
      </c>
      <c r="I154" s="85" t="s">
        <v>301</v>
      </c>
      <c r="U154" s="218" t="str">
        <f t="shared" si="8"/>
        <v/>
      </c>
    </row>
    <row r="155" spans="2:21">
      <c r="B155" s="2" t="s">
        <v>1344</v>
      </c>
      <c r="C155" s="61" t="s">
        <v>1317</v>
      </c>
      <c r="D155" s="85" t="s">
        <v>301</v>
      </c>
      <c r="E155" s="85" t="s">
        <v>301</v>
      </c>
      <c r="F155" s="85" t="s">
        <v>301</v>
      </c>
      <c r="G155" s="85" t="s">
        <v>301</v>
      </c>
      <c r="H155" s="85" t="s">
        <v>301</v>
      </c>
      <c r="I155" s="85" t="s">
        <v>301</v>
      </c>
      <c r="U155" s="218" t="str">
        <f t="shared" si="8"/>
        <v/>
      </c>
    </row>
    <row r="156" spans="2:21">
      <c r="B156" s="2" t="s">
        <v>1345</v>
      </c>
      <c r="C156" s="61" t="s">
        <v>1318</v>
      </c>
      <c r="D156" s="85" t="s">
        <v>301</v>
      </c>
      <c r="E156" s="85" t="s">
        <v>301</v>
      </c>
      <c r="F156" s="85" t="s">
        <v>301</v>
      </c>
      <c r="G156" s="85" t="s">
        <v>301</v>
      </c>
      <c r="H156" s="85" t="s">
        <v>301</v>
      </c>
      <c r="I156" s="85" t="s">
        <v>301</v>
      </c>
      <c r="U156" s="218" t="str">
        <f t="shared" si="8"/>
        <v/>
      </c>
    </row>
    <row r="157" spans="2:21">
      <c r="B157" s="2" t="s">
        <v>1346</v>
      </c>
      <c r="C157" s="61" t="s">
        <v>1319</v>
      </c>
      <c r="D157" s="85" t="s">
        <v>301</v>
      </c>
      <c r="E157" s="85" t="s">
        <v>301</v>
      </c>
      <c r="F157" s="85" t="s">
        <v>301</v>
      </c>
      <c r="G157" s="85" t="s">
        <v>301</v>
      </c>
      <c r="H157" s="85" t="s">
        <v>301</v>
      </c>
      <c r="I157" s="85" t="s">
        <v>301</v>
      </c>
      <c r="U157" s="218" t="str">
        <f t="shared" si="8"/>
        <v/>
      </c>
    </row>
    <row r="158" spans="2:21">
      <c r="B158" s="2" t="s">
        <v>1762</v>
      </c>
      <c r="C158" s="61" t="s">
        <v>1320</v>
      </c>
      <c r="D158" s="85" t="s">
        <v>301</v>
      </c>
      <c r="E158" s="85" t="s">
        <v>301</v>
      </c>
      <c r="F158" s="85" t="s">
        <v>301</v>
      </c>
      <c r="G158" s="85" t="s">
        <v>301</v>
      </c>
      <c r="H158" s="85" t="s">
        <v>301</v>
      </c>
      <c r="I158" s="85" t="s">
        <v>301</v>
      </c>
      <c r="U158" s="218" t="str">
        <f t="shared" si="8"/>
        <v/>
      </c>
    </row>
    <row r="159" spans="2:21">
      <c r="B159" s="2" t="s">
        <v>1763</v>
      </c>
      <c r="C159" s="61" t="s">
        <v>1321</v>
      </c>
      <c r="D159" s="85" t="s">
        <v>301</v>
      </c>
      <c r="E159" s="85" t="s">
        <v>301</v>
      </c>
      <c r="F159" s="85" t="s">
        <v>301</v>
      </c>
      <c r="G159" s="85" t="s">
        <v>301</v>
      </c>
      <c r="H159" s="85" t="s">
        <v>301</v>
      </c>
      <c r="I159" s="85" t="s">
        <v>301</v>
      </c>
      <c r="U159" s="218" t="str">
        <f t="shared" si="8"/>
        <v/>
      </c>
    </row>
    <row r="160" spans="2:21">
      <c r="B160" s="2" t="s">
        <v>1347</v>
      </c>
      <c r="C160" s="61" t="s">
        <v>1322</v>
      </c>
      <c r="D160" s="85" t="s">
        <v>301</v>
      </c>
      <c r="E160" s="85" t="s">
        <v>301</v>
      </c>
      <c r="F160" s="85" t="s">
        <v>301</v>
      </c>
      <c r="G160" s="85" t="s">
        <v>301</v>
      </c>
      <c r="H160" s="85" t="s">
        <v>301</v>
      </c>
      <c r="I160" s="85" t="s">
        <v>301</v>
      </c>
      <c r="U160" s="218" t="str">
        <f t="shared" si="8"/>
        <v/>
      </c>
    </row>
    <row r="161" spans="2:21">
      <c r="B161" s="2" t="s">
        <v>1348</v>
      </c>
      <c r="C161" s="61" t="s">
        <v>1323</v>
      </c>
      <c r="D161" s="85" t="s">
        <v>301</v>
      </c>
      <c r="E161" s="85" t="s">
        <v>301</v>
      </c>
      <c r="F161" s="85" t="s">
        <v>301</v>
      </c>
      <c r="G161" s="85" t="s">
        <v>301</v>
      </c>
      <c r="H161" s="85" t="s">
        <v>301</v>
      </c>
      <c r="I161" s="85" t="s">
        <v>301</v>
      </c>
      <c r="U161" s="218" t="str">
        <f t="shared" si="8"/>
        <v/>
      </c>
    </row>
    <row r="162" spans="2:21">
      <c r="B162" s="2" t="s">
        <v>1349</v>
      </c>
      <c r="C162" s="61" t="s">
        <v>1324</v>
      </c>
      <c r="D162" s="85" t="s">
        <v>301</v>
      </c>
      <c r="E162" s="85" t="s">
        <v>301</v>
      </c>
      <c r="F162" s="85" t="s">
        <v>301</v>
      </c>
      <c r="G162" s="85" t="s">
        <v>301</v>
      </c>
      <c r="H162" s="85" t="s">
        <v>301</v>
      </c>
      <c r="I162" s="85" t="s">
        <v>301</v>
      </c>
      <c r="U162" s="218" t="str">
        <f t="shared" si="8"/>
        <v/>
      </c>
    </row>
    <row r="163" spans="2:21">
      <c r="B163" s="2" t="s">
        <v>1350</v>
      </c>
      <c r="C163" s="61" t="s">
        <v>1325</v>
      </c>
      <c r="D163" s="85" t="s">
        <v>301</v>
      </c>
      <c r="E163" s="85" t="s">
        <v>301</v>
      </c>
      <c r="F163" s="85" t="s">
        <v>301</v>
      </c>
      <c r="G163" s="85" t="s">
        <v>301</v>
      </c>
      <c r="H163" s="85" t="s">
        <v>301</v>
      </c>
      <c r="I163" s="85" t="s">
        <v>301</v>
      </c>
      <c r="U163" s="218" t="str">
        <f t="shared" si="8"/>
        <v/>
      </c>
    </row>
    <row r="164" spans="2:21">
      <c r="B164" s="2" t="s">
        <v>1351</v>
      </c>
      <c r="C164" s="61" t="s">
        <v>1326</v>
      </c>
      <c r="D164" s="85" t="s">
        <v>301</v>
      </c>
      <c r="E164" s="85" t="s">
        <v>301</v>
      </c>
      <c r="F164" s="85" t="s">
        <v>301</v>
      </c>
      <c r="G164" s="85" t="s">
        <v>301</v>
      </c>
      <c r="H164" s="85" t="s">
        <v>301</v>
      </c>
      <c r="I164" s="85" t="s">
        <v>301</v>
      </c>
      <c r="U164" s="218" t="str">
        <f t="shared" si="8"/>
        <v/>
      </c>
    </row>
    <row r="165" spans="2:21">
      <c r="B165" s="2" t="s">
        <v>477</v>
      </c>
      <c r="C165" s="61" t="s">
        <v>867</v>
      </c>
      <c r="D165" s="3" t="s">
        <v>870</v>
      </c>
      <c r="E165" s="3" t="s">
        <v>870</v>
      </c>
      <c r="F165" s="3" t="s">
        <v>2276</v>
      </c>
      <c r="G165" s="3" t="s">
        <v>2276</v>
      </c>
      <c r="H165" s="3" t="s">
        <v>2276</v>
      </c>
      <c r="I165" s="3" t="s">
        <v>2276</v>
      </c>
    </row>
    <row r="166" spans="2:21" ht="61.2">
      <c r="B166" s="2" t="s">
        <v>480</v>
      </c>
      <c r="C166" s="61" t="s">
        <v>868</v>
      </c>
      <c r="D166" s="105" t="s">
        <v>872</v>
      </c>
      <c r="E166" s="105" t="s">
        <v>872</v>
      </c>
      <c r="F166" s="105" t="s">
        <v>871</v>
      </c>
      <c r="G166" s="105" t="s">
        <v>871</v>
      </c>
      <c r="H166" s="105" t="s">
        <v>871</v>
      </c>
      <c r="I166" s="105" t="s">
        <v>871</v>
      </c>
    </row>
    <row r="167" spans="2:21">
      <c r="B167" s="97"/>
      <c r="C167" s="103"/>
      <c r="D167" s="96"/>
      <c r="E167" s="96"/>
      <c r="F167" s="96"/>
      <c r="G167" s="96"/>
      <c r="H167" s="96"/>
      <c r="I167" s="96"/>
    </row>
  </sheetData>
  <pageMargins left="0.25" right="0.25" top="0.25" bottom="0.25" header="0" footer="0"/>
  <pageSetup paperSize="9" scale="6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HideEmpty5">
                <anchor moveWithCells="1" sizeWithCells="1">
                  <from>
                    <xdr:col>3</xdr:col>
                    <xdr:colOff>617220</xdr:colOff>
                    <xdr:row>0</xdr:row>
                    <xdr:rowOff>106680</xdr:rowOff>
                  </from>
                  <to>
                    <xdr:col>4</xdr:col>
                    <xdr:colOff>693420</xdr:colOff>
                    <xdr:row>2</xdr:row>
                    <xdr:rowOff>38100</xdr:rowOff>
                  </to>
                </anchor>
              </controlPr>
            </control>
          </mc:Choice>
        </mc:AlternateContent>
        <mc:AlternateContent xmlns:mc="http://schemas.openxmlformats.org/markup-compatibility/2006">
          <mc:Choice Requires="x14">
            <control shapeId="9218" r:id="rId5" name="Button 2">
              <controlPr defaultSize="0" print="0" autoFill="0" autoPict="0" macro="[0]!UnhideAll">
                <anchor moveWithCells="1" sizeWithCells="1">
                  <from>
                    <xdr:col>5</xdr:col>
                    <xdr:colOff>68580</xdr:colOff>
                    <xdr:row>0</xdr:row>
                    <xdr:rowOff>106680</xdr:rowOff>
                  </from>
                  <to>
                    <xdr:col>6</xdr:col>
                    <xdr:colOff>190500</xdr:colOff>
                    <xdr:row>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2:AD571"/>
  <sheetViews>
    <sheetView showGridLines="0" workbookViewId="0"/>
  </sheetViews>
  <sheetFormatPr defaultRowHeight="10.199999999999999" outlineLevelRow="1" outlineLevelCol="1"/>
  <cols>
    <col min="1" max="1" width="2.28515625" customWidth="1"/>
    <col min="2" max="2" width="43.7109375" customWidth="1"/>
    <col min="3" max="3" width="23.7109375" style="2" hidden="1" customWidth="1" outlineLevel="1"/>
    <col min="4" max="4" width="16.140625" customWidth="1" collapsed="1"/>
    <col min="5" max="16" width="13.42578125" customWidth="1"/>
    <col min="21" max="21" width="9.28515625" hidden="1" customWidth="1" outlineLevel="1"/>
    <col min="22" max="22" width="9.28515625" collapsed="1"/>
    <col min="26" max="26" width="50.85546875" hidden="1" customWidth="1" outlineLevel="1"/>
    <col min="27" max="27" width="17.140625" hidden="1" customWidth="1" outlineLevel="1"/>
    <col min="28" max="28" width="9" hidden="1" customWidth="1" outlineLevel="1"/>
    <col min="29" max="29" width="5.42578125" hidden="1" customWidth="1" outlineLevel="1"/>
    <col min="30" max="30" width="9.28515625" collapsed="1"/>
  </cols>
  <sheetData>
    <row r="2" spans="1:29">
      <c r="B2" t="s">
        <v>2275</v>
      </c>
    </row>
    <row r="3" spans="1:29">
      <c r="A3" s="47"/>
      <c r="B3" s="47"/>
      <c r="C3" s="91"/>
      <c r="D3" s="47"/>
      <c r="E3" s="47"/>
      <c r="F3" s="49"/>
      <c r="G3" s="47"/>
      <c r="H3" s="47"/>
      <c r="I3" s="47"/>
    </row>
    <row r="4" spans="1:29" ht="16.2" thickBot="1">
      <c r="A4" s="47"/>
      <c r="B4" s="50" t="str">
        <f>D11&amp;IF(D12="",""," ("&amp;D12&amp;")")</f>
        <v>FMC Corporation (NYSE:FMC) (FMC-US)</v>
      </c>
      <c r="C4" s="100"/>
      <c r="D4" s="53"/>
      <c r="E4" s="53"/>
      <c r="F4" s="53"/>
      <c r="G4" s="53"/>
      <c r="H4" s="53"/>
      <c r="I4" s="119" t="s">
        <v>2280</v>
      </c>
    </row>
    <row r="5" spans="1:29">
      <c r="A5" s="47"/>
      <c r="B5" s="54" t="str">
        <f>"Data in "&amp;Curr_Sym</f>
        <v>Data in ($M)</v>
      </c>
      <c r="C5" s="54"/>
      <c r="D5" s="47"/>
      <c r="E5" s="47"/>
      <c r="F5" s="47"/>
      <c r="G5" s="47"/>
      <c r="H5" s="47"/>
      <c r="I5" s="47"/>
    </row>
    <row r="6" spans="1:29" hidden="1" outlineLevel="1">
      <c r="A6" s="47"/>
      <c r="B6" s="56"/>
      <c r="C6" s="57" t="str">
        <f ca="1">_xll.SNL.Clients.Office.Excel.Functions.SPGTable($D$6:$I$6,$C$11:$C$570,$D$7:$I$7,"Options: Curr="&amp;Sel_Curr&amp;", Mag="&amp;Sel_Mag&amp;",ConvMethod="&amp;Sel_Conv&amp;", NA=NA, Term=en-US")</f>
        <v>SPGTable</v>
      </c>
      <c r="D6" s="59" t="str">
        <f t="shared" ref="D6:I6" si="0">Focus_Co</f>
        <v>FMC</v>
      </c>
      <c r="E6" s="59" t="str">
        <f t="shared" si="0"/>
        <v>FMC</v>
      </c>
      <c r="F6" s="59" t="str">
        <f t="shared" si="0"/>
        <v>FMC</v>
      </c>
      <c r="G6" s="59" t="str">
        <f t="shared" si="0"/>
        <v>FMC</v>
      </c>
      <c r="H6" s="59" t="str">
        <f t="shared" si="0"/>
        <v>FMC</v>
      </c>
      <c r="I6" s="59" t="str">
        <f t="shared" si="0"/>
        <v>FMC</v>
      </c>
    </row>
    <row r="7" spans="1:29" hidden="1" outlineLevel="1">
      <c r="A7" s="47"/>
      <c r="B7" s="56"/>
      <c r="C7" s="57"/>
      <c r="D7" s="59" t="str">
        <f t="shared" ref="D7:F7" si="1">LEFT(E7,LEN(E7)-1)&amp;RIGHT(E7,1)+1</f>
        <v>FQ-5</v>
      </c>
      <c r="E7" s="59" t="str">
        <f t="shared" si="1"/>
        <v>FQ-4</v>
      </c>
      <c r="F7" s="59" t="str">
        <f t="shared" si="1"/>
        <v>FQ-3</v>
      </c>
      <c r="G7" s="59" t="str">
        <f>LEFT(H7,LEN(H7)-1)&amp;RIGHT(H7,1)+1</f>
        <v>FQ-2</v>
      </c>
      <c r="H7" s="59" t="str">
        <f>VLOOKUP(Period,FormatTable,2,FALSE)</f>
        <v>FQ-1</v>
      </c>
      <c r="I7" s="59" t="str">
        <f>Period</f>
        <v>FQ0</v>
      </c>
    </row>
    <row r="8" spans="1:29" hidden="1" outlineLevel="1">
      <c r="A8" s="47"/>
      <c r="B8" s="56"/>
      <c r="C8" s="57"/>
      <c r="D8" s="209">
        <f t="shared" ref="D8:I8" ca="1" si="2">IF(Date="","",Date)</f>
        <v>45536</v>
      </c>
      <c r="E8" s="209">
        <f t="shared" ca="1" si="2"/>
        <v>45536</v>
      </c>
      <c r="F8" s="209">
        <f t="shared" ca="1" si="2"/>
        <v>45536</v>
      </c>
      <c r="G8" s="209">
        <f t="shared" ca="1" si="2"/>
        <v>45536</v>
      </c>
      <c r="H8" s="209">
        <f t="shared" ca="1" si="2"/>
        <v>45536</v>
      </c>
      <c r="I8" s="209">
        <f t="shared" ca="1" si="2"/>
        <v>45536</v>
      </c>
    </row>
    <row r="9" spans="1:29" hidden="1" outlineLevel="1">
      <c r="A9" s="47"/>
      <c r="B9" s="56"/>
      <c r="C9" s="101"/>
      <c r="D9" s="47"/>
      <c r="E9" s="47"/>
      <c r="F9" s="47"/>
      <c r="G9" s="47"/>
      <c r="H9" s="47"/>
      <c r="I9" s="47"/>
    </row>
    <row r="10" spans="1:29" hidden="1" outlineLevel="1">
      <c r="A10" s="47"/>
      <c r="B10" s="56"/>
      <c r="C10" s="101"/>
      <c r="D10" s="47"/>
      <c r="E10" s="47"/>
      <c r="F10" s="47"/>
      <c r="G10" s="47"/>
      <c r="H10" s="47"/>
      <c r="I10" s="47"/>
    </row>
    <row r="11" spans="1:29" hidden="1" outlineLevel="1">
      <c r="A11" s="47"/>
      <c r="B11" s="56"/>
      <c r="C11" s="61" t="s">
        <v>322</v>
      </c>
      <c r="D11" s="47" t="s">
        <v>2289</v>
      </c>
      <c r="E11" s="47" t="s">
        <v>2289</v>
      </c>
      <c r="F11" s="47" t="s">
        <v>2289</v>
      </c>
      <c r="G11" s="47" t="s">
        <v>2289</v>
      </c>
      <c r="H11" s="47" t="s">
        <v>2289</v>
      </c>
      <c r="I11" s="47" t="s">
        <v>2289</v>
      </c>
    </row>
    <row r="12" spans="1:29" hidden="1" outlineLevel="1">
      <c r="A12" s="47"/>
      <c r="B12" s="56"/>
      <c r="C12" s="61" t="s">
        <v>323</v>
      </c>
      <c r="D12" s="47" t="s">
        <v>2290</v>
      </c>
      <c r="E12" s="47" t="s">
        <v>2290</v>
      </c>
      <c r="F12" s="47" t="s">
        <v>2290</v>
      </c>
      <c r="G12" s="47" t="s">
        <v>2290</v>
      </c>
      <c r="H12" s="47" t="s">
        <v>2290</v>
      </c>
      <c r="I12" s="47" t="s">
        <v>2290</v>
      </c>
    </row>
    <row r="13" spans="1:29" ht="20.100000000000001" customHeight="1" collapsed="1">
      <c r="A13" s="47"/>
      <c r="B13" s="62" t="s">
        <v>325</v>
      </c>
      <c r="C13" s="61" t="s">
        <v>326</v>
      </c>
      <c r="D13" s="162">
        <v>45016</v>
      </c>
      <c r="E13" s="162">
        <v>45107</v>
      </c>
      <c r="F13" s="162">
        <v>45199</v>
      </c>
      <c r="G13" s="162">
        <v>45291</v>
      </c>
      <c r="H13" s="162">
        <v>45382</v>
      </c>
      <c r="I13" s="162">
        <v>45473</v>
      </c>
    </row>
    <row r="14" spans="1:29" ht="11.25" customHeight="1">
      <c r="A14" s="47"/>
      <c r="B14" s="62"/>
      <c r="C14" s="61"/>
      <c r="D14" s="107"/>
      <c r="E14" s="107"/>
      <c r="F14" s="107"/>
      <c r="G14" s="107"/>
      <c r="H14" s="107"/>
      <c r="I14" s="107"/>
    </row>
    <row r="15" spans="1:29" ht="13.2">
      <c r="B15" s="62" t="s">
        <v>1592</v>
      </c>
      <c r="C15" s="61" t="s">
        <v>272</v>
      </c>
      <c r="D15" s="15"/>
      <c r="E15" s="15"/>
      <c r="F15" s="15"/>
      <c r="G15" s="15"/>
      <c r="H15" s="15"/>
      <c r="I15" s="15"/>
      <c r="Z15" s="133" t="s">
        <v>281</v>
      </c>
      <c r="AA15" s="134"/>
      <c r="AB15" s="17"/>
      <c r="AC15" s="17"/>
    </row>
    <row r="16" spans="1:29">
      <c r="B16" s="62" t="s">
        <v>1425</v>
      </c>
      <c r="C16" s="61" t="s">
        <v>272</v>
      </c>
      <c r="D16" s="15"/>
      <c r="E16" s="15"/>
      <c r="F16" s="15"/>
      <c r="G16" s="15"/>
      <c r="H16" s="15"/>
      <c r="I16" s="15"/>
      <c r="Z16" s="17"/>
      <c r="AA16" s="17"/>
      <c r="AB16" s="17"/>
      <c r="AC16" s="17"/>
    </row>
    <row r="17" spans="2:29">
      <c r="B17" s="47" t="s">
        <v>1426</v>
      </c>
      <c r="C17" s="61" t="s">
        <v>1778</v>
      </c>
      <c r="D17" s="85">
        <v>0.70000000000000007</v>
      </c>
      <c r="E17" s="85">
        <v>0.70000000000000007</v>
      </c>
      <c r="F17" s="85">
        <v>0.6</v>
      </c>
      <c r="G17" s="85" t="s">
        <v>301</v>
      </c>
      <c r="H17" s="85">
        <v>0.8</v>
      </c>
      <c r="I17" s="85">
        <v>0.70000000000000007</v>
      </c>
      <c r="U17" s="218">
        <f t="shared" ref="U17:U22" si="3">IF(COUNT(D17:I17)&lt;&gt;0,1,"")</f>
        <v>1</v>
      </c>
      <c r="Z17" s="17"/>
      <c r="AA17" s="17"/>
      <c r="AB17" s="126" t="str">
        <f>"("&amp;AB18&amp;")"</f>
        <v>($)</v>
      </c>
      <c r="AC17" s="126" t="str">
        <f>"("&amp;AB18&amp;AC18&amp;")"</f>
        <v>($M)</v>
      </c>
    </row>
    <row r="18" spans="2:29">
      <c r="B18" s="47" t="s">
        <v>1427</v>
      </c>
      <c r="C18" s="61" t="s">
        <v>1779</v>
      </c>
      <c r="D18" s="85">
        <v>12.6</v>
      </c>
      <c r="E18" s="85">
        <v>12.5</v>
      </c>
      <c r="F18" s="85">
        <v>12.6</v>
      </c>
      <c r="G18" s="85" t="s">
        <v>301</v>
      </c>
      <c r="H18" s="85">
        <v>11.9</v>
      </c>
      <c r="I18" s="85">
        <v>11.9</v>
      </c>
      <c r="U18" s="218">
        <f t="shared" si="3"/>
        <v>1</v>
      </c>
      <c r="Z18" s="126" t="str">
        <f>Key_Stats!$F$18</f>
        <v>U.S. Dollar</v>
      </c>
      <c r="AA18" s="126" t="str">
        <f>VLOOKUP(Z18,$Z$22:$AA$100,2,FALSE)</f>
        <v>USD</v>
      </c>
      <c r="AB18" s="126" t="str">
        <f>IF(ISERROR(VLOOKUP(Z18,Z22:AC100,3,FALSE)),"Reported",VLOOKUP(Z18,Z22:AC100,3,FALSE))</f>
        <v>$</v>
      </c>
      <c r="AC18" s="126" t="str">
        <f>AA102</f>
        <v>M</v>
      </c>
    </row>
    <row r="19" spans="2:29">
      <c r="B19" s="47" t="s">
        <v>1428</v>
      </c>
      <c r="C19" s="61" t="s">
        <v>1780</v>
      </c>
      <c r="D19" s="85">
        <v>-11.9</v>
      </c>
      <c r="E19" s="85">
        <v>-11.8</v>
      </c>
      <c r="F19" s="85">
        <v>-11.8</v>
      </c>
      <c r="G19" s="85" t="s">
        <v>301</v>
      </c>
      <c r="H19" s="85">
        <v>-11.200000000000001</v>
      </c>
      <c r="I19" s="85">
        <v>-11.200000000000001</v>
      </c>
      <c r="U19" s="218">
        <f t="shared" si="3"/>
        <v>1</v>
      </c>
      <c r="Z19" s="17"/>
      <c r="AA19" s="17"/>
      <c r="AB19" s="17"/>
      <c r="AC19" s="17"/>
    </row>
    <row r="20" spans="2:29">
      <c r="B20" s="47" t="s">
        <v>1429</v>
      </c>
      <c r="C20" s="61" t="s">
        <v>1781</v>
      </c>
      <c r="D20" s="85">
        <v>4</v>
      </c>
      <c r="E20" s="85">
        <v>3.9</v>
      </c>
      <c r="F20" s="85">
        <v>3.7</v>
      </c>
      <c r="G20" s="85" t="s">
        <v>301</v>
      </c>
      <c r="H20" s="85">
        <v>3.6</v>
      </c>
      <c r="I20" s="85">
        <v>3.6</v>
      </c>
      <c r="U20" s="218">
        <f t="shared" si="3"/>
        <v>1</v>
      </c>
      <c r="Z20" s="127" t="s">
        <v>40</v>
      </c>
      <c r="AA20" s="127" t="s">
        <v>41</v>
      </c>
      <c r="AB20" s="127" t="s">
        <v>42</v>
      </c>
      <c r="AC20" s="127" t="s">
        <v>43</v>
      </c>
    </row>
    <row r="21" spans="2:29">
      <c r="B21" s="47" t="s">
        <v>1430</v>
      </c>
      <c r="C21" s="61" t="s">
        <v>1782</v>
      </c>
      <c r="D21" s="85">
        <v>5.4</v>
      </c>
      <c r="E21" s="85">
        <v>5.3</v>
      </c>
      <c r="F21" s="85">
        <v>5.1000000000000005</v>
      </c>
      <c r="G21" s="85" t="s">
        <v>301</v>
      </c>
      <c r="H21" s="85">
        <v>5.1000000000000005</v>
      </c>
      <c r="I21" s="85">
        <v>5</v>
      </c>
      <c r="U21" s="218">
        <f t="shared" si="3"/>
        <v>1</v>
      </c>
      <c r="Z21" s="128"/>
      <c r="AA21" s="128"/>
      <c r="AB21" s="129"/>
      <c r="AC21" s="129"/>
    </row>
    <row r="22" spans="2:29">
      <c r="B22" s="47" t="s">
        <v>1431</v>
      </c>
      <c r="C22" s="61" t="s">
        <v>1783</v>
      </c>
      <c r="D22" s="85" t="s">
        <v>301</v>
      </c>
      <c r="E22" s="85" t="s">
        <v>301</v>
      </c>
      <c r="F22" s="85" t="s">
        <v>301</v>
      </c>
      <c r="G22" s="85" t="s">
        <v>301</v>
      </c>
      <c r="H22" s="85" t="s">
        <v>301</v>
      </c>
      <c r="I22" s="85" t="s">
        <v>301</v>
      </c>
      <c r="U22" s="218" t="str">
        <f t="shared" si="3"/>
        <v/>
      </c>
      <c r="Z22" s="143" t="s">
        <v>44</v>
      </c>
      <c r="AA22" s="144" t="s">
        <v>45</v>
      </c>
      <c r="AB22" s="144" t="s">
        <v>46</v>
      </c>
      <c r="AC22" s="145" t="s">
        <v>47</v>
      </c>
    </row>
    <row r="23" spans="2:29">
      <c r="B23" s="47" t="s">
        <v>1432</v>
      </c>
      <c r="C23" s="61" t="s">
        <v>1784</v>
      </c>
      <c r="D23" s="85" t="s">
        <v>301</v>
      </c>
      <c r="E23" s="85" t="s">
        <v>301</v>
      </c>
      <c r="F23" s="85" t="s">
        <v>301</v>
      </c>
      <c r="G23" s="85" t="s">
        <v>301</v>
      </c>
      <c r="H23" s="85" t="s">
        <v>301</v>
      </c>
      <c r="I23" s="85" t="s">
        <v>301</v>
      </c>
      <c r="U23" s="218" t="str">
        <f t="shared" ref="U23:U24" si="4">IF(COUNT(D23:I23)&lt;&gt;0,1,"")</f>
        <v/>
      </c>
      <c r="Z23" s="146" t="s">
        <v>48</v>
      </c>
      <c r="AA23" s="147" t="s">
        <v>49</v>
      </c>
      <c r="AB23" s="147" t="s">
        <v>50</v>
      </c>
      <c r="AC23" s="148" t="s">
        <v>47</v>
      </c>
    </row>
    <row r="24" spans="2:29">
      <c r="B24" s="47" t="s">
        <v>1433</v>
      </c>
      <c r="C24" s="61" t="s">
        <v>1785</v>
      </c>
      <c r="D24" s="85">
        <v>5.4</v>
      </c>
      <c r="E24" s="85">
        <v>5.3</v>
      </c>
      <c r="F24" s="85">
        <v>5.1000000000000005</v>
      </c>
      <c r="G24" s="85" t="s">
        <v>301</v>
      </c>
      <c r="H24" s="85">
        <v>5.1000000000000005</v>
      </c>
      <c r="I24" s="85">
        <v>5</v>
      </c>
      <c r="U24" s="218">
        <f t="shared" si="4"/>
        <v>1</v>
      </c>
      <c r="Z24" s="146" t="s">
        <v>51</v>
      </c>
      <c r="AA24" s="147" t="s">
        <v>52</v>
      </c>
      <c r="AB24" s="147" t="s">
        <v>53</v>
      </c>
      <c r="AC24" s="148" t="s">
        <v>54</v>
      </c>
    </row>
    <row r="25" spans="2:29">
      <c r="B25" s="62" t="s">
        <v>1434</v>
      </c>
      <c r="C25" s="61" t="s">
        <v>272</v>
      </c>
      <c r="D25" s="85"/>
      <c r="E25" s="85"/>
      <c r="F25" s="85"/>
      <c r="G25" s="85"/>
      <c r="H25" s="85"/>
      <c r="I25" s="85"/>
      <c r="U25" s="217">
        <v>1</v>
      </c>
      <c r="Z25" s="146" t="s">
        <v>37</v>
      </c>
      <c r="AA25" s="147" t="s">
        <v>55</v>
      </c>
      <c r="AB25" s="147" t="s">
        <v>56</v>
      </c>
      <c r="AC25" s="148" t="s">
        <v>47</v>
      </c>
    </row>
    <row r="26" spans="2:29">
      <c r="B26" s="47" t="s">
        <v>1435</v>
      </c>
      <c r="C26" s="61" t="s">
        <v>1786</v>
      </c>
      <c r="D26" s="85" t="s">
        <v>301</v>
      </c>
      <c r="E26" s="85" t="s">
        <v>301</v>
      </c>
      <c r="F26" s="85" t="s">
        <v>301</v>
      </c>
      <c r="G26" s="85">
        <v>1044.3</v>
      </c>
      <c r="H26" s="85" t="s">
        <v>301</v>
      </c>
      <c r="I26" s="85" t="s">
        <v>301</v>
      </c>
      <c r="U26" s="218">
        <f t="shared" ref="U26:U37" si="5">IF(COUNT(D26:I26)&lt;&gt;0,1,"")</f>
        <v>1</v>
      </c>
      <c r="Z26" s="146" t="s">
        <v>57</v>
      </c>
      <c r="AA26" s="147" t="s">
        <v>58</v>
      </c>
      <c r="AB26" s="147" t="s">
        <v>58</v>
      </c>
      <c r="AC26" s="148" t="s">
        <v>47</v>
      </c>
    </row>
    <row r="27" spans="2:29">
      <c r="B27" s="47" t="s">
        <v>1436</v>
      </c>
      <c r="C27" s="61" t="s">
        <v>1787</v>
      </c>
      <c r="D27" s="85" t="s">
        <v>301</v>
      </c>
      <c r="E27" s="85" t="s">
        <v>301</v>
      </c>
      <c r="F27" s="85" t="s">
        <v>301</v>
      </c>
      <c r="G27" s="85">
        <v>2.6</v>
      </c>
      <c r="H27" s="85" t="s">
        <v>301</v>
      </c>
      <c r="I27" s="85" t="s">
        <v>301</v>
      </c>
      <c r="U27" s="218">
        <f t="shared" si="5"/>
        <v>1</v>
      </c>
      <c r="Z27" s="146" t="s">
        <v>59</v>
      </c>
      <c r="AA27" s="147" t="s">
        <v>60</v>
      </c>
      <c r="AB27" s="147" t="s">
        <v>60</v>
      </c>
      <c r="AC27" s="148" t="s">
        <v>47</v>
      </c>
    </row>
    <row r="28" spans="2:29">
      <c r="B28" s="47" t="s">
        <v>1427</v>
      </c>
      <c r="C28" s="61" t="s">
        <v>1788</v>
      </c>
      <c r="D28" s="85" t="s">
        <v>301</v>
      </c>
      <c r="E28" s="85" t="s">
        <v>301</v>
      </c>
      <c r="F28" s="85" t="s">
        <v>301</v>
      </c>
      <c r="G28" s="85">
        <v>50.4</v>
      </c>
      <c r="H28" s="85" t="s">
        <v>301</v>
      </c>
      <c r="I28" s="85" t="s">
        <v>301</v>
      </c>
      <c r="U28" s="218">
        <f t="shared" si="5"/>
        <v>1</v>
      </c>
      <c r="Z28" s="146" t="s">
        <v>61</v>
      </c>
      <c r="AA28" s="147" t="s">
        <v>62</v>
      </c>
      <c r="AB28" s="147" t="s">
        <v>63</v>
      </c>
      <c r="AC28" s="148" t="s">
        <v>47</v>
      </c>
    </row>
    <row r="29" spans="2:29">
      <c r="B29" s="47" t="s">
        <v>1437</v>
      </c>
      <c r="C29" s="61" t="s">
        <v>1789</v>
      </c>
      <c r="D29" s="85" t="s">
        <v>301</v>
      </c>
      <c r="E29" s="85" t="s">
        <v>301</v>
      </c>
      <c r="F29" s="85" t="s">
        <v>301</v>
      </c>
      <c r="G29" s="85" t="s">
        <v>301</v>
      </c>
      <c r="H29" s="85" t="s">
        <v>301</v>
      </c>
      <c r="I29" s="85" t="s">
        <v>301</v>
      </c>
      <c r="U29" s="218" t="str">
        <f t="shared" si="5"/>
        <v/>
      </c>
      <c r="Z29" s="146" t="s">
        <v>64</v>
      </c>
      <c r="AA29" s="147" t="s">
        <v>65</v>
      </c>
      <c r="AB29" s="147" t="s">
        <v>66</v>
      </c>
      <c r="AC29" s="148" t="s">
        <v>47</v>
      </c>
    </row>
    <row r="30" spans="2:29">
      <c r="B30" s="47" t="s">
        <v>1438</v>
      </c>
      <c r="C30" s="61" t="s">
        <v>1790</v>
      </c>
      <c r="D30" s="85" t="s">
        <v>301</v>
      </c>
      <c r="E30" s="85" t="s">
        <v>301</v>
      </c>
      <c r="F30" s="85" t="s">
        <v>301</v>
      </c>
      <c r="G30" s="85">
        <v>19</v>
      </c>
      <c r="H30" s="85" t="s">
        <v>301</v>
      </c>
      <c r="I30" s="85" t="s">
        <v>301</v>
      </c>
      <c r="U30" s="218">
        <f t="shared" si="5"/>
        <v>1</v>
      </c>
      <c r="Z30" s="146" t="s">
        <v>67</v>
      </c>
      <c r="AA30" s="147" t="s">
        <v>68</v>
      </c>
      <c r="AB30" s="147" t="s">
        <v>69</v>
      </c>
      <c r="AC30" s="148" t="s">
        <v>47</v>
      </c>
    </row>
    <row r="31" spans="2:29">
      <c r="B31" s="47" t="s">
        <v>1439</v>
      </c>
      <c r="C31" s="61" t="s">
        <v>1791</v>
      </c>
      <c r="D31" s="85" t="s">
        <v>301</v>
      </c>
      <c r="E31" s="85" t="s">
        <v>301</v>
      </c>
      <c r="F31" s="85" t="s">
        <v>301</v>
      </c>
      <c r="G31" s="85">
        <v>-83.100000000000009</v>
      </c>
      <c r="H31" s="85" t="s">
        <v>301</v>
      </c>
      <c r="I31" s="85" t="s">
        <v>301</v>
      </c>
      <c r="U31" s="218">
        <f t="shared" si="5"/>
        <v>1</v>
      </c>
      <c r="Z31" s="146" t="s">
        <v>70</v>
      </c>
      <c r="AA31" s="147" t="s">
        <v>71</v>
      </c>
      <c r="AB31" s="147" t="s">
        <v>72</v>
      </c>
      <c r="AC31" s="148" t="s">
        <v>47</v>
      </c>
    </row>
    <row r="32" spans="2:29">
      <c r="B32" s="47" t="s">
        <v>1440</v>
      </c>
      <c r="C32" s="61" t="s">
        <v>1792</v>
      </c>
      <c r="D32" s="85" t="s">
        <v>301</v>
      </c>
      <c r="E32" s="85" t="s">
        <v>301</v>
      </c>
      <c r="F32" s="85" t="s">
        <v>301</v>
      </c>
      <c r="G32" s="85" t="s">
        <v>301</v>
      </c>
      <c r="H32" s="85" t="s">
        <v>301</v>
      </c>
      <c r="I32" s="85" t="s">
        <v>301</v>
      </c>
      <c r="U32" s="218" t="str">
        <f t="shared" si="5"/>
        <v/>
      </c>
      <c r="Z32" s="146" t="s">
        <v>73</v>
      </c>
      <c r="AA32" s="147" t="s">
        <v>74</v>
      </c>
      <c r="AB32" s="147" t="s">
        <v>75</v>
      </c>
      <c r="AC32" s="148" t="s">
        <v>47</v>
      </c>
    </row>
    <row r="33" spans="2:29">
      <c r="B33" s="47" t="s">
        <v>1441</v>
      </c>
      <c r="C33" s="61" t="s">
        <v>1793</v>
      </c>
      <c r="D33" s="85" t="s">
        <v>301</v>
      </c>
      <c r="E33" s="85" t="s">
        <v>301</v>
      </c>
      <c r="F33" s="85" t="s">
        <v>301</v>
      </c>
      <c r="G33" s="85" t="s">
        <v>301</v>
      </c>
      <c r="H33" s="85" t="s">
        <v>301</v>
      </c>
      <c r="I33" s="85" t="s">
        <v>301</v>
      </c>
      <c r="U33" s="218" t="str">
        <f t="shared" si="5"/>
        <v/>
      </c>
      <c r="Z33" s="146" t="s">
        <v>76</v>
      </c>
      <c r="AA33" s="147" t="s">
        <v>77</v>
      </c>
      <c r="AB33" s="147" t="s">
        <v>78</v>
      </c>
      <c r="AC33" s="148" t="s">
        <v>47</v>
      </c>
    </row>
    <row r="34" spans="2:29">
      <c r="B34" s="47" t="s">
        <v>1442</v>
      </c>
      <c r="C34" s="61" t="s">
        <v>1794</v>
      </c>
      <c r="D34" s="85" t="s">
        <v>301</v>
      </c>
      <c r="E34" s="85" t="s">
        <v>301</v>
      </c>
      <c r="F34" s="85" t="s">
        <v>301</v>
      </c>
      <c r="G34" s="85">
        <v>-1</v>
      </c>
      <c r="H34" s="85" t="s">
        <v>301</v>
      </c>
      <c r="I34" s="85" t="s">
        <v>301</v>
      </c>
      <c r="U34" s="218">
        <f t="shared" si="5"/>
        <v>1</v>
      </c>
      <c r="Z34" s="146" t="s">
        <v>79</v>
      </c>
      <c r="AA34" s="147" t="s">
        <v>80</v>
      </c>
      <c r="AB34" s="147" t="s">
        <v>81</v>
      </c>
      <c r="AC34" s="148" t="s">
        <v>47</v>
      </c>
    </row>
    <row r="35" spans="2:29">
      <c r="B35" s="47" t="s">
        <v>1443</v>
      </c>
      <c r="C35" s="61" t="s">
        <v>1795</v>
      </c>
      <c r="D35" s="85" t="s">
        <v>301</v>
      </c>
      <c r="E35" s="85" t="s">
        <v>301</v>
      </c>
      <c r="F35" s="85" t="s">
        <v>301</v>
      </c>
      <c r="G35" s="85" t="s">
        <v>301</v>
      </c>
      <c r="H35" s="85" t="s">
        <v>301</v>
      </c>
      <c r="I35" s="85" t="s">
        <v>301</v>
      </c>
      <c r="U35" s="218" t="str">
        <f t="shared" si="5"/>
        <v/>
      </c>
      <c r="Z35" s="146" t="s">
        <v>82</v>
      </c>
      <c r="AA35" s="147" t="s">
        <v>83</v>
      </c>
      <c r="AB35" s="147" t="s">
        <v>84</v>
      </c>
      <c r="AC35" s="148" t="s">
        <v>47</v>
      </c>
    </row>
    <row r="36" spans="2:29">
      <c r="B36" s="47" t="s">
        <v>1444</v>
      </c>
      <c r="C36" s="61" t="s">
        <v>1796</v>
      </c>
      <c r="D36" s="85" t="s">
        <v>301</v>
      </c>
      <c r="E36" s="85" t="s">
        <v>301</v>
      </c>
      <c r="F36" s="85" t="s">
        <v>301</v>
      </c>
      <c r="G36" s="85">
        <v>1032.2</v>
      </c>
      <c r="H36" s="85" t="s">
        <v>301</v>
      </c>
      <c r="I36" s="85" t="s">
        <v>301</v>
      </c>
      <c r="U36" s="218">
        <f t="shared" si="5"/>
        <v>1</v>
      </c>
      <c r="Z36" s="146" t="s">
        <v>85</v>
      </c>
      <c r="AA36" s="147" t="s">
        <v>86</v>
      </c>
      <c r="AB36" s="147" t="s">
        <v>87</v>
      </c>
      <c r="AC36" s="148" t="s">
        <v>47</v>
      </c>
    </row>
    <row r="37" spans="2:29">
      <c r="B37" s="47" t="s">
        <v>1445</v>
      </c>
      <c r="C37" s="61" t="s">
        <v>1797</v>
      </c>
      <c r="D37" s="85" t="s">
        <v>301</v>
      </c>
      <c r="E37" s="85" t="s">
        <v>301</v>
      </c>
      <c r="F37" s="85" t="s">
        <v>301</v>
      </c>
      <c r="G37" s="85">
        <v>1027</v>
      </c>
      <c r="H37" s="85" t="s">
        <v>301</v>
      </c>
      <c r="I37" s="85" t="s">
        <v>301</v>
      </c>
      <c r="U37" s="218">
        <f t="shared" si="5"/>
        <v>1</v>
      </c>
      <c r="Z37" s="146" t="s">
        <v>88</v>
      </c>
      <c r="AA37" s="147" t="s">
        <v>89</v>
      </c>
      <c r="AB37" s="147" t="s">
        <v>90</v>
      </c>
      <c r="AC37" s="148" t="s">
        <v>47</v>
      </c>
    </row>
    <row r="38" spans="2:29">
      <c r="B38" s="62" t="s">
        <v>1446</v>
      </c>
      <c r="C38" s="61" t="s">
        <v>272</v>
      </c>
      <c r="D38" s="85"/>
      <c r="E38" s="85"/>
      <c r="F38" s="85"/>
      <c r="G38" s="85"/>
      <c r="H38" s="85"/>
      <c r="I38" s="85"/>
      <c r="U38" s="217">
        <v>1</v>
      </c>
      <c r="Z38" s="146" t="s">
        <v>91</v>
      </c>
      <c r="AA38" s="147" t="s">
        <v>92</v>
      </c>
      <c r="AB38" s="147" t="s">
        <v>92</v>
      </c>
      <c r="AC38" s="148" t="s">
        <v>47</v>
      </c>
    </row>
    <row r="39" spans="2:29">
      <c r="B39" s="47" t="s">
        <v>1447</v>
      </c>
      <c r="C39" s="61" t="s">
        <v>1798</v>
      </c>
      <c r="D39" s="85" t="s">
        <v>301</v>
      </c>
      <c r="E39" s="85" t="s">
        <v>301</v>
      </c>
      <c r="F39" s="85" t="s">
        <v>301</v>
      </c>
      <c r="G39" s="85">
        <v>1044.0999999999999</v>
      </c>
      <c r="H39" s="85" t="s">
        <v>301</v>
      </c>
      <c r="I39" s="85" t="s">
        <v>301</v>
      </c>
      <c r="U39" s="218">
        <f t="shared" ref="U39:U48" si="6">IF(COUNT(D39:I39)&lt;&gt;0,1,"")</f>
        <v>1</v>
      </c>
      <c r="Z39" s="146" t="s">
        <v>93</v>
      </c>
      <c r="AA39" s="147" t="s">
        <v>94</v>
      </c>
      <c r="AB39" s="147" t="s">
        <v>95</v>
      </c>
      <c r="AC39" s="148" t="s">
        <v>54</v>
      </c>
    </row>
    <row r="40" spans="2:29">
      <c r="B40" s="47" t="s">
        <v>1448</v>
      </c>
      <c r="C40" s="61" t="s">
        <v>1799</v>
      </c>
      <c r="D40" s="85" t="s">
        <v>301</v>
      </c>
      <c r="E40" s="85" t="s">
        <v>301</v>
      </c>
      <c r="F40" s="85" t="s">
        <v>301</v>
      </c>
      <c r="G40" s="85">
        <v>79.2</v>
      </c>
      <c r="H40" s="85" t="s">
        <v>301</v>
      </c>
      <c r="I40" s="85" t="s">
        <v>301</v>
      </c>
      <c r="U40" s="218">
        <f t="shared" si="6"/>
        <v>1</v>
      </c>
      <c r="Z40" s="146" t="s">
        <v>96</v>
      </c>
      <c r="AA40" s="147" t="s">
        <v>97</v>
      </c>
      <c r="AB40" s="147" t="s">
        <v>98</v>
      </c>
      <c r="AC40" s="148" t="s">
        <v>47</v>
      </c>
    </row>
    <row r="41" spans="2:29">
      <c r="B41" s="47" t="s">
        <v>1449</v>
      </c>
      <c r="C41" s="61" t="s">
        <v>1800</v>
      </c>
      <c r="D41" s="85" t="s">
        <v>301</v>
      </c>
      <c r="E41" s="85" t="s">
        <v>301</v>
      </c>
      <c r="F41" s="85" t="s">
        <v>301</v>
      </c>
      <c r="G41" s="85">
        <v>1.2</v>
      </c>
      <c r="H41" s="85" t="s">
        <v>301</v>
      </c>
      <c r="I41" s="85" t="s">
        <v>301</v>
      </c>
      <c r="U41" s="218">
        <f t="shared" si="6"/>
        <v>1</v>
      </c>
      <c r="Z41" s="146" t="s">
        <v>99</v>
      </c>
      <c r="AA41" s="147" t="s">
        <v>100</v>
      </c>
      <c r="AB41" s="147" t="s">
        <v>101</v>
      </c>
      <c r="AC41" s="148" t="s">
        <v>54</v>
      </c>
    </row>
    <row r="42" spans="2:29">
      <c r="B42" s="47" t="s">
        <v>1450</v>
      </c>
      <c r="C42" s="61" t="s">
        <v>1801</v>
      </c>
      <c r="D42" s="85" t="s">
        <v>301</v>
      </c>
      <c r="E42" s="85" t="s">
        <v>301</v>
      </c>
      <c r="F42" s="85" t="s">
        <v>301</v>
      </c>
      <c r="G42" s="85" t="s">
        <v>301</v>
      </c>
      <c r="H42" s="85" t="s">
        <v>301</v>
      </c>
      <c r="I42" s="85" t="s">
        <v>301</v>
      </c>
      <c r="U42" s="218" t="str">
        <f t="shared" si="6"/>
        <v/>
      </c>
      <c r="Z42" s="146" t="s">
        <v>102</v>
      </c>
      <c r="AA42" s="147" t="s">
        <v>103</v>
      </c>
      <c r="AB42" s="147" t="s">
        <v>104</v>
      </c>
      <c r="AC42" s="148" t="s">
        <v>47</v>
      </c>
    </row>
    <row r="43" spans="2:29">
      <c r="B43" s="47" t="s">
        <v>1451</v>
      </c>
      <c r="C43" s="61" t="s">
        <v>1802</v>
      </c>
      <c r="D43" s="85" t="s">
        <v>301</v>
      </c>
      <c r="E43" s="85" t="s">
        <v>301</v>
      </c>
      <c r="F43" s="85" t="s">
        <v>301</v>
      </c>
      <c r="G43" s="85">
        <v>-83.100000000000009</v>
      </c>
      <c r="H43" s="85" t="s">
        <v>301</v>
      </c>
      <c r="I43" s="85" t="s">
        <v>301</v>
      </c>
      <c r="U43" s="218">
        <f t="shared" si="6"/>
        <v>1</v>
      </c>
      <c r="Z43" s="146" t="s">
        <v>105</v>
      </c>
      <c r="AA43" s="147" t="s">
        <v>106</v>
      </c>
      <c r="AB43" s="147" t="s">
        <v>107</v>
      </c>
      <c r="AC43" s="148" t="s">
        <v>54</v>
      </c>
    </row>
    <row r="44" spans="2:29">
      <c r="B44" s="47" t="s">
        <v>1452</v>
      </c>
      <c r="C44" s="61" t="s">
        <v>1803</v>
      </c>
      <c r="D44" s="85" t="s">
        <v>301</v>
      </c>
      <c r="E44" s="85" t="s">
        <v>301</v>
      </c>
      <c r="F44" s="85" t="s">
        <v>301</v>
      </c>
      <c r="G44" s="85">
        <v>0.3</v>
      </c>
      <c r="H44" s="85" t="s">
        <v>301</v>
      </c>
      <c r="I44" s="85" t="s">
        <v>301</v>
      </c>
      <c r="U44" s="218">
        <f t="shared" si="6"/>
        <v>1</v>
      </c>
      <c r="Z44" s="146" t="s">
        <v>108</v>
      </c>
      <c r="AA44" s="147" t="s">
        <v>109</v>
      </c>
      <c r="AB44" s="147" t="s">
        <v>110</v>
      </c>
      <c r="AC44" s="148" t="s">
        <v>47</v>
      </c>
    </row>
    <row r="45" spans="2:29">
      <c r="B45" s="47" t="s">
        <v>1453</v>
      </c>
      <c r="C45" s="61" t="s">
        <v>1804</v>
      </c>
      <c r="D45" s="85" t="s">
        <v>301</v>
      </c>
      <c r="E45" s="85" t="s">
        <v>301</v>
      </c>
      <c r="F45" s="85" t="s">
        <v>301</v>
      </c>
      <c r="G45" s="85" t="s">
        <v>301</v>
      </c>
      <c r="H45" s="85" t="s">
        <v>301</v>
      </c>
      <c r="I45" s="85" t="s">
        <v>301</v>
      </c>
      <c r="U45" s="218" t="str">
        <f t="shared" si="6"/>
        <v/>
      </c>
      <c r="Z45" s="146" t="s">
        <v>111</v>
      </c>
      <c r="AA45" s="147" t="s">
        <v>112</v>
      </c>
      <c r="AB45" s="147" t="s">
        <v>113</v>
      </c>
      <c r="AC45" s="148" t="s">
        <v>47</v>
      </c>
    </row>
    <row r="46" spans="2:29">
      <c r="B46" s="47" t="s">
        <v>1454</v>
      </c>
      <c r="C46" s="61" t="s">
        <v>1805</v>
      </c>
      <c r="D46" s="85" t="s">
        <v>301</v>
      </c>
      <c r="E46" s="85" t="s">
        <v>301</v>
      </c>
      <c r="F46" s="85" t="s">
        <v>301</v>
      </c>
      <c r="G46" s="85">
        <v>-0.4</v>
      </c>
      <c r="H46" s="85" t="s">
        <v>301</v>
      </c>
      <c r="I46" s="85" t="s">
        <v>301</v>
      </c>
      <c r="U46" s="218">
        <f t="shared" si="6"/>
        <v>1</v>
      </c>
      <c r="Z46" s="146" t="s">
        <v>114</v>
      </c>
      <c r="AA46" s="147" t="s">
        <v>115</v>
      </c>
      <c r="AB46" s="147" t="s">
        <v>116</v>
      </c>
      <c r="AC46" s="148" t="s">
        <v>47</v>
      </c>
    </row>
    <row r="47" spans="2:29">
      <c r="B47" s="47" t="s">
        <v>1455</v>
      </c>
      <c r="C47" s="61" t="s">
        <v>1806</v>
      </c>
      <c r="D47" s="85" t="s">
        <v>301</v>
      </c>
      <c r="E47" s="85" t="s">
        <v>301</v>
      </c>
      <c r="F47" s="85" t="s">
        <v>301</v>
      </c>
      <c r="G47" s="85" t="s">
        <v>301</v>
      </c>
      <c r="H47" s="85" t="s">
        <v>301</v>
      </c>
      <c r="I47" s="85" t="s">
        <v>301</v>
      </c>
      <c r="U47" s="218" t="str">
        <f t="shared" si="6"/>
        <v/>
      </c>
      <c r="Z47" s="146" t="s">
        <v>117</v>
      </c>
      <c r="AA47" s="147" t="s">
        <v>118</v>
      </c>
      <c r="AB47" s="147" t="s">
        <v>119</v>
      </c>
      <c r="AC47" s="148" t="s">
        <v>47</v>
      </c>
    </row>
    <row r="48" spans="2:29">
      <c r="B48" s="47" t="s">
        <v>1456</v>
      </c>
      <c r="C48" s="61" t="s">
        <v>1807</v>
      </c>
      <c r="D48" s="85" t="s">
        <v>301</v>
      </c>
      <c r="E48" s="85" t="s">
        <v>301</v>
      </c>
      <c r="F48" s="85" t="s">
        <v>301</v>
      </c>
      <c r="G48" s="85">
        <v>1041.3</v>
      </c>
      <c r="H48" s="85" t="s">
        <v>301</v>
      </c>
      <c r="I48" s="85" t="s">
        <v>301</v>
      </c>
      <c r="U48" s="218">
        <f t="shared" si="6"/>
        <v>1</v>
      </c>
      <c r="Z48" s="146" t="s">
        <v>120</v>
      </c>
      <c r="AA48" s="147" t="s">
        <v>121</v>
      </c>
      <c r="AB48" s="147" t="s">
        <v>122</v>
      </c>
      <c r="AC48" s="148" t="s">
        <v>47</v>
      </c>
    </row>
    <row r="49" spans="2:29">
      <c r="B49" s="62" t="s">
        <v>1457</v>
      </c>
      <c r="C49" s="61" t="s">
        <v>272</v>
      </c>
      <c r="D49" s="85"/>
      <c r="E49" s="85"/>
      <c r="F49" s="85"/>
      <c r="G49" s="85"/>
      <c r="H49" s="85"/>
      <c r="I49" s="85"/>
      <c r="U49" s="217">
        <v>1</v>
      </c>
      <c r="Z49" s="146" t="s">
        <v>123</v>
      </c>
      <c r="AA49" s="147" t="s">
        <v>124</v>
      </c>
      <c r="AB49" s="147" t="s">
        <v>125</v>
      </c>
      <c r="AC49" s="148" t="s">
        <v>47</v>
      </c>
    </row>
    <row r="50" spans="2:29">
      <c r="B50" s="47" t="s">
        <v>1458</v>
      </c>
      <c r="C50" s="61" t="s">
        <v>1808</v>
      </c>
      <c r="D50" s="45" t="s">
        <v>301</v>
      </c>
      <c r="E50" s="45" t="s">
        <v>301</v>
      </c>
      <c r="F50" s="45" t="s">
        <v>301</v>
      </c>
      <c r="G50" s="45" t="s">
        <v>301</v>
      </c>
      <c r="H50" s="45" t="s">
        <v>301</v>
      </c>
      <c r="I50" s="45" t="s">
        <v>301</v>
      </c>
      <c r="U50" s="218" t="str">
        <f t="shared" ref="U50:U55" si="7">IF(COUNT(D50:I50)&lt;&gt;0,1,"")</f>
        <v/>
      </c>
      <c r="Z50" s="146" t="s">
        <v>126</v>
      </c>
      <c r="AA50" s="147" t="s">
        <v>127</v>
      </c>
      <c r="AB50" s="147" t="s">
        <v>128</v>
      </c>
      <c r="AC50" s="148" t="s">
        <v>47</v>
      </c>
    </row>
    <row r="51" spans="2:29">
      <c r="B51" s="47" t="s">
        <v>1459</v>
      </c>
      <c r="C51" s="61" t="s">
        <v>1809</v>
      </c>
      <c r="D51" s="45" t="s">
        <v>301</v>
      </c>
      <c r="E51" s="45" t="s">
        <v>301</v>
      </c>
      <c r="F51" s="45" t="s">
        <v>301</v>
      </c>
      <c r="G51" s="45" t="s">
        <v>301</v>
      </c>
      <c r="H51" s="45" t="s">
        <v>301</v>
      </c>
      <c r="I51" s="45" t="s">
        <v>301</v>
      </c>
      <c r="U51" s="218" t="str">
        <f t="shared" si="7"/>
        <v/>
      </c>
      <c r="Z51" s="146" t="s">
        <v>129</v>
      </c>
      <c r="AA51" s="147" t="s">
        <v>130</v>
      </c>
      <c r="AB51" s="147" t="s">
        <v>131</v>
      </c>
      <c r="AC51" s="148" t="s">
        <v>47</v>
      </c>
    </row>
    <row r="52" spans="2:29">
      <c r="B52" s="47" t="s">
        <v>1460</v>
      </c>
      <c r="C52" s="61" t="s">
        <v>1810</v>
      </c>
      <c r="D52" s="45" t="s">
        <v>301</v>
      </c>
      <c r="E52" s="45" t="s">
        <v>301</v>
      </c>
      <c r="F52" s="45" t="s">
        <v>301</v>
      </c>
      <c r="G52" s="45" t="s">
        <v>301</v>
      </c>
      <c r="H52" s="45" t="s">
        <v>301</v>
      </c>
      <c r="I52" s="45" t="s">
        <v>301</v>
      </c>
      <c r="U52" s="218" t="str">
        <f t="shared" si="7"/>
        <v/>
      </c>
      <c r="Z52" s="146" t="s">
        <v>132</v>
      </c>
      <c r="AA52" s="147" t="s">
        <v>133</v>
      </c>
      <c r="AB52" s="147" t="s">
        <v>134</v>
      </c>
      <c r="AC52" s="148" t="s">
        <v>47</v>
      </c>
    </row>
    <row r="53" spans="2:29">
      <c r="B53" s="47" t="s">
        <v>1461</v>
      </c>
      <c r="C53" s="61" t="s">
        <v>1811</v>
      </c>
      <c r="D53" s="45" t="s">
        <v>301</v>
      </c>
      <c r="E53" s="45" t="s">
        <v>301</v>
      </c>
      <c r="F53" s="45" t="s">
        <v>301</v>
      </c>
      <c r="G53" s="45" t="s">
        <v>301</v>
      </c>
      <c r="H53" s="45" t="s">
        <v>301</v>
      </c>
      <c r="I53" s="45" t="s">
        <v>301</v>
      </c>
      <c r="U53" s="218" t="str">
        <f t="shared" si="7"/>
        <v/>
      </c>
      <c r="Z53" s="146" t="s">
        <v>135</v>
      </c>
      <c r="AA53" s="147" t="s">
        <v>136</v>
      </c>
      <c r="AB53" s="147" t="s">
        <v>137</v>
      </c>
      <c r="AC53" s="148" t="s">
        <v>47</v>
      </c>
    </row>
    <row r="54" spans="2:29">
      <c r="B54" s="47" t="s">
        <v>1462</v>
      </c>
      <c r="C54" s="61" t="s">
        <v>1812</v>
      </c>
      <c r="D54" s="45" t="s">
        <v>301</v>
      </c>
      <c r="E54" s="45" t="s">
        <v>301</v>
      </c>
      <c r="F54" s="45" t="s">
        <v>301</v>
      </c>
      <c r="G54" s="45" t="s">
        <v>301</v>
      </c>
      <c r="H54" s="45" t="s">
        <v>301</v>
      </c>
      <c r="I54" s="45" t="s">
        <v>301</v>
      </c>
      <c r="U54" s="218" t="str">
        <f t="shared" si="7"/>
        <v/>
      </c>
      <c r="Z54" s="146" t="s">
        <v>138</v>
      </c>
      <c r="AA54" s="147" t="s">
        <v>139</v>
      </c>
      <c r="AB54" s="147" t="s">
        <v>140</v>
      </c>
      <c r="AC54" s="148" t="s">
        <v>54</v>
      </c>
    </row>
    <row r="55" spans="2:29">
      <c r="B55" s="47" t="s">
        <v>1463</v>
      </c>
      <c r="C55" s="61" t="s">
        <v>1813</v>
      </c>
      <c r="D55" s="45" t="s">
        <v>301</v>
      </c>
      <c r="E55" s="45" t="s">
        <v>301</v>
      </c>
      <c r="F55" s="45" t="s">
        <v>301</v>
      </c>
      <c r="G55" s="45" t="s">
        <v>301</v>
      </c>
      <c r="H55" s="45" t="s">
        <v>301</v>
      </c>
      <c r="I55" s="45" t="s">
        <v>301</v>
      </c>
      <c r="U55" s="218" t="str">
        <f t="shared" si="7"/>
        <v/>
      </c>
      <c r="Z55" s="146" t="s">
        <v>141</v>
      </c>
      <c r="AA55" s="147" t="s">
        <v>142</v>
      </c>
      <c r="AB55" s="147" t="s">
        <v>143</v>
      </c>
      <c r="AC55" s="148" t="s">
        <v>54</v>
      </c>
    </row>
    <row r="56" spans="2:29">
      <c r="B56" s="62" t="s">
        <v>1464</v>
      </c>
      <c r="C56" s="61" t="s">
        <v>272</v>
      </c>
      <c r="D56" s="85"/>
      <c r="E56" s="85"/>
      <c r="F56" s="85"/>
      <c r="G56" s="85"/>
      <c r="H56" s="85"/>
      <c r="I56" s="85"/>
      <c r="U56" s="217">
        <v>1</v>
      </c>
      <c r="Z56" s="146" t="s">
        <v>144</v>
      </c>
      <c r="AA56" s="147" t="s">
        <v>145</v>
      </c>
      <c r="AB56" s="147" t="s">
        <v>146</v>
      </c>
      <c r="AC56" s="148" t="s">
        <v>47</v>
      </c>
    </row>
    <row r="57" spans="2:29">
      <c r="B57" s="47" t="s">
        <v>1465</v>
      </c>
      <c r="C57" s="61" t="s">
        <v>1814</v>
      </c>
      <c r="D57" s="45" t="s">
        <v>301</v>
      </c>
      <c r="E57" s="45" t="s">
        <v>301</v>
      </c>
      <c r="F57" s="45" t="s">
        <v>301</v>
      </c>
      <c r="G57" s="45" t="s">
        <v>301</v>
      </c>
      <c r="H57" s="45" t="s">
        <v>301</v>
      </c>
      <c r="I57" s="45" t="s">
        <v>301</v>
      </c>
      <c r="U57" s="218" t="str">
        <f t="shared" ref="U57:U60" si="8">IF(COUNT(D57:I57)&lt;&gt;0,1,"")</f>
        <v/>
      </c>
      <c r="Z57" s="146" t="s">
        <v>147</v>
      </c>
      <c r="AA57" s="147" t="s">
        <v>148</v>
      </c>
      <c r="AB57" s="147" t="s">
        <v>149</v>
      </c>
      <c r="AC57" s="148" t="s">
        <v>54</v>
      </c>
    </row>
    <row r="58" spans="2:29">
      <c r="B58" s="47" t="s">
        <v>1466</v>
      </c>
      <c r="C58" s="61" t="s">
        <v>1815</v>
      </c>
      <c r="D58" s="45" t="s">
        <v>301</v>
      </c>
      <c r="E58" s="45" t="s">
        <v>301</v>
      </c>
      <c r="F58" s="45" t="s">
        <v>301</v>
      </c>
      <c r="G58" s="45">
        <v>100</v>
      </c>
      <c r="H58" s="45" t="s">
        <v>301</v>
      </c>
      <c r="I58" s="45" t="s">
        <v>301</v>
      </c>
      <c r="U58" s="218">
        <f t="shared" si="8"/>
        <v>1</v>
      </c>
      <c r="Z58" s="146" t="s">
        <v>150</v>
      </c>
      <c r="AA58" s="147" t="s">
        <v>151</v>
      </c>
      <c r="AB58" s="147" t="s">
        <v>152</v>
      </c>
      <c r="AC58" s="148" t="s">
        <v>47</v>
      </c>
    </row>
    <row r="59" spans="2:29">
      <c r="B59" s="47" t="s">
        <v>1467</v>
      </c>
      <c r="C59" s="61" t="s">
        <v>1816</v>
      </c>
      <c r="D59" s="45" t="s">
        <v>301</v>
      </c>
      <c r="E59" s="45" t="s">
        <v>301</v>
      </c>
      <c r="F59" s="45" t="s">
        <v>301</v>
      </c>
      <c r="G59" s="45" t="s">
        <v>301</v>
      </c>
      <c r="H59" s="45" t="s">
        <v>301</v>
      </c>
      <c r="I59" s="45" t="s">
        <v>301</v>
      </c>
      <c r="U59" s="218" t="str">
        <f t="shared" si="8"/>
        <v/>
      </c>
      <c r="Z59" s="146" t="s">
        <v>153</v>
      </c>
      <c r="AA59" s="147" t="s">
        <v>154</v>
      </c>
      <c r="AB59" s="147" t="s">
        <v>154</v>
      </c>
      <c r="AC59" s="148" t="s">
        <v>47</v>
      </c>
    </row>
    <row r="60" spans="2:29">
      <c r="B60" s="47" t="s">
        <v>1468</v>
      </c>
      <c r="C60" s="61" t="s">
        <v>1817</v>
      </c>
      <c r="D60" s="45" t="s">
        <v>301</v>
      </c>
      <c r="E60" s="45" t="s">
        <v>301</v>
      </c>
      <c r="F60" s="45" t="s">
        <v>301</v>
      </c>
      <c r="G60" s="45" t="s">
        <v>301</v>
      </c>
      <c r="H60" s="45" t="s">
        <v>301</v>
      </c>
      <c r="I60" s="45" t="s">
        <v>301</v>
      </c>
      <c r="U60" s="218" t="str">
        <f t="shared" si="8"/>
        <v/>
      </c>
      <c r="Z60" s="146" t="s">
        <v>155</v>
      </c>
      <c r="AA60" s="147" t="s">
        <v>156</v>
      </c>
      <c r="AB60" s="147" t="s">
        <v>157</v>
      </c>
      <c r="AC60" s="148" t="s">
        <v>47</v>
      </c>
    </row>
    <row r="61" spans="2:29">
      <c r="B61" s="62" t="s">
        <v>1464</v>
      </c>
      <c r="C61" s="61" t="s">
        <v>272</v>
      </c>
      <c r="D61" s="85"/>
      <c r="E61" s="85"/>
      <c r="F61" s="85"/>
      <c r="G61" s="85"/>
      <c r="H61" s="85"/>
      <c r="I61" s="85"/>
      <c r="U61" s="217">
        <v>1</v>
      </c>
      <c r="Z61" s="146" t="s">
        <v>158</v>
      </c>
      <c r="AA61" s="147" t="s">
        <v>159</v>
      </c>
      <c r="AB61" s="147" t="s">
        <v>160</v>
      </c>
      <c r="AC61" s="148" t="s">
        <v>47</v>
      </c>
    </row>
    <row r="62" spans="2:29">
      <c r="B62" s="47" t="s">
        <v>1469</v>
      </c>
      <c r="C62" s="61" t="s">
        <v>1818</v>
      </c>
      <c r="D62" s="85" t="s">
        <v>301</v>
      </c>
      <c r="E62" s="85" t="s">
        <v>301</v>
      </c>
      <c r="F62" s="85" t="s">
        <v>301</v>
      </c>
      <c r="G62" s="85" t="s">
        <v>301</v>
      </c>
      <c r="H62" s="85" t="s">
        <v>301</v>
      </c>
      <c r="I62" s="85" t="s">
        <v>301</v>
      </c>
      <c r="U62" s="218" t="str">
        <f t="shared" ref="U62:U65" si="9">IF(COUNT(D62:I62)&lt;&gt;0,1,"")</f>
        <v/>
      </c>
      <c r="Z62" s="146" t="s">
        <v>161</v>
      </c>
      <c r="AA62" s="147" t="s">
        <v>162</v>
      </c>
      <c r="AB62" s="147" t="s">
        <v>163</v>
      </c>
      <c r="AC62" s="148" t="s">
        <v>47</v>
      </c>
    </row>
    <row r="63" spans="2:29">
      <c r="B63" s="47" t="s">
        <v>1470</v>
      </c>
      <c r="C63" s="61" t="s">
        <v>1819</v>
      </c>
      <c r="D63" s="85" t="s">
        <v>301</v>
      </c>
      <c r="E63" s="85" t="s">
        <v>301</v>
      </c>
      <c r="F63" s="85" t="s">
        <v>301</v>
      </c>
      <c r="G63" s="85">
        <v>1041.3</v>
      </c>
      <c r="H63" s="85" t="s">
        <v>301</v>
      </c>
      <c r="I63" s="85" t="s">
        <v>301</v>
      </c>
      <c r="U63" s="218">
        <f t="shared" si="9"/>
        <v>1</v>
      </c>
      <c r="Z63" s="146" t="s">
        <v>164</v>
      </c>
      <c r="AA63" s="147" t="s">
        <v>165</v>
      </c>
      <c r="AB63" s="147" t="s">
        <v>165</v>
      </c>
      <c r="AC63" s="148" t="s">
        <v>47</v>
      </c>
    </row>
    <row r="64" spans="2:29">
      <c r="B64" s="47" t="s">
        <v>1471</v>
      </c>
      <c r="C64" s="61" t="s">
        <v>1820</v>
      </c>
      <c r="D64" s="85" t="s">
        <v>301</v>
      </c>
      <c r="E64" s="85" t="s">
        <v>301</v>
      </c>
      <c r="F64" s="85" t="s">
        <v>301</v>
      </c>
      <c r="G64" s="85" t="s">
        <v>301</v>
      </c>
      <c r="H64" s="85" t="s">
        <v>301</v>
      </c>
      <c r="I64" s="85" t="s">
        <v>301</v>
      </c>
      <c r="U64" s="218" t="str">
        <f t="shared" si="9"/>
        <v/>
      </c>
      <c r="Z64" s="146" t="s">
        <v>166</v>
      </c>
      <c r="AA64" s="147" t="s">
        <v>167</v>
      </c>
      <c r="AB64" s="147" t="s">
        <v>168</v>
      </c>
      <c r="AC64" s="148" t="s">
        <v>47</v>
      </c>
    </row>
    <row r="65" spans="2:29">
      <c r="B65" s="47" t="s">
        <v>1472</v>
      </c>
      <c r="C65" s="61" t="s">
        <v>1821</v>
      </c>
      <c r="D65" s="85" t="s">
        <v>301</v>
      </c>
      <c r="E65" s="85" t="s">
        <v>301</v>
      </c>
      <c r="F65" s="85" t="s">
        <v>301</v>
      </c>
      <c r="G65" s="85" t="s">
        <v>301</v>
      </c>
      <c r="H65" s="85" t="s">
        <v>301</v>
      </c>
      <c r="I65" s="85" t="s">
        <v>301</v>
      </c>
      <c r="U65" s="218" t="str">
        <f t="shared" si="9"/>
        <v/>
      </c>
      <c r="Z65" s="146" t="s">
        <v>169</v>
      </c>
      <c r="AA65" s="147" t="s">
        <v>170</v>
      </c>
      <c r="AB65" s="147" t="s">
        <v>171</v>
      </c>
      <c r="AC65" s="148" t="s">
        <v>47</v>
      </c>
    </row>
    <row r="66" spans="2:29">
      <c r="B66" s="62" t="s">
        <v>1473</v>
      </c>
      <c r="C66" s="61" t="s">
        <v>272</v>
      </c>
      <c r="D66" s="85"/>
      <c r="E66" s="85"/>
      <c r="F66" s="85"/>
      <c r="G66" s="85"/>
      <c r="H66" s="85"/>
      <c r="I66" s="85"/>
      <c r="U66" s="217">
        <v>1</v>
      </c>
      <c r="Z66" s="146" t="s">
        <v>172</v>
      </c>
      <c r="AA66" s="147" t="s">
        <v>173</v>
      </c>
      <c r="AB66" s="147" t="s">
        <v>173</v>
      </c>
      <c r="AC66" s="148" t="s">
        <v>47</v>
      </c>
    </row>
    <row r="67" spans="2:29">
      <c r="B67" s="47" t="s">
        <v>1474</v>
      </c>
      <c r="C67" s="61" t="s">
        <v>1822</v>
      </c>
      <c r="D67" s="85" t="s">
        <v>301</v>
      </c>
      <c r="E67" s="85" t="s">
        <v>301</v>
      </c>
      <c r="F67" s="85" t="s">
        <v>301</v>
      </c>
      <c r="G67" s="85">
        <v>309.90000000000003</v>
      </c>
      <c r="H67" s="85" t="s">
        <v>301</v>
      </c>
      <c r="I67" s="85" t="s">
        <v>301</v>
      </c>
      <c r="U67" s="218">
        <f t="shared" ref="U67:U71" si="10">IF(COUNT(D67:I67)&lt;&gt;0,1,"")</f>
        <v>1</v>
      </c>
      <c r="Z67" s="146" t="s">
        <v>174</v>
      </c>
      <c r="AA67" s="147" t="s">
        <v>175</v>
      </c>
      <c r="AB67" s="147" t="s">
        <v>176</v>
      </c>
      <c r="AC67" s="148" t="s">
        <v>54</v>
      </c>
    </row>
    <row r="68" spans="2:29">
      <c r="B68" s="47" t="s">
        <v>1475</v>
      </c>
      <c r="C68" s="61" t="s">
        <v>1823</v>
      </c>
      <c r="D68" s="85" t="s">
        <v>301</v>
      </c>
      <c r="E68" s="85" t="s">
        <v>301</v>
      </c>
      <c r="F68" s="85" t="s">
        <v>301</v>
      </c>
      <c r="G68" s="85">
        <v>0.1</v>
      </c>
      <c r="H68" s="85" t="s">
        <v>301</v>
      </c>
      <c r="I68" s="85" t="s">
        <v>301</v>
      </c>
      <c r="U68" s="218">
        <f t="shared" si="10"/>
        <v>1</v>
      </c>
      <c r="Z68" s="146" t="s">
        <v>177</v>
      </c>
      <c r="AA68" s="147" t="s">
        <v>178</v>
      </c>
      <c r="AB68" s="147" t="s">
        <v>179</v>
      </c>
      <c r="AC68" s="148" t="s">
        <v>47</v>
      </c>
    </row>
    <row r="69" spans="2:29">
      <c r="B69" s="47" t="s">
        <v>1476</v>
      </c>
      <c r="C69" s="61" t="s">
        <v>1824</v>
      </c>
      <c r="D69" s="85" t="s">
        <v>301</v>
      </c>
      <c r="E69" s="85" t="s">
        <v>301</v>
      </c>
      <c r="F69" s="85" t="s">
        <v>301</v>
      </c>
      <c r="G69" s="85" t="s">
        <v>301</v>
      </c>
      <c r="H69" s="85" t="s">
        <v>301</v>
      </c>
      <c r="I69" s="85" t="s">
        <v>301</v>
      </c>
      <c r="U69" s="218" t="str">
        <f t="shared" si="10"/>
        <v/>
      </c>
      <c r="Z69" s="146" t="s">
        <v>180</v>
      </c>
      <c r="AA69" s="147" t="s">
        <v>181</v>
      </c>
      <c r="AB69" s="147" t="s">
        <v>182</v>
      </c>
      <c r="AC69" s="148" t="s">
        <v>47</v>
      </c>
    </row>
    <row r="70" spans="2:29">
      <c r="B70" s="47" t="s">
        <v>1477</v>
      </c>
      <c r="C70" s="61" t="s">
        <v>1825</v>
      </c>
      <c r="D70" s="85" t="s">
        <v>301</v>
      </c>
      <c r="E70" s="85" t="s">
        <v>301</v>
      </c>
      <c r="F70" s="85" t="s">
        <v>301</v>
      </c>
      <c r="G70" s="85">
        <v>-80.100000000000009</v>
      </c>
      <c r="H70" s="85" t="s">
        <v>301</v>
      </c>
      <c r="I70" s="85" t="s">
        <v>301</v>
      </c>
      <c r="U70" s="218">
        <f t="shared" si="10"/>
        <v>1</v>
      </c>
      <c r="Z70" s="146" t="s">
        <v>183</v>
      </c>
      <c r="AA70" s="147" t="s">
        <v>184</v>
      </c>
      <c r="AB70" s="147" t="s">
        <v>185</v>
      </c>
      <c r="AC70" s="148" t="s">
        <v>47</v>
      </c>
    </row>
    <row r="71" spans="2:29">
      <c r="B71" s="47" t="s">
        <v>1478</v>
      </c>
      <c r="C71" s="61" t="s">
        <v>1826</v>
      </c>
      <c r="D71" s="85" t="s">
        <v>301</v>
      </c>
      <c r="E71" s="85" t="s">
        <v>301</v>
      </c>
      <c r="F71" s="85" t="s">
        <v>301</v>
      </c>
      <c r="G71" s="85">
        <v>229.9</v>
      </c>
      <c r="H71" s="85" t="s">
        <v>301</v>
      </c>
      <c r="I71" s="85" t="s">
        <v>301</v>
      </c>
      <c r="U71" s="218">
        <f t="shared" si="10"/>
        <v>1</v>
      </c>
      <c r="Z71" s="146" t="s">
        <v>186</v>
      </c>
      <c r="AA71" s="147" t="s">
        <v>187</v>
      </c>
      <c r="AB71" s="147" t="s">
        <v>188</v>
      </c>
      <c r="AC71" s="148" t="s">
        <v>47</v>
      </c>
    </row>
    <row r="72" spans="2:29">
      <c r="B72" s="62" t="s">
        <v>1479</v>
      </c>
      <c r="C72" s="61" t="s">
        <v>272</v>
      </c>
      <c r="D72" s="85"/>
      <c r="E72" s="85"/>
      <c r="F72" s="85"/>
      <c r="G72" s="85"/>
      <c r="H72" s="85"/>
      <c r="I72" s="85"/>
      <c r="U72" s="217">
        <v>1</v>
      </c>
      <c r="Z72" s="146" t="s">
        <v>189</v>
      </c>
      <c r="AA72" s="147" t="s">
        <v>190</v>
      </c>
      <c r="AB72" s="147" t="s">
        <v>191</v>
      </c>
      <c r="AC72" s="148" t="s">
        <v>47</v>
      </c>
    </row>
    <row r="73" spans="2:29">
      <c r="B73" s="47" t="s">
        <v>1480</v>
      </c>
      <c r="C73" s="61" t="s">
        <v>1827</v>
      </c>
      <c r="D73" s="85" t="s">
        <v>301</v>
      </c>
      <c r="E73" s="85" t="s">
        <v>301</v>
      </c>
      <c r="F73" s="85" t="s">
        <v>301</v>
      </c>
      <c r="G73" s="85" t="s">
        <v>301</v>
      </c>
      <c r="H73" s="85" t="s">
        <v>301</v>
      </c>
      <c r="I73" s="85" t="s">
        <v>301</v>
      </c>
      <c r="U73" s="218" t="str">
        <f t="shared" ref="U73:U76" si="11">IF(COUNT(D73:I73)&lt;&gt;0,1,"")</f>
        <v/>
      </c>
      <c r="Z73" s="146" t="s">
        <v>192</v>
      </c>
      <c r="AA73" s="147" t="s">
        <v>193</v>
      </c>
      <c r="AB73" s="147" t="s">
        <v>194</v>
      </c>
      <c r="AC73" s="148" t="s">
        <v>47</v>
      </c>
    </row>
    <row r="74" spans="2:29">
      <c r="B74" s="47" t="s">
        <v>1481</v>
      </c>
      <c r="C74" s="61" t="s">
        <v>1828</v>
      </c>
      <c r="D74" s="85" t="s">
        <v>301</v>
      </c>
      <c r="E74" s="85" t="s">
        <v>301</v>
      </c>
      <c r="F74" s="85" t="s">
        <v>301</v>
      </c>
      <c r="G74" s="85" t="s">
        <v>301</v>
      </c>
      <c r="H74" s="85" t="s">
        <v>301</v>
      </c>
      <c r="I74" s="85" t="s">
        <v>301</v>
      </c>
      <c r="U74" s="218" t="str">
        <f t="shared" si="11"/>
        <v/>
      </c>
      <c r="Z74" s="146" t="s">
        <v>195</v>
      </c>
      <c r="AA74" s="147" t="s">
        <v>196</v>
      </c>
      <c r="AB74" s="147" t="s">
        <v>197</v>
      </c>
      <c r="AC74" s="148" t="s">
        <v>47</v>
      </c>
    </row>
    <row r="75" spans="2:29">
      <c r="B75" s="47" t="s">
        <v>1482</v>
      </c>
      <c r="C75" s="61" t="s">
        <v>1829</v>
      </c>
      <c r="D75" s="85" t="s">
        <v>301</v>
      </c>
      <c r="E75" s="85" t="s">
        <v>301</v>
      </c>
      <c r="F75" s="85" t="s">
        <v>301</v>
      </c>
      <c r="G75" s="85" t="s">
        <v>301</v>
      </c>
      <c r="H75" s="85" t="s">
        <v>301</v>
      </c>
      <c r="I75" s="85" t="s">
        <v>301</v>
      </c>
      <c r="U75" s="218" t="str">
        <f t="shared" si="11"/>
        <v/>
      </c>
      <c r="Z75" s="146" t="s">
        <v>198</v>
      </c>
      <c r="AA75" s="147" t="s">
        <v>199</v>
      </c>
      <c r="AB75" s="147" t="s">
        <v>200</v>
      </c>
      <c r="AC75" s="148" t="s">
        <v>47</v>
      </c>
    </row>
    <row r="76" spans="2:29">
      <c r="B76" s="47" t="s">
        <v>1483</v>
      </c>
      <c r="C76" s="61" t="s">
        <v>1830</v>
      </c>
      <c r="D76" s="85" t="s">
        <v>301</v>
      </c>
      <c r="E76" s="85" t="s">
        <v>301</v>
      </c>
      <c r="F76" s="85" t="s">
        <v>301</v>
      </c>
      <c r="G76" s="85" t="s">
        <v>301</v>
      </c>
      <c r="H76" s="85" t="s">
        <v>301</v>
      </c>
      <c r="I76" s="85" t="s">
        <v>301</v>
      </c>
      <c r="U76" s="218" t="str">
        <f t="shared" si="11"/>
        <v/>
      </c>
      <c r="Z76" s="146" t="s">
        <v>201</v>
      </c>
      <c r="AA76" s="147" t="s">
        <v>202</v>
      </c>
      <c r="AB76" s="147" t="s">
        <v>203</v>
      </c>
      <c r="AC76" s="148" t="s">
        <v>47</v>
      </c>
    </row>
    <row r="77" spans="2:29">
      <c r="B77" s="62" t="s">
        <v>1484</v>
      </c>
      <c r="C77" s="61" t="s">
        <v>272</v>
      </c>
      <c r="D77" s="85"/>
      <c r="E77" s="85"/>
      <c r="F77" s="85"/>
      <c r="G77" s="85"/>
      <c r="H77" s="85"/>
      <c r="I77" s="85"/>
      <c r="U77" s="217">
        <v>1</v>
      </c>
      <c r="Z77" s="146" t="s">
        <v>204</v>
      </c>
      <c r="AA77" s="147" t="s">
        <v>205</v>
      </c>
      <c r="AB77" s="147" t="s">
        <v>205</v>
      </c>
      <c r="AC77" s="148" t="s">
        <v>47</v>
      </c>
    </row>
    <row r="78" spans="2:29">
      <c r="B78" s="47" t="s">
        <v>1485</v>
      </c>
      <c r="C78" s="61" t="s">
        <v>1831</v>
      </c>
      <c r="D78" s="45" t="s">
        <v>301</v>
      </c>
      <c r="E78" s="45" t="s">
        <v>301</v>
      </c>
      <c r="F78" s="45" t="s">
        <v>301</v>
      </c>
      <c r="G78" s="45" t="s">
        <v>301</v>
      </c>
      <c r="H78" s="45" t="s">
        <v>301</v>
      </c>
      <c r="I78" s="45" t="s">
        <v>301</v>
      </c>
      <c r="U78" s="218" t="str">
        <f t="shared" ref="U78:U81" si="12">IF(COUNT(D78:I78)&lt;&gt;0,1,"")</f>
        <v/>
      </c>
      <c r="Z78" s="146" t="s">
        <v>206</v>
      </c>
      <c r="AA78" s="147" t="s">
        <v>207</v>
      </c>
      <c r="AB78" s="147" t="s">
        <v>208</v>
      </c>
      <c r="AC78" s="148" t="s">
        <v>47</v>
      </c>
    </row>
    <row r="79" spans="2:29">
      <c r="B79" s="47" t="s">
        <v>1486</v>
      </c>
      <c r="C79" s="61" t="s">
        <v>1832</v>
      </c>
      <c r="D79" s="45" t="s">
        <v>301</v>
      </c>
      <c r="E79" s="45" t="s">
        <v>301</v>
      </c>
      <c r="F79" s="45" t="s">
        <v>301</v>
      </c>
      <c r="G79" s="45" t="s">
        <v>301</v>
      </c>
      <c r="H79" s="45" t="s">
        <v>301</v>
      </c>
      <c r="I79" s="45" t="s">
        <v>301</v>
      </c>
      <c r="U79" s="218" t="str">
        <f t="shared" si="12"/>
        <v/>
      </c>
      <c r="Z79" s="146" t="s">
        <v>209</v>
      </c>
      <c r="AA79" s="147" t="s">
        <v>210</v>
      </c>
      <c r="AB79" s="147" t="s">
        <v>211</v>
      </c>
      <c r="AC79" s="148" t="s">
        <v>47</v>
      </c>
    </row>
    <row r="80" spans="2:29">
      <c r="B80" s="47" t="s">
        <v>1487</v>
      </c>
      <c r="C80" s="61" t="s">
        <v>1833</v>
      </c>
      <c r="D80" s="45" t="s">
        <v>301</v>
      </c>
      <c r="E80" s="45" t="s">
        <v>301</v>
      </c>
      <c r="F80" s="45" t="s">
        <v>301</v>
      </c>
      <c r="G80" s="45" t="s">
        <v>301</v>
      </c>
      <c r="H80" s="45" t="s">
        <v>301</v>
      </c>
      <c r="I80" s="45" t="s">
        <v>301</v>
      </c>
      <c r="U80" s="218" t="str">
        <f t="shared" si="12"/>
        <v/>
      </c>
      <c r="Z80" s="146" t="s">
        <v>212</v>
      </c>
      <c r="AA80" s="147" t="s">
        <v>213</v>
      </c>
      <c r="AB80" s="147" t="s">
        <v>214</v>
      </c>
      <c r="AC80" s="148" t="s">
        <v>47</v>
      </c>
    </row>
    <row r="81" spans="2:29">
      <c r="B81" s="47" t="s">
        <v>1488</v>
      </c>
      <c r="C81" s="61" t="s">
        <v>1834</v>
      </c>
      <c r="D81" s="45" t="s">
        <v>301</v>
      </c>
      <c r="E81" s="45" t="s">
        <v>301</v>
      </c>
      <c r="F81" s="45" t="s">
        <v>301</v>
      </c>
      <c r="G81" s="45" t="s">
        <v>301</v>
      </c>
      <c r="H81" s="45" t="s">
        <v>301</v>
      </c>
      <c r="I81" s="45" t="s">
        <v>301</v>
      </c>
      <c r="U81" s="218" t="str">
        <f t="shared" si="12"/>
        <v/>
      </c>
      <c r="Z81" s="146" t="s">
        <v>215</v>
      </c>
      <c r="AA81" s="147" t="s">
        <v>216</v>
      </c>
      <c r="AB81" s="147" t="s">
        <v>216</v>
      </c>
      <c r="AC81" s="148" t="s">
        <v>47</v>
      </c>
    </row>
    <row r="82" spans="2:29">
      <c r="B82" s="62" t="s">
        <v>1489</v>
      </c>
      <c r="C82" s="61" t="s">
        <v>272</v>
      </c>
      <c r="D82" s="85"/>
      <c r="E82" s="85"/>
      <c r="F82" s="85"/>
      <c r="G82" s="85"/>
      <c r="H82" s="85"/>
      <c r="I82" s="85"/>
      <c r="U82" s="217">
        <v>1</v>
      </c>
      <c r="Z82" s="146" t="s">
        <v>217</v>
      </c>
      <c r="AA82" s="147" t="s">
        <v>218</v>
      </c>
      <c r="AB82" s="147" t="s">
        <v>219</v>
      </c>
      <c r="AC82" s="148" t="s">
        <v>47</v>
      </c>
    </row>
    <row r="83" spans="2:29">
      <c r="B83" s="47" t="s">
        <v>1490</v>
      </c>
      <c r="C83" s="61" t="s">
        <v>1835</v>
      </c>
      <c r="D83" s="85" t="s">
        <v>301</v>
      </c>
      <c r="E83" s="85" t="s">
        <v>301</v>
      </c>
      <c r="F83" s="85" t="s">
        <v>301</v>
      </c>
      <c r="G83" s="85">
        <v>88.5</v>
      </c>
      <c r="H83" s="85" t="s">
        <v>301</v>
      </c>
      <c r="I83" s="85" t="s">
        <v>301</v>
      </c>
      <c r="U83" s="218">
        <f t="shared" ref="U83:U88" si="13">IF(COUNT(D83:I83)&lt;&gt;0,1,"")</f>
        <v>1</v>
      </c>
      <c r="Z83" s="146" t="s">
        <v>220</v>
      </c>
      <c r="AA83" s="147" t="s">
        <v>221</v>
      </c>
      <c r="AB83" s="147" t="s">
        <v>222</v>
      </c>
      <c r="AC83" s="148" t="s">
        <v>47</v>
      </c>
    </row>
    <row r="84" spans="2:29">
      <c r="B84" s="47" t="s">
        <v>1491</v>
      </c>
      <c r="C84" s="61" t="s">
        <v>1836</v>
      </c>
      <c r="D84" s="85" t="s">
        <v>301</v>
      </c>
      <c r="E84" s="85" t="s">
        <v>301</v>
      </c>
      <c r="F84" s="85" t="s">
        <v>301</v>
      </c>
      <c r="G84" s="85">
        <v>85.5</v>
      </c>
      <c r="H84" s="85" t="s">
        <v>301</v>
      </c>
      <c r="I84" s="85" t="s">
        <v>301</v>
      </c>
      <c r="U84" s="218">
        <f t="shared" si="13"/>
        <v>1</v>
      </c>
      <c r="Z84" s="146" t="s">
        <v>223</v>
      </c>
      <c r="AA84" s="147" t="s">
        <v>224</v>
      </c>
      <c r="AB84" s="147" t="s">
        <v>224</v>
      </c>
      <c r="AC84" s="148" t="s">
        <v>47</v>
      </c>
    </row>
    <row r="85" spans="2:29">
      <c r="B85" s="47" t="s">
        <v>1492</v>
      </c>
      <c r="C85" s="61" t="s">
        <v>1837</v>
      </c>
      <c r="D85" s="85" t="s">
        <v>301</v>
      </c>
      <c r="E85" s="85" t="s">
        <v>301</v>
      </c>
      <c r="F85" s="85" t="s">
        <v>301</v>
      </c>
      <c r="G85" s="85">
        <v>85.3</v>
      </c>
      <c r="H85" s="85" t="s">
        <v>301</v>
      </c>
      <c r="I85" s="85" t="s">
        <v>301</v>
      </c>
      <c r="U85" s="218">
        <f t="shared" si="13"/>
        <v>1</v>
      </c>
      <c r="Z85" s="146" t="s">
        <v>225</v>
      </c>
      <c r="AA85" s="147" t="s">
        <v>226</v>
      </c>
      <c r="AB85" s="147" t="s">
        <v>227</v>
      </c>
      <c r="AC85" s="148" t="s">
        <v>47</v>
      </c>
    </row>
    <row r="86" spans="2:29">
      <c r="B86" s="47" t="s">
        <v>1493</v>
      </c>
      <c r="C86" s="61" t="s">
        <v>1838</v>
      </c>
      <c r="D86" s="85" t="s">
        <v>301</v>
      </c>
      <c r="E86" s="85" t="s">
        <v>301</v>
      </c>
      <c r="F86" s="85" t="s">
        <v>301</v>
      </c>
      <c r="G86" s="85">
        <v>83.3</v>
      </c>
      <c r="H86" s="85" t="s">
        <v>301</v>
      </c>
      <c r="I86" s="85" t="s">
        <v>301</v>
      </c>
      <c r="U86" s="218">
        <f t="shared" si="13"/>
        <v>1</v>
      </c>
      <c r="Z86" s="146" t="s">
        <v>228</v>
      </c>
      <c r="AA86" s="147" t="s">
        <v>229</v>
      </c>
      <c r="AB86" s="147" t="s">
        <v>230</v>
      </c>
      <c r="AC86" s="148" t="s">
        <v>47</v>
      </c>
    </row>
    <row r="87" spans="2:29">
      <c r="B87" s="47" t="s">
        <v>1494</v>
      </c>
      <c r="C87" s="61" t="s">
        <v>1839</v>
      </c>
      <c r="D87" s="85" t="s">
        <v>301</v>
      </c>
      <c r="E87" s="85" t="s">
        <v>301</v>
      </c>
      <c r="F87" s="85" t="s">
        <v>301</v>
      </c>
      <c r="G87" s="85">
        <v>81.900000000000006</v>
      </c>
      <c r="H87" s="85" t="s">
        <v>301</v>
      </c>
      <c r="I87" s="85" t="s">
        <v>301</v>
      </c>
      <c r="U87" s="218">
        <f t="shared" si="13"/>
        <v>1</v>
      </c>
      <c r="Z87" s="146" t="s">
        <v>231</v>
      </c>
      <c r="AA87" s="147" t="s">
        <v>232</v>
      </c>
      <c r="AB87" s="147" t="s">
        <v>233</v>
      </c>
      <c r="AC87" s="148" t="s">
        <v>54</v>
      </c>
    </row>
    <row r="88" spans="2:29">
      <c r="B88" s="47" t="s">
        <v>1495</v>
      </c>
      <c r="C88" s="61" t="s">
        <v>1840</v>
      </c>
      <c r="D88" s="85" t="s">
        <v>301</v>
      </c>
      <c r="E88" s="85" t="s">
        <v>301</v>
      </c>
      <c r="F88" s="85" t="s">
        <v>301</v>
      </c>
      <c r="G88" s="85">
        <v>382.40000000000003</v>
      </c>
      <c r="H88" s="85" t="s">
        <v>301</v>
      </c>
      <c r="I88" s="85" t="s">
        <v>301</v>
      </c>
      <c r="U88" s="218">
        <f t="shared" si="13"/>
        <v>1</v>
      </c>
      <c r="Z88" s="146" t="s">
        <v>234</v>
      </c>
      <c r="AA88" s="147" t="s">
        <v>235</v>
      </c>
      <c r="AB88" s="147" t="s">
        <v>236</v>
      </c>
      <c r="AC88" s="148" t="s">
        <v>47</v>
      </c>
    </row>
    <row r="89" spans="2:29">
      <c r="B89" s="62" t="s">
        <v>1496</v>
      </c>
      <c r="C89" s="61" t="s">
        <v>272</v>
      </c>
      <c r="D89" s="85"/>
      <c r="E89" s="85"/>
      <c r="F89" s="85"/>
      <c r="G89" s="85"/>
      <c r="H89" s="85"/>
      <c r="I89" s="85"/>
      <c r="U89" s="217">
        <v>1</v>
      </c>
      <c r="Z89" s="146" t="s">
        <v>237</v>
      </c>
      <c r="AA89" s="147" t="s">
        <v>238</v>
      </c>
      <c r="AB89" s="147" t="s">
        <v>143</v>
      </c>
      <c r="AC89" s="148" t="s">
        <v>47</v>
      </c>
    </row>
    <row r="90" spans="2:29">
      <c r="B90" s="47" t="s">
        <v>1497</v>
      </c>
      <c r="C90" s="61" t="s">
        <v>1841</v>
      </c>
      <c r="D90" s="85" t="s">
        <v>301</v>
      </c>
      <c r="E90" s="85" t="s">
        <v>301</v>
      </c>
      <c r="F90" s="85" t="s">
        <v>301</v>
      </c>
      <c r="G90" s="85" t="s">
        <v>301</v>
      </c>
      <c r="H90" s="85" t="s">
        <v>301</v>
      </c>
      <c r="I90" s="85" t="s">
        <v>301</v>
      </c>
      <c r="U90" s="218" t="str">
        <f t="shared" ref="U90:U97" si="14">IF(COUNT(D90:I90)&lt;&gt;0,1,"")</f>
        <v/>
      </c>
      <c r="Z90" s="146" t="s">
        <v>239</v>
      </c>
      <c r="AA90" s="147" t="s">
        <v>240</v>
      </c>
      <c r="AB90" s="147" t="s">
        <v>241</v>
      </c>
      <c r="AC90" s="148" t="s">
        <v>47</v>
      </c>
    </row>
    <row r="91" spans="2:29">
      <c r="B91" s="47" t="s">
        <v>1498</v>
      </c>
      <c r="C91" s="61" t="s">
        <v>1842</v>
      </c>
      <c r="D91" s="85" t="s">
        <v>301</v>
      </c>
      <c r="E91" s="85" t="s">
        <v>301</v>
      </c>
      <c r="F91" s="85" t="s">
        <v>301</v>
      </c>
      <c r="G91" s="85" t="s">
        <v>301</v>
      </c>
      <c r="H91" s="85" t="s">
        <v>301</v>
      </c>
      <c r="I91" s="85" t="s">
        <v>301</v>
      </c>
      <c r="U91" s="218" t="str">
        <f t="shared" si="14"/>
        <v/>
      </c>
      <c r="Z91" s="146" t="s">
        <v>242</v>
      </c>
      <c r="AA91" s="147" t="s">
        <v>243</v>
      </c>
      <c r="AB91" s="147" t="s">
        <v>244</v>
      </c>
      <c r="AC91" s="148" t="s">
        <v>47</v>
      </c>
    </row>
    <row r="92" spans="2:29">
      <c r="B92" s="47" t="s">
        <v>1499</v>
      </c>
      <c r="C92" s="61" t="s">
        <v>1843</v>
      </c>
      <c r="D92" s="85" t="s">
        <v>301</v>
      </c>
      <c r="E92" s="85" t="s">
        <v>301</v>
      </c>
      <c r="F92" s="85" t="s">
        <v>301</v>
      </c>
      <c r="G92" s="85" t="s">
        <v>301</v>
      </c>
      <c r="H92" s="85" t="s">
        <v>301</v>
      </c>
      <c r="I92" s="85" t="s">
        <v>301</v>
      </c>
      <c r="U92" s="218" t="str">
        <f t="shared" si="14"/>
        <v/>
      </c>
      <c r="Z92" s="146" t="s">
        <v>245</v>
      </c>
      <c r="AA92" s="147" t="s">
        <v>246</v>
      </c>
      <c r="AB92" s="147" t="s">
        <v>247</v>
      </c>
      <c r="AC92" s="148" t="s">
        <v>47</v>
      </c>
    </row>
    <row r="93" spans="2:29">
      <c r="B93" s="47" t="s">
        <v>1500</v>
      </c>
      <c r="C93" s="61" t="s">
        <v>1844</v>
      </c>
      <c r="D93" s="85" t="s">
        <v>301</v>
      </c>
      <c r="E93" s="85" t="s">
        <v>301</v>
      </c>
      <c r="F93" s="85" t="s">
        <v>301</v>
      </c>
      <c r="G93" s="85" t="s">
        <v>301</v>
      </c>
      <c r="H93" s="85" t="s">
        <v>301</v>
      </c>
      <c r="I93" s="85" t="s">
        <v>301</v>
      </c>
      <c r="U93" s="218" t="str">
        <f t="shared" si="14"/>
        <v/>
      </c>
      <c r="Z93" s="146" t="s">
        <v>248</v>
      </c>
      <c r="AA93" s="147" t="s">
        <v>249</v>
      </c>
      <c r="AB93" s="147" t="s">
        <v>250</v>
      </c>
      <c r="AC93" s="148" t="s">
        <v>47</v>
      </c>
    </row>
    <row r="94" spans="2:29">
      <c r="B94" s="47" t="s">
        <v>1501</v>
      </c>
      <c r="C94" s="61" t="s">
        <v>1845</v>
      </c>
      <c r="D94" s="85" t="s">
        <v>301</v>
      </c>
      <c r="E94" s="85" t="s">
        <v>301</v>
      </c>
      <c r="F94" s="85" t="s">
        <v>301</v>
      </c>
      <c r="G94" s="85" t="s">
        <v>301</v>
      </c>
      <c r="H94" s="85" t="s">
        <v>301</v>
      </c>
      <c r="I94" s="85" t="s">
        <v>301</v>
      </c>
      <c r="U94" s="218" t="str">
        <f t="shared" si="14"/>
        <v/>
      </c>
      <c r="Z94" s="146" t="s">
        <v>251</v>
      </c>
      <c r="AA94" s="147" t="s">
        <v>252</v>
      </c>
      <c r="AB94" s="147" t="s">
        <v>253</v>
      </c>
      <c r="AC94" s="148" t="s">
        <v>47</v>
      </c>
    </row>
    <row r="95" spans="2:29">
      <c r="B95" s="47" t="s">
        <v>1502</v>
      </c>
      <c r="C95" s="61" t="s">
        <v>1846</v>
      </c>
      <c r="D95" s="85" t="s">
        <v>301</v>
      </c>
      <c r="E95" s="85" t="s">
        <v>301</v>
      </c>
      <c r="F95" s="85" t="s">
        <v>301</v>
      </c>
      <c r="G95" s="85" t="s">
        <v>301</v>
      </c>
      <c r="H95" s="85" t="s">
        <v>301</v>
      </c>
      <c r="I95" s="85" t="s">
        <v>301</v>
      </c>
      <c r="U95" s="218" t="str">
        <f t="shared" si="14"/>
        <v/>
      </c>
      <c r="Z95" s="146" t="s">
        <v>254</v>
      </c>
      <c r="AA95" s="147" t="s">
        <v>255</v>
      </c>
      <c r="AB95" s="147" t="s">
        <v>72</v>
      </c>
      <c r="AC95" s="148" t="s">
        <v>47</v>
      </c>
    </row>
    <row r="96" spans="2:29">
      <c r="B96" s="47" t="s">
        <v>1503</v>
      </c>
      <c r="C96" s="61" t="s">
        <v>1847</v>
      </c>
      <c r="D96" s="85" t="s">
        <v>301</v>
      </c>
      <c r="E96" s="85" t="s">
        <v>301</v>
      </c>
      <c r="F96" s="85" t="s">
        <v>301</v>
      </c>
      <c r="G96" s="85" t="s">
        <v>301</v>
      </c>
      <c r="H96" s="85" t="s">
        <v>301</v>
      </c>
      <c r="I96" s="85" t="s">
        <v>301</v>
      </c>
      <c r="U96" s="218" t="str">
        <f t="shared" si="14"/>
        <v/>
      </c>
      <c r="Z96" s="146" t="s">
        <v>256</v>
      </c>
      <c r="AA96" s="147" t="s">
        <v>257</v>
      </c>
      <c r="AB96" s="147" t="s">
        <v>258</v>
      </c>
      <c r="AC96" s="148" t="s">
        <v>47</v>
      </c>
    </row>
    <row r="97" spans="2:29">
      <c r="B97" s="47" t="s">
        <v>1504</v>
      </c>
      <c r="C97" s="61" t="s">
        <v>1848</v>
      </c>
      <c r="D97" s="85" t="s">
        <v>301</v>
      </c>
      <c r="E97" s="85" t="s">
        <v>301</v>
      </c>
      <c r="F97" s="85" t="s">
        <v>301</v>
      </c>
      <c r="G97" s="85" t="s">
        <v>301</v>
      </c>
      <c r="H97" s="85" t="s">
        <v>301</v>
      </c>
      <c r="I97" s="85" t="s">
        <v>301</v>
      </c>
      <c r="U97" s="218" t="str">
        <f t="shared" si="14"/>
        <v/>
      </c>
      <c r="Z97" s="146" t="s">
        <v>259</v>
      </c>
      <c r="AA97" s="147" t="s">
        <v>260</v>
      </c>
      <c r="AB97" s="147" t="s">
        <v>260</v>
      </c>
      <c r="AC97" s="148" t="s">
        <v>47</v>
      </c>
    </row>
    <row r="98" spans="2:29">
      <c r="B98" s="62" t="s">
        <v>1505</v>
      </c>
      <c r="C98" s="61" t="s">
        <v>272</v>
      </c>
      <c r="D98" s="85"/>
      <c r="E98" s="85"/>
      <c r="F98" s="85"/>
      <c r="G98" s="85"/>
      <c r="H98" s="85"/>
      <c r="I98" s="85"/>
      <c r="U98" s="217">
        <v>1</v>
      </c>
      <c r="Z98" s="146" t="s">
        <v>261</v>
      </c>
      <c r="AA98" s="147" t="s">
        <v>262</v>
      </c>
      <c r="AB98" s="147" t="s">
        <v>262</v>
      </c>
      <c r="AC98" s="148" t="s">
        <v>54</v>
      </c>
    </row>
    <row r="99" spans="2:29">
      <c r="B99" s="47" t="s">
        <v>1506</v>
      </c>
      <c r="C99" s="61" t="s">
        <v>1849</v>
      </c>
      <c r="D99" s="85" t="s">
        <v>301</v>
      </c>
      <c r="E99" s="85" t="s">
        <v>301</v>
      </c>
      <c r="F99" s="85" t="s">
        <v>301</v>
      </c>
      <c r="G99" s="85" t="s">
        <v>301</v>
      </c>
      <c r="H99" s="85" t="s">
        <v>301</v>
      </c>
      <c r="I99" s="85" t="s">
        <v>301</v>
      </c>
      <c r="U99" s="218" t="str">
        <f t="shared" ref="U99:U101" si="15">IF(COUNT(D99:I99)&lt;&gt;0,1,"")</f>
        <v/>
      </c>
      <c r="Z99" s="146" t="s">
        <v>263</v>
      </c>
      <c r="AA99" s="147" t="s">
        <v>264</v>
      </c>
      <c r="AB99" s="147" t="s">
        <v>265</v>
      </c>
      <c r="AC99" s="148" t="s">
        <v>47</v>
      </c>
    </row>
    <row r="100" spans="2:29">
      <c r="B100" s="47" t="s">
        <v>1507</v>
      </c>
      <c r="C100" s="61" t="s">
        <v>1850</v>
      </c>
      <c r="D100" s="85" t="s">
        <v>301</v>
      </c>
      <c r="E100" s="85" t="s">
        <v>301</v>
      </c>
      <c r="F100" s="85" t="s">
        <v>301</v>
      </c>
      <c r="G100" s="85" t="s">
        <v>301</v>
      </c>
      <c r="H100" s="85" t="s">
        <v>301</v>
      </c>
      <c r="I100" s="85" t="s">
        <v>301</v>
      </c>
      <c r="U100" s="218" t="str">
        <f t="shared" si="15"/>
        <v/>
      </c>
      <c r="Z100" s="149" t="s">
        <v>266</v>
      </c>
      <c r="AA100" s="150" t="s">
        <v>267</v>
      </c>
      <c r="AB100" s="150" t="s">
        <v>268</v>
      </c>
      <c r="AC100" s="151" t="s">
        <v>54</v>
      </c>
    </row>
    <row r="101" spans="2:29">
      <c r="B101" s="47" t="s">
        <v>1508</v>
      </c>
      <c r="C101" s="61" t="s">
        <v>1851</v>
      </c>
      <c r="D101" s="85" t="s">
        <v>301</v>
      </c>
      <c r="E101" s="85" t="s">
        <v>301</v>
      </c>
      <c r="F101" s="85" t="s">
        <v>301</v>
      </c>
      <c r="G101" s="85">
        <v>9.1</v>
      </c>
      <c r="H101" s="85" t="s">
        <v>301</v>
      </c>
      <c r="I101" s="85" t="s">
        <v>301</v>
      </c>
      <c r="U101" s="218">
        <f t="shared" si="15"/>
        <v>1</v>
      </c>
      <c r="Z101" s="17"/>
      <c r="AA101" s="17"/>
      <c r="AB101" s="17"/>
      <c r="AC101" s="17"/>
    </row>
    <row r="102" spans="2:29">
      <c r="B102" s="62" t="s">
        <v>1509</v>
      </c>
      <c r="C102" s="61" t="s">
        <v>272</v>
      </c>
      <c r="D102" s="85"/>
      <c r="E102" s="85"/>
      <c r="F102" s="85"/>
      <c r="G102" s="85"/>
      <c r="H102" s="85"/>
      <c r="I102" s="85"/>
      <c r="U102" s="217">
        <v>1</v>
      </c>
      <c r="Z102" s="126" t="str">
        <f>IF(Key_Stats!$H$18=Z105,"MIStandard",Key_Stats!$H$18)</f>
        <v>Millions</v>
      </c>
      <c r="AA102" s="152" t="str">
        <f>IF(Key_Stats!$H$18=Z105,AA105,VLOOKUP(Z102,Z105:AA110,2,FALSE))</f>
        <v>M</v>
      </c>
      <c r="AB102" s="206">
        <f>VLOOKUP($Z$102,$Z$105:$AB$110,3,FALSE)</f>
        <v>1000000</v>
      </c>
      <c r="AC102" s="135"/>
    </row>
    <row r="103" spans="2:29">
      <c r="B103" s="47" t="s">
        <v>1510</v>
      </c>
      <c r="C103" s="61" t="s">
        <v>1852</v>
      </c>
      <c r="D103" s="85" t="s">
        <v>301</v>
      </c>
      <c r="E103" s="85" t="s">
        <v>301</v>
      </c>
      <c r="F103" s="85" t="s">
        <v>301</v>
      </c>
      <c r="G103" s="85" t="s">
        <v>301</v>
      </c>
      <c r="H103" s="85" t="s">
        <v>301</v>
      </c>
      <c r="I103" s="85" t="s">
        <v>301</v>
      </c>
      <c r="U103" s="218" t="str">
        <f t="shared" ref="U103:U107" si="16">IF(COUNT(D103:I103)&lt;&gt;0,1,"")</f>
        <v/>
      </c>
      <c r="Z103" s="17"/>
      <c r="AA103" s="17"/>
      <c r="AB103" s="17"/>
      <c r="AC103" s="17"/>
    </row>
    <row r="104" spans="2:29">
      <c r="B104" s="47" t="s">
        <v>1511</v>
      </c>
      <c r="C104" s="61" t="s">
        <v>1853</v>
      </c>
      <c r="D104" s="85" t="s">
        <v>301</v>
      </c>
      <c r="E104" s="85" t="s">
        <v>301</v>
      </c>
      <c r="F104" s="85" t="s">
        <v>301</v>
      </c>
      <c r="G104" s="85" t="s">
        <v>301</v>
      </c>
      <c r="H104" s="85" t="s">
        <v>301</v>
      </c>
      <c r="I104" s="85" t="s">
        <v>301</v>
      </c>
      <c r="U104" s="218" t="str">
        <f t="shared" si="16"/>
        <v/>
      </c>
      <c r="Z104" s="127" t="s">
        <v>35</v>
      </c>
      <c r="AA104" s="127" t="s">
        <v>269</v>
      </c>
      <c r="AB104" s="127" t="s">
        <v>2245</v>
      </c>
      <c r="AC104" s="17"/>
    </row>
    <row r="105" spans="2:29">
      <c r="B105" s="47" t="s">
        <v>1512</v>
      </c>
      <c r="C105" s="61" t="s">
        <v>1854</v>
      </c>
      <c r="D105" s="85">
        <v>0.6</v>
      </c>
      <c r="E105" s="85" t="s">
        <v>301</v>
      </c>
      <c r="F105" s="85" t="s">
        <v>301</v>
      </c>
      <c r="G105" s="85" t="s">
        <v>301</v>
      </c>
      <c r="H105" s="85">
        <v>0.5</v>
      </c>
      <c r="I105" s="85" t="s">
        <v>301</v>
      </c>
      <c r="U105" s="218">
        <f t="shared" si="16"/>
        <v>1</v>
      </c>
      <c r="Z105" s="153" t="s">
        <v>270</v>
      </c>
      <c r="AA105" s="138" t="str">
        <f>IF(AB18="Reported","",VLOOKUP(AB18,AB21:AC100,2,FALSE))</f>
        <v>000</v>
      </c>
      <c r="AB105" s="203">
        <f>VLOOKUP($AA$105,$AA$106:$AB$110,2,FALSE)</f>
        <v>1000</v>
      </c>
      <c r="AC105" s="17"/>
    </row>
    <row r="106" spans="2:29">
      <c r="B106" s="47" t="s">
        <v>1513</v>
      </c>
      <c r="C106" s="61" t="s">
        <v>1855</v>
      </c>
      <c r="D106" s="85" t="s">
        <v>301</v>
      </c>
      <c r="E106" s="85" t="s">
        <v>301</v>
      </c>
      <c r="F106" s="85" t="s">
        <v>301</v>
      </c>
      <c r="G106" s="85" t="s">
        <v>301</v>
      </c>
      <c r="H106" s="85" t="s">
        <v>301</v>
      </c>
      <c r="I106" s="85" t="s">
        <v>301</v>
      </c>
      <c r="U106" s="218" t="str">
        <f t="shared" si="16"/>
        <v/>
      </c>
      <c r="Z106" s="141" t="s">
        <v>271</v>
      </c>
      <c r="AA106" s="136" t="s">
        <v>272</v>
      </c>
      <c r="AB106" s="204">
        <v>1</v>
      </c>
      <c r="AC106" s="17"/>
    </row>
    <row r="107" spans="2:29">
      <c r="B107" s="47" t="s">
        <v>1514</v>
      </c>
      <c r="C107" s="61" t="s">
        <v>1856</v>
      </c>
      <c r="D107" s="85" t="s">
        <v>301</v>
      </c>
      <c r="E107" s="85" t="s">
        <v>301</v>
      </c>
      <c r="F107" s="85" t="s">
        <v>301</v>
      </c>
      <c r="G107" s="85" t="s">
        <v>301</v>
      </c>
      <c r="H107" s="85" t="s">
        <v>301</v>
      </c>
      <c r="I107" s="85" t="s">
        <v>301</v>
      </c>
      <c r="U107" s="218" t="str">
        <f t="shared" si="16"/>
        <v/>
      </c>
      <c r="Z107" s="141" t="s">
        <v>38</v>
      </c>
      <c r="AA107" s="136" t="s">
        <v>47</v>
      </c>
      <c r="AB107" s="204">
        <v>1000</v>
      </c>
      <c r="AC107" s="17"/>
    </row>
    <row r="108" spans="2:29">
      <c r="B108" s="47"/>
      <c r="C108" s="61" t="s">
        <v>272</v>
      </c>
      <c r="D108" s="85"/>
      <c r="E108" s="85"/>
      <c r="F108" s="85"/>
      <c r="G108" s="85"/>
      <c r="H108" s="85"/>
      <c r="I108" s="85"/>
      <c r="U108" s="217">
        <v>1</v>
      </c>
      <c r="Z108" s="141" t="s">
        <v>273</v>
      </c>
      <c r="AA108" s="139" t="s">
        <v>54</v>
      </c>
      <c r="AB108" s="204">
        <v>1000000</v>
      </c>
      <c r="AC108" s="17"/>
    </row>
    <row r="109" spans="2:29">
      <c r="B109" s="62" t="s">
        <v>1515</v>
      </c>
      <c r="C109" s="61" t="s">
        <v>272</v>
      </c>
      <c r="D109" s="85"/>
      <c r="E109" s="85"/>
      <c r="F109" s="85"/>
      <c r="G109" s="85"/>
      <c r="H109" s="85"/>
      <c r="I109" s="85"/>
      <c r="U109" s="217">
        <v>1</v>
      </c>
      <c r="Z109" s="141" t="s">
        <v>274</v>
      </c>
      <c r="AA109" s="139" t="s">
        <v>200</v>
      </c>
      <c r="AB109" s="204">
        <v>1000000000</v>
      </c>
      <c r="AC109" s="17"/>
    </row>
    <row r="110" spans="2:29">
      <c r="B110" s="62" t="s">
        <v>1425</v>
      </c>
      <c r="C110" s="61" t="s">
        <v>272</v>
      </c>
      <c r="D110" s="85"/>
      <c r="E110" s="85"/>
      <c r="F110" s="85"/>
      <c r="G110" s="85"/>
      <c r="H110" s="85"/>
      <c r="I110" s="85"/>
      <c r="U110" s="217">
        <v>1</v>
      </c>
      <c r="Z110" s="142" t="s">
        <v>275</v>
      </c>
      <c r="AA110" s="140" t="s">
        <v>276</v>
      </c>
      <c r="AB110" s="205">
        <v>1000000000000</v>
      </c>
      <c r="AC110" s="17"/>
    </row>
    <row r="111" spans="2:29">
      <c r="B111" s="47" t="s">
        <v>1426</v>
      </c>
      <c r="C111" s="61" t="s">
        <v>1857</v>
      </c>
      <c r="D111" s="85" t="s">
        <v>301</v>
      </c>
      <c r="E111" s="85" t="s">
        <v>301</v>
      </c>
      <c r="F111" s="85" t="s">
        <v>301</v>
      </c>
      <c r="G111" s="85" t="s">
        <v>301</v>
      </c>
      <c r="H111" s="85" t="s">
        <v>301</v>
      </c>
      <c r="I111" s="85" t="s">
        <v>301</v>
      </c>
      <c r="U111" s="218" t="str">
        <f t="shared" ref="U111:U117" si="17">IF(COUNT(D111:I111)&lt;&gt;0,1,"")</f>
        <v/>
      </c>
      <c r="Z111" s="17"/>
      <c r="AA111" s="17"/>
      <c r="AB111" s="17"/>
      <c r="AC111" s="17"/>
    </row>
    <row r="112" spans="2:29">
      <c r="B112" s="47" t="s">
        <v>1427</v>
      </c>
      <c r="C112" s="61" t="s">
        <v>1858</v>
      </c>
      <c r="D112" s="85">
        <v>0.1</v>
      </c>
      <c r="E112" s="85">
        <v>0.2</v>
      </c>
      <c r="F112" s="85">
        <v>0.1</v>
      </c>
      <c r="G112" s="85" t="s">
        <v>301</v>
      </c>
      <c r="H112" s="85">
        <v>0.1</v>
      </c>
      <c r="I112" s="85">
        <v>0.1</v>
      </c>
      <c r="U112" s="218">
        <f t="shared" si="17"/>
        <v>1</v>
      </c>
      <c r="Z112" s="156" t="s">
        <v>277</v>
      </c>
      <c r="AA112" s="154" t="str">
        <f>VLOOKUP(Key_Stats!$I$18,Z113:AA114,2,0)</f>
        <v>MIrecommended</v>
      </c>
      <c r="AB112" s="155"/>
      <c r="AC112" s="17"/>
    </row>
    <row r="113" spans="2:29">
      <c r="B113" s="47" t="s">
        <v>1516</v>
      </c>
      <c r="C113" s="61" t="s">
        <v>1859</v>
      </c>
      <c r="D113" s="85" t="s">
        <v>301</v>
      </c>
      <c r="E113" s="85" t="s">
        <v>301</v>
      </c>
      <c r="F113" s="85" t="s">
        <v>301</v>
      </c>
      <c r="G113" s="85" t="s">
        <v>301</v>
      </c>
      <c r="H113" s="85" t="s">
        <v>301</v>
      </c>
      <c r="I113" s="85" t="s">
        <v>301</v>
      </c>
      <c r="U113" s="218" t="str">
        <f t="shared" si="17"/>
        <v/>
      </c>
      <c r="Z113" s="153" t="s">
        <v>39</v>
      </c>
      <c r="AA113" s="128" t="s">
        <v>278</v>
      </c>
      <c r="AB113" s="139"/>
      <c r="AC113" s="17"/>
    </row>
    <row r="114" spans="2:29">
      <c r="B114" s="47" t="s">
        <v>1429</v>
      </c>
      <c r="C114" s="61" t="s">
        <v>1860</v>
      </c>
      <c r="D114" s="85">
        <v>-0.2</v>
      </c>
      <c r="E114" s="85">
        <v>-0.2</v>
      </c>
      <c r="F114" s="85">
        <v>-0.3</v>
      </c>
      <c r="G114" s="85" t="s">
        <v>301</v>
      </c>
      <c r="H114" s="85">
        <v>-0.2</v>
      </c>
      <c r="I114" s="85">
        <v>-0.2</v>
      </c>
      <c r="U114" s="218">
        <f t="shared" si="17"/>
        <v>1</v>
      </c>
      <c r="Z114" s="142" t="s">
        <v>279</v>
      </c>
      <c r="AA114" s="137" t="s">
        <v>280</v>
      </c>
      <c r="AB114" s="140"/>
      <c r="AC114" s="17"/>
    </row>
    <row r="115" spans="2:29">
      <c r="B115" s="47" t="s">
        <v>1517</v>
      </c>
      <c r="C115" s="61" t="s">
        <v>1861</v>
      </c>
      <c r="D115" s="85">
        <v>-0.1</v>
      </c>
      <c r="E115" s="85" t="s">
        <v>301</v>
      </c>
      <c r="F115" s="85">
        <v>-0.2</v>
      </c>
      <c r="G115" s="85" t="s">
        <v>301</v>
      </c>
      <c r="H115" s="85">
        <v>-0.1</v>
      </c>
      <c r="I115" s="85">
        <v>-0.1</v>
      </c>
      <c r="U115" s="218">
        <f t="shared" si="17"/>
        <v>1</v>
      </c>
    </row>
    <row r="116" spans="2:29">
      <c r="B116" s="47" t="s">
        <v>1431</v>
      </c>
      <c r="C116" s="61" t="s">
        <v>1862</v>
      </c>
      <c r="D116" s="85" t="s">
        <v>301</v>
      </c>
      <c r="E116" s="85" t="s">
        <v>301</v>
      </c>
      <c r="F116" s="85" t="s">
        <v>301</v>
      </c>
      <c r="G116" s="85" t="s">
        <v>301</v>
      </c>
      <c r="H116" s="85" t="s">
        <v>301</v>
      </c>
      <c r="I116" s="85" t="s">
        <v>301</v>
      </c>
      <c r="U116" s="218" t="str">
        <f t="shared" si="17"/>
        <v/>
      </c>
    </row>
    <row r="117" spans="2:29">
      <c r="B117" s="47" t="s">
        <v>1518</v>
      </c>
      <c r="C117" s="61" t="s">
        <v>1863</v>
      </c>
      <c r="D117" s="85">
        <v>-0.1</v>
      </c>
      <c r="E117" s="85" t="s">
        <v>301</v>
      </c>
      <c r="F117" s="85">
        <v>-0.2</v>
      </c>
      <c r="G117" s="85" t="s">
        <v>301</v>
      </c>
      <c r="H117" s="85">
        <v>-0.1</v>
      </c>
      <c r="I117" s="85">
        <v>-0.1</v>
      </c>
      <c r="U117" s="218">
        <f t="shared" si="17"/>
        <v>1</v>
      </c>
    </row>
    <row r="118" spans="2:29">
      <c r="B118" s="62" t="s">
        <v>1434</v>
      </c>
      <c r="C118" s="61" t="s">
        <v>272</v>
      </c>
      <c r="D118" s="85"/>
      <c r="E118" s="85"/>
      <c r="F118" s="85"/>
      <c r="G118" s="85"/>
      <c r="H118" s="85"/>
      <c r="I118" s="85"/>
      <c r="U118" s="217">
        <v>1</v>
      </c>
    </row>
    <row r="119" spans="2:29">
      <c r="B119" s="47" t="s">
        <v>1435</v>
      </c>
      <c r="C119" s="61" t="s">
        <v>1864</v>
      </c>
      <c r="D119" s="85" t="s">
        <v>301</v>
      </c>
      <c r="E119" s="85" t="s">
        <v>301</v>
      </c>
      <c r="F119" s="85" t="s">
        <v>301</v>
      </c>
      <c r="G119" s="85">
        <v>11.200000000000001</v>
      </c>
      <c r="H119" s="85" t="s">
        <v>301</v>
      </c>
      <c r="I119" s="85" t="s">
        <v>301</v>
      </c>
      <c r="U119" s="218">
        <f t="shared" ref="U119:U130" si="18">IF(COUNT(D119:I119)&lt;&gt;0,1,"")</f>
        <v>1</v>
      </c>
    </row>
    <row r="120" spans="2:29">
      <c r="B120" s="47" t="s">
        <v>1436</v>
      </c>
      <c r="C120" s="61" t="s">
        <v>1865</v>
      </c>
      <c r="D120" s="85" t="s">
        <v>301</v>
      </c>
      <c r="E120" s="85" t="s">
        <v>301</v>
      </c>
      <c r="F120" s="85" t="s">
        <v>301</v>
      </c>
      <c r="G120" s="85" t="s">
        <v>301</v>
      </c>
      <c r="H120" s="85" t="s">
        <v>301</v>
      </c>
      <c r="I120" s="85" t="s">
        <v>301</v>
      </c>
      <c r="U120" s="218" t="str">
        <f t="shared" si="18"/>
        <v/>
      </c>
    </row>
    <row r="121" spans="2:29">
      <c r="B121" s="47" t="s">
        <v>1427</v>
      </c>
      <c r="C121" s="61" t="s">
        <v>1866</v>
      </c>
      <c r="D121" s="85" t="s">
        <v>301</v>
      </c>
      <c r="E121" s="85" t="s">
        <v>301</v>
      </c>
      <c r="F121" s="85" t="s">
        <v>301</v>
      </c>
      <c r="G121" s="85">
        <v>0.5</v>
      </c>
      <c r="H121" s="85" t="s">
        <v>301</v>
      </c>
      <c r="I121" s="85" t="s">
        <v>301</v>
      </c>
      <c r="U121" s="218">
        <f t="shared" si="18"/>
        <v>1</v>
      </c>
    </row>
    <row r="122" spans="2:29">
      <c r="B122" s="47" t="s">
        <v>1437</v>
      </c>
      <c r="C122" s="61" t="s">
        <v>1867</v>
      </c>
      <c r="D122" s="85" t="s">
        <v>301</v>
      </c>
      <c r="E122" s="85" t="s">
        <v>301</v>
      </c>
      <c r="F122" s="85" t="s">
        <v>301</v>
      </c>
      <c r="G122" s="85">
        <v>0.3</v>
      </c>
      <c r="H122" s="85" t="s">
        <v>301</v>
      </c>
      <c r="I122" s="85" t="s">
        <v>301</v>
      </c>
      <c r="U122" s="218">
        <f t="shared" si="18"/>
        <v>1</v>
      </c>
    </row>
    <row r="123" spans="2:29">
      <c r="B123" s="47" t="s">
        <v>1438</v>
      </c>
      <c r="C123" s="61" t="s">
        <v>1868</v>
      </c>
      <c r="D123" s="85" t="s">
        <v>301</v>
      </c>
      <c r="E123" s="85" t="s">
        <v>301</v>
      </c>
      <c r="F123" s="85" t="s">
        <v>301</v>
      </c>
      <c r="G123" s="85">
        <v>-1.4000000000000001</v>
      </c>
      <c r="H123" s="85" t="s">
        <v>301</v>
      </c>
      <c r="I123" s="85" t="s">
        <v>301</v>
      </c>
      <c r="U123" s="218">
        <f t="shared" si="18"/>
        <v>1</v>
      </c>
    </row>
    <row r="124" spans="2:29">
      <c r="B124" s="47" t="s">
        <v>1439</v>
      </c>
      <c r="C124" s="61" t="s">
        <v>1869</v>
      </c>
      <c r="D124" s="85" t="s">
        <v>301</v>
      </c>
      <c r="E124" s="85" t="s">
        <v>301</v>
      </c>
      <c r="F124" s="85" t="s">
        <v>301</v>
      </c>
      <c r="G124" s="85">
        <v>-1.4000000000000001</v>
      </c>
      <c r="H124" s="85" t="s">
        <v>301</v>
      </c>
      <c r="I124" s="85" t="s">
        <v>301</v>
      </c>
      <c r="U124" s="218">
        <f t="shared" si="18"/>
        <v>1</v>
      </c>
    </row>
    <row r="125" spans="2:29">
      <c r="B125" s="47" t="s">
        <v>1440</v>
      </c>
      <c r="C125" s="61" t="s">
        <v>1870</v>
      </c>
      <c r="D125" s="85" t="s">
        <v>301</v>
      </c>
      <c r="E125" s="85" t="s">
        <v>301</v>
      </c>
      <c r="F125" s="85" t="s">
        <v>301</v>
      </c>
      <c r="G125" s="85" t="s">
        <v>301</v>
      </c>
      <c r="H125" s="85" t="s">
        <v>301</v>
      </c>
      <c r="I125" s="85" t="s">
        <v>301</v>
      </c>
      <c r="U125" s="218" t="str">
        <f t="shared" si="18"/>
        <v/>
      </c>
    </row>
    <row r="126" spans="2:29">
      <c r="B126" s="47" t="s">
        <v>1441</v>
      </c>
      <c r="C126" s="61" t="s">
        <v>1871</v>
      </c>
      <c r="D126" s="85" t="s">
        <v>301</v>
      </c>
      <c r="E126" s="85" t="s">
        <v>301</v>
      </c>
      <c r="F126" s="85" t="s">
        <v>301</v>
      </c>
      <c r="G126" s="85" t="s">
        <v>301</v>
      </c>
      <c r="H126" s="85" t="s">
        <v>301</v>
      </c>
      <c r="I126" s="85" t="s">
        <v>301</v>
      </c>
      <c r="U126" s="218" t="str">
        <f t="shared" si="18"/>
        <v/>
      </c>
    </row>
    <row r="127" spans="2:29">
      <c r="B127" s="47" t="s">
        <v>1442</v>
      </c>
      <c r="C127" s="61" t="s">
        <v>1872</v>
      </c>
      <c r="D127" s="85" t="s">
        <v>301</v>
      </c>
      <c r="E127" s="85" t="s">
        <v>301</v>
      </c>
      <c r="F127" s="85" t="s">
        <v>301</v>
      </c>
      <c r="G127" s="85" t="s">
        <v>301</v>
      </c>
      <c r="H127" s="85" t="s">
        <v>301</v>
      </c>
      <c r="I127" s="85" t="s">
        <v>301</v>
      </c>
      <c r="U127" s="218" t="str">
        <f t="shared" si="18"/>
        <v/>
      </c>
    </row>
    <row r="128" spans="2:29">
      <c r="B128" s="47" t="s">
        <v>1443</v>
      </c>
      <c r="C128" s="61" t="s">
        <v>1873</v>
      </c>
      <c r="D128" s="85" t="s">
        <v>301</v>
      </c>
      <c r="E128" s="85" t="s">
        <v>301</v>
      </c>
      <c r="F128" s="85" t="s">
        <v>301</v>
      </c>
      <c r="G128" s="85" t="s">
        <v>301</v>
      </c>
      <c r="H128" s="85" t="s">
        <v>301</v>
      </c>
      <c r="I128" s="85" t="s">
        <v>301</v>
      </c>
      <c r="U128" s="218" t="str">
        <f t="shared" si="18"/>
        <v/>
      </c>
    </row>
    <row r="129" spans="2:21">
      <c r="B129" s="47" t="s">
        <v>1519</v>
      </c>
      <c r="C129" s="61" t="s">
        <v>1874</v>
      </c>
      <c r="D129" s="85" t="s">
        <v>301</v>
      </c>
      <c r="E129" s="85" t="s">
        <v>301</v>
      </c>
      <c r="F129" s="85" t="s">
        <v>301</v>
      </c>
      <c r="G129" s="85">
        <v>9.2000000000000011</v>
      </c>
      <c r="H129" s="85" t="s">
        <v>301</v>
      </c>
      <c r="I129" s="85" t="s">
        <v>301</v>
      </c>
      <c r="U129" s="218">
        <f t="shared" si="18"/>
        <v>1</v>
      </c>
    </row>
    <row r="130" spans="2:21">
      <c r="B130" s="47" t="s">
        <v>1520</v>
      </c>
      <c r="C130" s="61" t="s">
        <v>1875</v>
      </c>
      <c r="D130" s="85" t="s">
        <v>301</v>
      </c>
      <c r="E130" s="85" t="s">
        <v>301</v>
      </c>
      <c r="F130" s="85" t="s">
        <v>301</v>
      </c>
      <c r="G130" s="85" t="s">
        <v>301</v>
      </c>
      <c r="H130" s="85" t="s">
        <v>301</v>
      </c>
      <c r="I130" s="85" t="s">
        <v>301</v>
      </c>
      <c r="U130" s="218" t="str">
        <f t="shared" si="18"/>
        <v/>
      </c>
    </row>
    <row r="131" spans="2:21">
      <c r="B131" s="62" t="s">
        <v>1446</v>
      </c>
      <c r="C131" s="61" t="s">
        <v>272</v>
      </c>
      <c r="D131" s="85"/>
      <c r="E131" s="85"/>
      <c r="F131" s="85"/>
      <c r="G131" s="85"/>
      <c r="H131" s="85"/>
      <c r="I131" s="85"/>
      <c r="U131" s="217">
        <v>1</v>
      </c>
    </row>
    <row r="132" spans="2:21">
      <c r="B132" s="47" t="s">
        <v>1447</v>
      </c>
      <c r="C132" s="61" t="s">
        <v>1876</v>
      </c>
      <c r="D132" s="85" t="s">
        <v>301</v>
      </c>
      <c r="E132" s="85" t="s">
        <v>301</v>
      </c>
      <c r="F132" s="85" t="s">
        <v>301</v>
      </c>
      <c r="G132" s="85">
        <v>-0.1</v>
      </c>
      <c r="H132" s="85" t="s">
        <v>301</v>
      </c>
      <c r="I132" s="85" t="s">
        <v>301</v>
      </c>
      <c r="U132" s="218">
        <f t="shared" ref="U132:U141" si="19">IF(COUNT(D132:I132)&lt;&gt;0,1,"")</f>
        <v>1</v>
      </c>
    </row>
    <row r="133" spans="2:21">
      <c r="B133" s="47" t="s">
        <v>1448</v>
      </c>
      <c r="C133" s="61" t="s">
        <v>1877</v>
      </c>
      <c r="D133" s="85" t="s">
        <v>301</v>
      </c>
      <c r="E133" s="85" t="s">
        <v>301</v>
      </c>
      <c r="F133" s="85" t="s">
        <v>301</v>
      </c>
      <c r="G133" s="85" t="s">
        <v>301</v>
      </c>
      <c r="H133" s="85" t="s">
        <v>301</v>
      </c>
      <c r="I133" s="85" t="s">
        <v>301</v>
      </c>
      <c r="U133" s="218" t="str">
        <f t="shared" si="19"/>
        <v/>
      </c>
    </row>
    <row r="134" spans="2:21">
      <c r="B134" s="47" t="s">
        <v>1449</v>
      </c>
      <c r="C134" s="61" t="s">
        <v>1878</v>
      </c>
      <c r="D134" s="85" t="s">
        <v>301</v>
      </c>
      <c r="E134" s="85" t="s">
        <v>301</v>
      </c>
      <c r="F134" s="85" t="s">
        <v>301</v>
      </c>
      <c r="G134" s="85">
        <v>1.2</v>
      </c>
      <c r="H134" s="85" t="s">
        <v>301</v>
      </c>
      <c r="I134" s="85" t="s">
        <v>301</v>
      </c>
      <c r="U134" s="218">
        <f t="shared" si="19"/>
        <v>1</v>
      </c>
    </row>
    <row r="135" spans="2:21">
      <c r="B135" s="47" t="s">
        <v>1450</v>
      </c>
      <c r="C135" s="61" t="s">
        <v>1879</v>
      </c>
      <c r="D135" s="85" t="s">
        <v>301</v>
      </c>
      <c r="E135" s="85" t="s">
        <v>301</v>
      </c>
      <c r="F135" s="85" t="s">
        <v>301</v>
      </c>
      <c r="G135" s="85">
        <v>0.3</v>
      </c>
      <c r="H135" s="85" t="s">
        <v>301</v>
      </c>
      <c r="I135" s="85" t="s">
        <v>301</v>
      </c>
      <c r="U135" s="218">
        <f t="shared" si="19"/>
        <v>1</v>
      </c>
    </row>
    <row r="136" spans="2:21">
      <c r="B136" s="47" t="s">
        <v>1451</v>
      </c>
      <c r="C136" s="61" t="s">
        <v>1880</v>
      </c>
      <c r="D136" s="85" t="s">
        <v>301</v>
      </c>
      <c r="E136" s="85" t="s">
        <v>301</v>
      </c>
      <c r="F136" s="85" t="s">
        <v>301</v>
      </c>
      <c r="G136" s="85">
        <v>-1.4000000000000001</v>
      </c>
      <c r="H136" s="85" t="s">
        <v>301</v>
      </c>
      <c r="I136" s="85" t="s">
        <v>301</v>
      </c>
      <c r="U136" s="218">
        <f t="shared" si="19"/>
        <v>1</v>
      </c>
    </row>
    <row r="137" spans="2:21">
      <c r="B137" s="47" t="s">
        <v>1452</v>
      </c>
      <c r="C137" s="61" t="s">
        <v>1881</v>
      </c>
      <c r="D137" s="85" t="s">
        <v>301</v>
      </c>
      <c r="E137" s="85" t="s">
        <v>301</v>
      </c>
      <c r="F137" s="85" t="s">
        <v>301</v>
      </c>
      <c r="G137" s="85" t="s">
        <v>301</v>
      </c>
      <c r="H137" s="85" t="s">
        <v>301</v>
      </c>
      <c r="I137" s="85" t="s">
        <v>301</v>
      </c>
      <c r="U137" s="218" t="str">
        <f t="shared" si="19"/>
        <v/>
      </c>
    </row>
    <row r="138" spans="2:21">
      <c r="B138" s="47" t="s">
        <v>1453</v>
      </c>
      <c r="C138" s="61" t="s">
        <v>1882</v>
      </c>
      <c r="D138" s="85" t="s">
        <v>301</v>
      </c>
      <c r="E138" s="85" t="s">
        <v>301</v>
      </c>
      <c r="F138" s="85" t="s">
        <v>301</v>
      </c>
      <c r="G138" s="85" t="s">
        <v>301</v>
      </c>
      <c r="H138" s="85" t="s">
        <v>301</v>
      </c>
      <c r="I138" s="85" t="s">
        <v>301</v>
      </c>
      <c r="U138" s="218" t="str">
        <f t="shared" si="19"/>
        <v/>
      </c>
    </row>
    <row r="139" spans="2:21">
      <c r="B139" s="47" t="s">
        <v>1454</v>
      </c>
      <c r="C139" s="61" t="s">
        <v>1883</v>
      </c>
      <c r="D139" s="85" t="s">
        <v>301</v>
      </c>
      <c r="E139" s="85" t="s">
        <v>301</v>
      </c>
      <c r="F139" s="85" t="s">
        <v>301</v>
      </c>
      <c r="G139" s="85" t="s">
        <v>301</v>
      </c>
      <c r="H139" s="85" t="s">
        <v>301</v>
      </c>
      <c r="I139" s="85" t="s">
        <v>301</v>
      </c>
      <c r="U139" s="218" t="str">
        <f t="shared" si="19"/>
        <v/>
      </c>
    </row>
    <row r="140" spans="2:21">
      <c r="B140" s="47" t="s">
        <v>1455</v>
      </c>
      <c r="C140" s="61" t="s">
        <v>1884</v>
      </c>
      <c r="D140" s="85" t="s">
        <v>301</v>
      </c>
      <c r="E140" s="85" t="s">
        <v>301</v>
      </c>
      <c r="F140" s="85" t="s">
        <v>301</v>
      </c>
      <c r="G140" s="85" t="s">
        <v>301</v>
      </c>
      <c r="H140" s="85" t="s">
        <v>301</v>
      </c>
      <c r="I140" s="85" t="s">
        <v>301</v>
      </c>
      <c r="U140" s="218" t="str">
        <f t="shared" si="19"/>
        <v/>
      </c>
    </row>
    <row r="141" spans="2:21">
      <c r="B141" s="47" t="s">
        <v>1456</v>
      </c>
      <c r="C141" s="61" t="s">
        <v>1885</v>
      </c>
      <c r="D141" s="85" t="s">
        <v>301</v>
      </c>
      <c r="E141" s="85" t="s">
        <v>301</v>
      </c>
      <c r="F141" s="85" t="s">
        <v>301</v>
      </c>
      <c r="G141" s="85" t="s">
        <v>301</v>
      </c>
      <c r="H141" s="85" t="s">
        <v>301</v>
      </c>
      <c r="I141" s="85" t="s">
        <v>301</v>
      </c>
      <c r="U141" s="218" t="str">
        <f t="shared" si="19"/>
        <v/>
      </c>
    </row>
    <row r="142" spans="2:21">
      <c r="B142" s="62" t="s">
        <v>1457</v>
      </c>
      <c r="C142" s="61" t="s">
        <v>272</v>
      </c>
      <c r="D142" s="85"/>
      <c r="E142" s="85"/>
      <c r="F142" s="85"/>
      <c r="G142" s="85"/>
      <c r="H142" s="85"/>
      <c r="I142" s="85"/>
      <c r="U142" s="217">
        <v>1</v>
      </c>
    </row>
    <row r="143" spans="2:21">
      <c r="B143" s="47" t="s">
        <v>1458</v>
      </c>
      <c r="C143" s="61" t="s">
        <v>1886</v>
      </c>
      <c r="D143" s="45" t="s">
        <v>301</v>
      </c>
      <c r="E143" s="45" t="s">
        <v>301</v>
      </c>
      <c r="F143" s="45" t="s">
        <v>301</v>
      </c>
      <c r="G143" s="45" t="s">
        <v>301</v>
      </c>
      <c r="H143" s="45" t="s">
        <v>301</v>
      </c>
      <c r="I143" s="45" t="s">
        <v>301</v>
      </c>
      <c r="U143" s="218" t="str">
        <f t="shared" ref="U143:U148" si="20">IF(COUNT(D143:I143)&lt;&gt;0,1,"")</f>
        <v/>
      </c>
    </row>
    <row r="144" spans="2:21">
      <c r="B144" s="47" t="s">
        <v>1459</v>
      </c>
      <c r="C144" s="61" t="s">
        <v>1887</v>
      </c>
      <c r="D144" s="45" t="s">
        <v>301</v>
      </c>
      <c r="E144" s="45" t="s">
        <v>301</v>
      </c>
      <c r="F144" s="45" t="s">
        <v>301</v>
      </c>
      <c r="G144" s="45" t="s">
        <v>301</v>
      </c>
      <c r="H144" s="45" t="s">
        <v>301</v>
      </c>
      <c r="I144" s="45" t="s">
        <v>301</v>
      </c>
      <c r="U144" s="218" t="str">
        <f t="shared" si="20"/>
        <v/>
      </c>
    </row>
    <row r="145" spans="2:21">
      <c r="B145" s="47" t="s">
        <v>1460</v>
      </c>
      <c r="C145" s="61" t="s">
        <v>1888</v>
      </c>
      <c r="D145" s="45" t="s">
        <v>301</v>
      </c>
      <c r="E145" s="45" t="s">
        <v>301</v>
      </c>
      <c r="F145" s="45" t="s">
        <v>301</v>
      </c>
      <c r="G145" s="45" t="s">
        <v>301</v>
      </c>
      <c r="H145" s="45" t="s">
        <v>301</v>
      </c>
      <c r="I145" s="45" t="s">
        <v>301</v>
      </c>
      <c r="U145" s="218" t="str">
        <f t="shared" si="20"/>
        <v/>
      </c>
    </row>
    <row r="146" spans="2:21">
      <c r="B146" s="47" t="s">
        <v>1461</v>
      </c>
      <c r="C146" s="61" t="s">
        <v>1889</v>
      </c>
      <c r="D146" s="45" t="s">
        <v>301</v>
      </c>
      <c r="E146" s="45" t="s">
        <v>301</v>
      </c>
      <c r="F146" s="45" t="s">
        <v>301</v>
      </c>
      <c r="G146" s="45" t="s">
        <v>301</v>
      </c>
      <c r="H146" s="45" t="s">
        <v>301</v>
      </c>
      <c r="I146" s="45" t="s">
        <v>301</v>
      </c>
      <c r="U146" s="218" t="str">
        <f t="shared" si="20"/>
        <v/>
      </c>
    </row>
    <row r="147" spans="2:21">
      <c r="B147" s="47" t="s">
        <v>1462</v>
      </c>
      <c r="C147" s="61" t="s">
        <v>1890</v>
      </c>
      <c r="D147" s="45" t="s">
        <v>301</v>
      </c>
      <c r="E147" s="45" t="s">
        <v>301</v>
      </c>
      <c r="F147" s="45" t="s">
        <v>301</v>
      </c>
      <c r="G147" s="45" t="s">
        <v>301</v>
      </c>
      <c r="H147" s="45" t="s">
        <v>301</v>
      </c>
      <c r="I147" s="45" t="s">
        <v>301</v>
      </c>
      <c r="U147" s="218" t="str">
        <f t="shared" si="20"/>
        <v/>
      </c>
    </row>
    <row r="148" spans="2:21">
      <c r="B148" s="47" t="s">
        <v>1463</v>
      </c>
      <c r="C148" s="61" t="s">
        <v>1891</v>
      </c>
      <c r="D148" s="45" t="s">
        <v>301</v>
      </c>
      <c r="E148" s="45" t="s">
        <v>301</v>
      </c>
      <c r="F148" s="45" t="s">
        <v>301</v>
      </c>
      <c r="G148" s="45" t="s">
        <v>301</v>
      </c>
      <c r="H148" s="45" t="s">
        <v>301</v>
      </c>
      <c r="I148" s="45" t="s">
        <v>301</v>
      </c>
      <c r="U148" s="218" t="str">
        <f t="shared" si="20"/>
        <v/>
      </c>
    </row>
    <row r="149" spans="2:21">
      <c r="B149" s="62" t="s">
        <v>1464</v>
      </c>
      <c r="C149" s="61" t="s">
        <v>272</v>
      </c>
      <c r="D149" s="85"/>
      <c r="E149" s="85"/>
      <c r="F149" s="85"/>
      <c r="G149" s="85"/>
      <c r="H149" s="85"/>
      <c r="I149" s="85"/>
      <c r="U149" s="217">
        <v>1</v>
      </c>
    </row>
    <row r="150" spans="2:21">
      <c r="B150" s="47" t="s">
        <v>1465</v>
      </c>
      <c r="C150" s="61" t="s">
        <v>1892</v>
      </c>
      <c r="D150" s="45" t="s">
        <v>301</v>
      </c>
      <c r="E150" s="45" t="s">
        <v>301</v>
      </c>
      <c r="F150" s="45" t="s">
        <v>301</v>
      </c>
      <c r="G150" s="45" t="s">
        <v>301</v>
      </c>
      <c r="H150" s="45" t="s">
        <v>301</v>
      </c>
      <c r="I150" s="45" t="s">
        <v>301</v>
      </c>
      <c r="U150" s="218" t="str">
        <f t="shared" ref="U150:U153" si="21">IF(COUNT(D150:I150)&lt;&gt;0,1,"")</f>
        <v/>
      </c>
    </row>
    <row r="151" spans="2:21">
      <c r="B151" s="47" t="s">
        <v>1466</v>
      </c>
      <c r="C151" s="61" t="s">
        <v>1893</v>
      </c>
      <c r="D151" s="45" t="s">
        <v>301</v>
      </c>
      <c r="E151" s="45" t="s">
        <v>301</v>
      </c>
      <c r="F151" s="45" t="s">
        <v>301</v>
      </c>
      <c r="G151" s="45" t="s">
        <v>301</v>
      </c>
      <c r="H151" s="45" t="s">
        <v>301</v>
      </c>
      <c r="I151" s="45" t="s">
        <v>301</v>
      </c>
      <c r="U151" s="218" t="str">
        <f t="shared" si="21"/>
        <v/>
      </c>
    </row>
    <row r="152" spans="2:21">
      <c r="B152" s="47" t="s">
        <v>1467</v>
      </c>
      <c r="C152" s="61" t="s">
        <v>1894</v>
      </c>
      <c r="D152" s="45" t="s">
        <v>301</v>
      </c>
      <c r="E152" s="45" t="s">
        <v>301</v>
      </c>
      <c r="F152" s="45" t="s">
        <v>301</v>
      </c>
      <c r="G152" s="45" t="s">
        <v>301</v>
      </c>
      <c r="H152" s="45" t="s">
        <v>301</v>
      </c>
      <c r="I152" s="45" t="s">
        <v>301</v>
      </c>
      <c r="U152" s="218" t="str">
        <f t="shared" si="21"/>
        <v/>
      </c>
    </row>
    <row r="153" spans="2:21">
      <c r="B153" s="47" t="s">
        <v>1468</v>
      </c>
      <c r="C153" s="61" t="s">
        <v>1895</v>
      </c>
      <c r="D153" s="45" t="s">
        <v>301</v>
      </c>
      <c r="E153" s="45" t="s">
        <v>301</v>
      </c>
      <c r="F153" s="45" t="s">
        <v>301</v>
      </c>
      <c r="G153" s="45" t="s">
        <v>301</v>
      </c>
      <c r="H153" s="45" t="s">
        <v>301</v>
      </c>
      <c r="I153" s="45" t="s">
        <v>301</v>
      </c>
      <c r="U153" s="218" t="str">
        <f t="shared" si="21"/>
        <v/>
      </c>
    </row>
    <row r="154" spans="2:21">
      <c r="B154" s="106" t="s">
        <v>1464</v>
      </c>
      <c r="C154" s="61" t="s">
        <v>272</v>
      </c>
      <c r="D154" s="85"/>
      <c r="E154" s="85"/>
      <c r="F154" s="85"/>
      <c r="G154" s="85"/>
      <c r="H154" s="85"/>
      <c r="I154" s="85"/>
      <c r="U154" s="217">
        <v>1</v>
      </c>
    </row>
    <row r="155" spans="2:21">
      <c r="B155" s="47" t="s">
        <v>1469</v>
      </c>
      <c r="C155" s="61" t="s">
        <v>1896</v>
      </c>
      <c r="D155" s="85" t="s">
        <v>301</v>
      </c>
      <c r="E155" s="85" t="s">
        <v>301</v>
      </c>
      <c r="F155" s="85" t="s">
        <v>301</v>
      </c>
      <c r="G155" s="85" t="s">
        <v>301</v>
      </c>
      <c r="H155" s="85" t="s">
        <v>301</v>
      </c>
      <c r="I155" s="85" t="s">
        <v>301</v>
      </c>
      <c r="U155" s="218" t="str">
        <f t="shared" ref="U155:U158" si="22">IF(COUNT(D155:I155)&lt;&gt;0,1,"")</f>
        <v/>
      </c>
    </row>
    <row r="156" spans="2:21">
      <c r="B156" s="47" t="s">
        <v>1470</v>
      </c>
      <c r="C156" s="61" t="s">
        <v>1897</v>
      </c>
      <c r="D156" s="85" t="s">
        <v>301</v>
      </c>
      <c r="E156" s="85" t="s">
        <v>301</v>
      </c>
      <c r="F156" s="85" t="s">
        <v>301</v>
      </c>
      <c r="G156" s="85" t="s">
        <v>301</v>
      </c>
      <c r="H156" s="85" t="s">
        <v>301</v>
      </c>
      <c r="I156" s="85" t="s">
        <v>301</v>
      </c>
      <c r="U156" s="218" t="str">
        <f t="shared" si="22"/>
        <v/>
      </c>
    </row>
    <row r="157" spans="2:21">
      <c r="B157" s="47" t="s">
        <v>1471</v>
      </c>
      <c r="C157" s="61" t="s">
        <v>1898</v>
      </c>
      <c r="D157" s="85" t="s">
        <v>301</v>
      </c>
      <c r="E157" s="85" t="s">
        <v>301</v>
      </c>
      <c r="F157" s="85" t="s">
        <v>301</v>
      </c>
      <c r="G157" s="85" t="s">
        <v>301</v>
      </c>
      <c r="H157" s="85" t="s">
        <v>301</v>
      </c>
      <c r="I157" s="85" t="s">
        <v>301</v>
      </c>
      <c r="U157" s="218" t="str">
        <f t="shared" si="22"/>
        <v/>
      </c>
    </row>
    <row r="158" spans="2:21">
      <c r="B158" s="47" t="s">
        <v>1472</v>
      </c>
      <c r="C158" s="61" t="s">
        <v>1899</v>
      </c>
      <c r="D158" s="85" t="s">
        <v>301</v>
      </c>
      <c r="E158" s="85" t="s">
        <v>301</v>
      </c>
      <c r="F158" s="85" t="s">
        <v>301</v>
      </c>
      <c r="G158" s="85" t="s">
        <v>301</v>
      </c>
      <c r="H158" s="85" t="s">
        <v>301</v>
      </c>
      <c r="I158" s="85" t="s">
        <v>301</v>
      </c>
      <c r="U158" s="218" t="str">
        <f t="shared" si="22"/>
        <v/>
      </c>
    </row>
    <row r="159" spans="2:21">
      <c r="B159" s="62" t="s">
        <v>1473</v>
      </c>
      <c r="C159" s="61" t="s">
        <v>272</v>
      </c>
      <c r="D159" s="85"/>
      <c r="E159" s="85"/>
      <c r="F159" s="85"/>
      <c r="G159" s="85"/>
      <c r="H159" s="85"/>
      <c r="I159" s="85"/>
      <c r="U159" s="217">
        <v>1</v>
      </c>
    </row>
    <row r="160" spans="2:21">
      <c r="B160" s="47" t="s">
        <v>1474</v>
      </c>
      <c r="C160" s="61" t="s">
        <v>1900</v>
      </c>
      <c r="D160" s="85" t="s">
        <v>301</v>
      </c>
      <c r="E160" s="85" t="s">
        <v>301</v>
      </c>
      <c r="F160" s="85" t="s">
        <v>301</v>
      </c>
      <c r="G160" s="85">
        <v>-5.3</v>
      </c>
      <c r="H160" s="85" t="s">
        <v>301</v>
      </c>
      <c r="I160" s="85" t="s">
        <v>301</v>
      </c>
      <c r="U160" s="218">
        <f t="shared" ref="U160:U164" si="23">IF(COUNT(D160:I160)&lt;&gt;0,1,"")</f>
        <v>1</v>
      </c>
    </row>
    <row r="161" spans="2:21">
      <c r="B161" s="47" t="s">
        <v>1475</v>
      </c>
      <c r="C161" s="61" t="s">
        <v>1901</v>
      </c>
      <c r="D161" s="85" t="s">
        <v>301</v>
      </c>
      <c r="E161" s="85" t="s">
        <v>301</v>
      </c>
      <c r="F161" s="85" t="s">
        <v>301</v>
      </c>
      <c r="G161" s="85" t="s">
        <v>301</v>
      </c>
      <c r="H161" s="85" t="s">
        <v>301</v>
      </c>
      <c r="I161" s="85" t="s">
        <v>301</v>
      </c>
      <c r="U161" s="218" t="str">
        <f t="shared" si="23"/>
        <v/>
      </c>
    </row>
    <row r="162" spans="2:21">
      <c r="B162" s="47" t="s">
        <v>1476</v>
      </c>
      <c r="C162" s="61" t="s">
        <v>1902</v>
      </c>
      <c r="D162" s="85" t="s">
        <v>301</v>
      </c>
      <c r="E162" s="85" t="s">
        <v>301</v>
      </c>
      <c r="F162" s="85" t="s">
        <v>301</v>
      </c>
      <c r="G162" s="85" t="s">
        <v>301</v>
      </c>
      <c r="H162" s="85" t="s">
        <v>301</v>
      </c>
      <c r="I162" s="85" t="s">
        <v>301</v>
      </c>
      <c r="U162" s="218" t="str">
        <f t="shared" si="23"/>
        <v/>
      </c>
    </row>
    <row r="163" spans="2:21">
      <c r="B163" s="47" t="s">
        <v>1477</v>
      </c>
      <c r="C163" s="61" t="s">
        <v>1903</v>
      </c>
      <c r="D163" s="85" t="s">
        <v>301</v>
      </c>
      <c r="E163" s="85" t="s">
        <v>301</v>
      </c>
      <c r="F163" s="85" t="s">
        <v>301</v>
      </c>
      <c r="G163" s="85">
        <v>1.4000000000000001</v>
      </c>
      <c r="H163" s="85" t="s">
        <v>301</v>
      </c>
      <c r="I163" s="85" t="s">
        <v>301</v>
      </c>
      <c r="U163" s="218">
        <f t="shared" si="23"/>
        <v>1</v>
      </c>
    </row>
    <row r="164" spans="2:21">
      <c r="B164" s="47" t="s">
        <v>1478</v>
      </c>
      <c r="C164" s="61" t="s">
        <v>1904</v>
      </c>
      <c r="D164" s="85" t="s">
        <v>301</v>
      </c>
      <c r="E164" s="85" t="s">
        <v>301</v>
      </c>
      <c r="F164" s="85" t="s">
        <v>301</v>
      </c>
      <c r="G164" s="85">
        <v>-3.9</v>
      </c>
      <c r="H164" s="85" t="s">
        <v>301</v>
      </c>
      <c r="I164" s="85" t="s">
        <v>301</v>
      </c>
      <c r="U164" s="218">
        <f t="shared" si="23"/>
        <v>1</v>
      </c>
    </row>
    <row r="165" spans="2:21">
      <c r="B165" s="62" t="s">
        <v>1479</v>
      </c>
      <c r="C165" s="61" t="s">
        <v>272</v>
      </c>
      <c r="D165" s="85"/>
      <c r="E165" s="85"/>
      <c r="F165" s="85"/>
      <c r="G165" s="85"/>
      <c r="H165" s="85"/>
      <c r="I165" s="85"/>
      <c r="U165" s="217">
        <v>1</v>
      </c>
    </row>
    <row r="166" spans="2:21">
      <c r="B166" s="47" t="s">
        <v>1480</v>
      </c>
      <c r="C166" s="61" t="s">
        <v>1905</v>
      </c>
      <c r="D166" s="85" t="s">
        <v>301</v>
      </c>
      <c r="E166" s="85" t="s">
        <v>301</v>
      </c>
      <c r="F166" s="85" t="s">
        <v>301</v>
      </c>
      <c r="G166" s="85" t="s">
        <v>301</v>
      </c>
      <c r="H166" s="85" t="s">
        <v>301</v>
      </c>
      <c r="I166" s="85" t="s">
        <v>301</v>
      </c>
      <c r="U166" s="218" t="str">
        <f t="shared" ref="U166:U169" si="24">IF(COUNT(D166:I166)&lt;&gt;0,1,"")</f>
        <v/>
      </c>
    </row>
    <row r="167" spans="2:21">
      <c r="B167" s="47" t="s">
        <v>1481</v>
      </c>
      <c r="C167" s="61" t="s">
        <v>1906</v>
      </c>
      <c r="D167" s="85" t="s">
        <v>301</v>
      </c>
      <c r="E167" s="85" t="s">
        <v>301</v>
      </c>
      <c r="F167" s="85" t="s">
        <v>301</v>
      </c>
      <c r="G167" s="85" t="s">
        <v>301</v>
      </c>
      <c r="H167" s="85" t="s">
        <v>301</v>
      </c>
      <c r="I167" s="85" t="s">
        <v>301</v>
      </c>
      <c r="U167" s="218" t="str">
        <f t="shared" si="24"/>
        <v/>
      </c>
    </row>
    <row r="168" spans="2:21">
      <c r="B168" s="47" t="s">
        <v>1482</v>
      </c>
      <c r="C168" s="61" t="s">
        <v>1907</v>
      </c>
      <c r="D168" s="85" t="s">
        <v>301</v>
      </c>
      <c r="E168" s="85" t="s">
        <v>301</v>
      </c>
      <c r="F168" s="85" t="s">
        <v>301</v>
      </c>
      <c r="G168" s="85" t="s">
        <v>301</v>
      </c>
      <c r="H168" s="85" t="s">
        <v>301</v>
      </c>
      <c r="I168" s="85" t="s">
        <v>301</v>
      </c>
      <c r="U168" s="218" t="str">
        <f t="shared" si="24"/>
        <v/>
      </c>
    </row>
    <row r="169" spans="2:21">
      <c r="B169" s="47" t="s">
        <v>1483</v>
      </c>
      <c r="C169" s="61" t="s">
        <v>1908</v>
      </c>
      <c r="D169" s="85" t="s">
        <v>301</v>
      </c>
      <c r="E169" s="85" t="s">
        <v>301</v>
      </c>
      <c r="F169" s="85" t="s">
        <v>301</v>
      </c>
      <c r="G169" s="85" t="s">
        <v>301</v>
      </c>
      <c r="H169" s="85" t="s">
        <v>301</v>
      </c>
      <c r="I169" s="85" t="s">
        <v>301</v>
      </c>
      <c r="U169" s="218" t="str">
        <f t="shared" si="24"/>
        <v/>
      </c>
    </row>
    <row r="170" spans="2:21">
      <c r="B170" s="62" t="s">
        <v>1484</v>
      </c>
      <c r="C170" s="61" t="s">
        <v>272</v>
      </c>
      <c r="D170" s="85"/>
      <c r="E170" s="85"/>
      <c r="F170" s="85"/>
      <c r="G170" s="85"/>
      <c r="H170" s="85"/>
      <c r="I170" s="85"/>
      <c r="U170" s="217">
        <v>1</v>
      </c>
    </row>
    <row r="171" spans="2:21">
      <c r="B171" s="47" t="s">
        <v>1485</v>
      </c>
      <c r="C171" s="61" t="s">
        <v>1909</v>
      </c>
      <c r="D171" s="45" t="s">
        <v>301</v>
      </c>
      <c r="E171" s="45" t="s">
        <v>301</v>
      </c>
      <c r="F171" s="45" t="s">
        <v>301</v>
      </c>
      <c r="G171" s="45" t="s">
        <v>301</v>
      </c>
      <c r="H171" s="45" t="s">
        <v>301</v>
      </c>
      <c r="I171" s="45" t="s">
        <v>301</v>
      </c>
      <c r="U171" s="218" t="str">
        <f t="shared" ref="U171:U174" si="25">IF(COUNT(D171:I171)&lt;&gt;0,1,"")</f>
        <v/>
      </c>
    </row>
    <row r="172" spans="2:21">
      <c r="B172" s="47" t="s">
        <v>1486</v>
      </c>
      <c r="C172" s="61" t="s">
        <v>1910</v>
      </c>
      <c r="D172" s="45" t="s">
        <v>301</v>
      </c>
      <c r="E172" s="45" t="s">
        <v>301</v>
      </c>
      <c r="F172" s="45" t="s">
        <v>301</v>
      </c>
      <c r="G172" s="45" t="s">
        <v>301</v>
      </c>
      <c r="H172" s="45" t="s">
        <v>301</v>
      </c>
      <c r="I172" s="45" t="s">
        <v>301</v>
      </c>
      <c r="U172" s="218" t="str">
        <f t="shared" si="25"/>
        <v/>
      </c>
    </row>
    <row r="173" spans="2:21">
      <c r="B173" s="47" t="s">
        <v>1487</v>
      </c>
      <c r="C173" s="61" t="s">
        <v>1911</v>
      </c>
      <c r="D173" s="45" t="s">
        <v>301</v>
      </c>
      <c r="E173" s="45" t="s">
        <v>301</v>
      </c>
      <c r="F173" s="45" t="s">
        <v>301</v>
      </c>
      <c r="G173" s="45" t="s">
        <v>301</v>
      </c>
      <c r="H173" s="45" t="s">
        <v>301</v>
      </c>
      <c r="I173" s="45" t="s">
        <v>301</v>
      </c>
      <c r="U173" s="218" t="str">
        <f t="shared" si="25"/>
        <v/>
      </c>
    </row>
    <row r="174" spans="2:21">
      <c r="B174" s="47" t="s">
        <v>1488</v>
      </c>
      <c r="C174" s="61" t="s">
        <v>1912</v>
      </c>
      <c r="D174" s="45" t="s">
        <v>301</v>
      </c>
      <c r="E174" s="45" t="s">
        <v>301</v>
      </c>
      <c r="F174" s="45" t="s">
        <v>301</v>
      </c>
      <c r="G174" s="45" t="s">
        <v>301</v>
      </c>
      <c r="H174" s="45" t="s">
        <v>301</v>
      </c>
      <c r="I174" s="45" t="s">
        <v>301</v>
      </c>
      <c r="U174" s="218" t="str">
        <f t="shared" si="25"/>
        <v/>
      </c>
    </row>
    <row r="175" spans="2:21">
      <c r="B175" s="62" t="s">
        <v>1489</v>
      </c>
      <c r="C175" s="61" t="s">
        <v>272</v>
      </c>
      <c r="D175" s="85"/>
      <c r="E175" s="85"/>
      <c r="F175" s="85"/>
      <c r="G175" s="85"/>
      <c r="H175" s="85"/>
      <c r="I175" s="85"/>
      <c r="U175" s="217">
        <v>1</v>
      </c>
    </row>
    <row r="176" spans="2:21">
      <c r="B176" s="47" t="s">
        <v>1490</v>
      </c>
      <c r="C176" s="61" t="s">
        <v>1913</v>
      </c>
      <c r="D176" s="85" t="s">
        <v>301</v>
      </c>
      <c r="E176" s="85" t="s">
        <v>301</v>
      </c>
      <c r="F176" s="85" t="s">
        <v>301</v>
      </c>
      <c r="G176" s="85">
        <v>1.3</v>
      </c>
      <c r="H176" s="85" t="s">
        <v>301</v>
      </c>
      <c r="I176" s="85" t="s">
        <v>301</v>
      </c>
      <c r="U176" s="218">
        <f t="shared" ref="U176:U181" si="26">IF(COUNT(D176:I176)&lt;&gt;0,1,"")</f>
        <v>1</v>
      </c>
    </row>
    <row r="177" spans="2:21">
      <c r="B177" s="47" t="s">
        <v>1491</v>
      </c>
      <c r="C177" s="61" t="s">
        <v>1914</v>
      </c>
      <c r="D177" s="85" t="s">
        <v>301</v>
      </c>
      <c r="E177" s="85" t="s">
        <v>301</v>
      </c>
      <c r="F177" s="85" t="s">
        <v>301</v>
      </c>
      <c r="G177" s="85">
        <v>1.2</v>
      </c>
      <c r="H177" s="85" t="s">
        <v>301</v>
      </c>
      <c r="I177" s="85" t="s">
        <v>301</v>
      </c>
      <c r="U177" s="218">
        <f t="shared" si="26"/>
        <v>1</v>
      </c>
    </row>
    <row r="178" spans="2:21">
      <c r="B178" s="47" t="s">
        <v>1492</v>
      </c>
      <c r="C178" s="61" t="s">
        <v>1915</v>
      </c>
      <c r="D178" s="85" t="s">
        <v>301</v>
      </c>
      <c r="E178" s="85" t="s">
        <v>301</v>
      </c>
      <c r="F178" s="85" t="s">
        <v>301</v>
      </c>
      <c r="G178" s="85">
        <v>1.1000000000000001</v>
      </c>
      <c r="H178" s="85" t="s">
        <v>301</v>
      </c>
      <c r="I178" s="85" t="s">
        <v>301</v>
      </c>
      <c r="U178" s="218">
        <f t="shared" si="26"/>
        <v>1</v>
      </c>
    </row>
    <row r="179" spans="2:21">
      <c r="B179" s="47" t="s">
        <v>1493</v>
      </c>
      <c r="C179" s="61" t="s">
        <v>1916</v>
      </c>
      <c r="D179" s="85" t="s">
        <v>301</v>
      </c>
      <c r="E179" s="85" t="s">
        <v>301</v>
      </c>
      <c r="F179" s="85" t="s">
        <v>301</v>
      </c>
      <c r="G179" s="85">
        <v>1.1000000000000001</v>
      </c>
      <c r="H179" s="85" t="s">
        <v>301</v>
      </c>
      <c r="I179" s="85" t="s">
        <v>301</v>
      </c>
      <c r="U179" s="218">
        <f t="shared" si="26"/>
        <v>1</v>
      </c>
    </row>
    <row r="180" spans="2:21">
      <c r="B180" s="47" t="s">
        <v>1494</v>
      </c>
      <c r="C180" s="61" t="s">
        <v>1917</v>
      </c>
      <c r="D180" s="85" t="s">
        <v>301</v>
      </c>
      <c r="E180" s="85" t="s">
        <v>301</v>
      </c>
      <c r="F180" s="85" t="s">
        <v>301</v>
      </c>
      <c r="G180" s="85">
        <v>1</v>
      </c>
      <c r="H180" s="85" t="s">
        <v>301</v>
      </c>
      <c r="I180" s="85" t="s">
        <v>301</v>
      </c>
      <c r="U180" s="218">
        <f t="shared" si="26"/>
        <v>1</v>
      </c>
    </row>
    <row r="181" spans="2:21">
      <c r="B181" s="47" t="s">
        <v>1495</v>
      </c>
      <c r="C181" s="61" t="s">
        <v>1918</v>
      </c>
      <c r="D181" s="85" t="s">
        <v>301</v>
      </c>
      <c r="E181" s="85" t="s">
        <v>301</v>
      </c>
      <c r="F181" s="85" t="s">
        <v>301</v>
      </c>
      <c r="G181" s="85">
        <v>3.6</v>
      </c>
      <c r="H181" s="85" t="s">
        <v>301</v>
      </c>
      <c r="I181" s="85" t="s">
        <v>301</v>
      </c>
      <c r="U181" s="218">
        <f t="shared" si="26"/>
        <v>1</v>
      </c>
    </row>
    <row r="182" spans="2:21">
      <c r="B182" s="62" t="s">
        <v>1496</v>
      </c>
      <c r="C182" s="61" t="s">
        <v>272</v>
      </c>
      <c r="D182" s="85"/>
      <c r="E182" s="85"/>
      <c r="F182" s="85"/>
      <c r="G182" s="85"/>
      <c r="H182" s="85"/>
      <c r="I182" s="85"/>
      <c r="U182" s="217">
        <v>1</v>
      </c>
    </row>
    <row r="183" spans="2:21">
      <c r="B183" s="47" t="s">
        <v>1497</v>
      </c>
      <c r="C183" s="61" t="s">
        <v>1919</v>
      </c>
      <c r="D183" s="85" t="s">
        <v>301</v>
      </c>
      <c r="E183" s="85" t="s">
        <v>301</v>
      </c>
      <c r="F183" s="85" t="s">
        <v>301</v>
      </c>
      <c r="G183" s="85" t="s">
        <v>301</v>
      </c>
      <c r="H183" s="85" t="s">
        <v>301</v>
      </c>
      <c r="I183" s="85" t="s">
        <v>301</v>
      </c>
      <c r="U183" s="218" t="str">
        <f t="shared" ref="U183:U190" si="27">IF(COUNT(D183:I183)&lt;&gt;0,1,"")</f>
        <v/>
      </c>
    </row>
    <row r="184" spans="2:21">
      <c r="B184" s="47" t="s">
        <v>1498</v>
      </c>
      <c r="C184" s="61" t="s">
        <v>1920</v>
      </c>
      <c r="D184" s="85" t="s">
        <v>301</v>
      </c>
      <c r="E184" s="85" t="s">
        <v>301</v>
      </c>
      <c r="F184" s="85" t="s">
        <v>301</v>
      </c>
      <c r="G184" s="85" t="s">
        <v>301</v>
      </c>
      <c r="H184" s="85" t="s">
        <v>301</v>
      </c>
      <c r="I184" s="85" t="s">
        <v>301</v>
      </c>
      <c r="U184" s="218" t="str">
        <f t="shared" si="27"/>
        <v/>
      </c>
    </row>
    <row r="185" spans="2:21">
      <c r="B185" s="47" t="s">
        <v>1499</v>
      </c>
      <c r="C185" s="61" t="s">
        <v>1921</v>
      </c>
      <c r="D185" s="85" t="s">
        <v>301</v>
      </c>
      <c r="E185" s="85" t="s">
        <v>301</v>
      </c>
      <c r="F185" s="85" t="s">
        <v>301</v>
      </c>
      <c r="G185" s="85" t="s">
        <v>301</v>
      </c>
      <c r="H185" s="85" t="s">
        <v>301</v>
      </c>
      <c r="I185" s="85" t="s">
        <v>301</v>
      </c>
      <c r="U185" s="218" t="str">
        <f t="shared" si="27"/>
        <v/>
      </c>
    </row>
    <row r="186" spans="2:21">
      <c r="B186" s="47" t="s">
        <v>1500</v>
      </c>
      <c r="C186" s="61" t="s">
        <v>1922</v>
      </c>
      <c r="D186" s="85" t="s">
        <v>301</v>
      </c>
      <c r="E186" s="85" t="s">
        <v>301</v>
      </c>
      <c r="F186" s="85" t="s">
        <v>301</v>
      </c>
      <c r="G186" s="85" t="s">
        <v>301</v>
      </c>
      <c r="H186" s="85" t="s">
        <v>301</v>
      </c>
      <c r="I186" s="85" t="s">
        <v>301</v>
      </c>
      <c r="U186" s="218" t="str">
        <f t="shared" si="27"/>
        <v/>
      </c>
    </row>
    <row r="187" spans="2:21">
      <c r="B187" s="47" t="s">
        <v>1501</v>
      </c>
      <c r="C187" s="61" t="s">
        <v>1923</v>
      </c>
      <c r="D187" s="85" t="s">
        <v>301</v>
      </c>
      <c r="E187" s="85" t="s">
        <v>301</v>
      </c>
      <c r="F187" s="85" t="s">
        <v>301</v>
      </c>
      <c r="G187" s="85" t="s">
        <v>301</v>
      </c>
      <c r="H187" s="85" t="s">
        <v>301</v>
      </c>
      <c r="I187" s="85" t="s">
        <v>301</v>
      </c>
      <c r="U187" s="218" t="str">
        <f t="shared" si="27"/>
        <v/>
      </c>
    </row>
    <row r="188" spans="2:21">
      <c r="B188" s="47" t="s">
        <v>1502</v>
      </c>
      <c r="C188" s="61" t="s">
        <v>1924</v>
      </c>
      <c r="D188" s="85" t="s">
        <v>301</v>
      </c>
      <c r="E188" s="85" t="s">
        <v>301</v>
      </c>
      <c r="F188" s="85" t="s">
        <v>301</v>
      </c>
      <c r="G188" s="85" t="s">
        <v>301</v>
      </c>
      <c r="H188" s="85" t="s">
        <v>301</v>
      </c>
      <c r="I188" s="85" t="s">
        <v>301</v>
      </c>
      <c r="U188" s="218" t="str">
        <f t="shared" si="27"/>
        <v/>
      </c>
    </row>
    <row r="189" spans="2:21">
      <c r="B189" s="47" t="s">
        <v>1503</v>
      </c>
      <c r="C189" s="61" t="s">
        <v>1925</v>
      </c>
      <c r="D189" s="85" t="s">
        <v>301</v>
      </c>
      <c r="E189" s="85" t="s">
        <v>301</v>
      </c>
      <c r="F189" s="85" t="s">
        <v>301</v>
      </c>
      <c r="G189" s="85" t="s">
        <v>301</v>
      </c>
      <c r="H189" s="85" t="s">
        <v>301</v>
      </c>
      <c r="I189" s="85" t="s">
        <v>301</v>
      </c>
      <c r="U189" s="218" t="str">
        <f t="shared" si="27"/>
        <v/>
      </c>
    </row>
    <row r="190" spans="2:21">
      <c r="B190" s="47" t="s">
        <v>1504</v>
      </c>
      <c r="C190" s="61" t="s">
        <v>1926</v>
      </c>
      <c r="D190" s="85" t="s">
        <v>301</v>
      </c>
      <c r="E190" s="85" t="s">
        <v>301</v>
      </c>
      <c r="F190" s="85" t="s">
        <v>301</v>
      </c>
      <c r="G190" s="85" t="s">
        <v>301</v>
      </c>
      <c r="H190" s="85" t="s">
        <v>301</v>
      </c>
      <c r="I190" s="85" t="s">
        <v>301</v>
      </c>
      <c r="U190" s="218" t="str">
        <f t="shared" si="27"/>
        <v/>
      </c>
    </row>
    <row r="191" spans="2:21">
      <c r="B191" s="62" t="s">
        <v>1505</v>
      </c>
      <c r="C191" s="61" t="s">
        <v>272</v>
      </c>
      <c r="D191" s="85"/>
      <c r="E191" s="85"/>
      <c r="F191" s="85"/>
      <c r="G191" s="85"/>
      <c r="H191" s="85"/>
      <c r="I191" s="85"/>
      <c r="U191" s="217">
        <v>1</v>
      </c>
    </row>
    <row r="192" spans="2:21">
      <c r="B192" s="47" t="s">
        <v>1506</v>
      </c>
      <c r="C192" s="61" t="s">
        <v>1927</v>
      </c>
      <c r="D192" s="85" t="s">
        <v>301</v>
      </c>
      <c r="E192" s="85" t="s">
        <v>301</v>
      </c>
      <c r="F192" s="85" t="s">
        <v>301</v>
      </c>
      <c r="G192" s="85" t="s">
        <v>301</v>
      </c>
      <c r="H192" s="85" t="s">
        <v>301</v>
      </c>
      <c r="I192" s="85" t="s">
        <v>301</v>
      </c>
      <c r="U192" s="218" t="str">
        <f t="shared" ref="U192:U194" si="28">IF(COUNT(D192:I192)&lt;&gt;0,1,"")</f>
        <v/>
      </c>
    </row>
    <row r="193" spans="2:21">
      <c r="B193" s="47" t="s">
        <v>1507</v>
      </c>
      <c r="C193" s="61" t="s">
        <v>1928</v>
      </c>
      <c r="D193" s="85" t="s">
        <v>301</v>
      </c>
      <c r="E193" s="85" t="s">
        <v>301</v>
      </c>
      <c r="F193" s="85" t="s">
        <v>301</v>
      </c>
      <c r="G193" s="85" t="s">
        <v>301</v>
      </c>
      <c r="H193" s="85" t="s">
        <v>301</v>
      </c>
      <c r="I193" s="85" t="s">
        <v>301</v>
      </c>
      <c r="U193" s="218" t="str">
        <f t="shared" si="28"/>
        <v/>
      </c>
    </row>
    <row r="194" spans="2:21">
      <c r="B194" s="47" t="s">
        <v>1508</v>
      </c>
      <c r="C194" s="61" t="s">
        <v>1929</v>
      </c>
      <c r="D194" s="85" t="s">
        <v>301</v>
      </c>
      <c r="E194" s="85" t="s">
        <v>301</v>
      </c>
      <c r="F194" s="85" t="s">
        <v>301</v>
      </c>
      <c r="G194" s="85">
        <v>-9.2000000000000011</v>
      </c>
      <c r="H194" s="85" t="s">
        <v>301</v>
      </c>
      <c r="I194" s="85" t="s">
        <v>301</v>
      </c>
      <c r="U194" s="218">
        <f t="shared" si="28"/>
        <v>1</v>
      </c>
    </row>
    <row r="195" spans="2:21">
      <c r="B195" s="62" t="s">
        <v>1521</v>
      </c>
      <c r="C195" s="61" t="s">
        <v>272</v>
      </c>
      <c r="D195" s="85"/>
      <c r="E195" s="85"/>
      <c r="F195" s="85"/>
      <c r="G195" s="85"/>
      <c r="H195" s="85"/>
      <c r="I195" s="85"/>
      <c r="U195" s="217">
        <v>1</v>
      </c>
    </row>
    <row r="196" spans="2:21">
      <c r="B196" s="47" t="s">
        <v>1522</v>
      </c>
      <c r="C196" s="61" t="s">
        <v>1930</v>
      </c>
      <c r="D196" s="85" t="s">
        <v>301</v>
      </c>
      <c r="E196" s="85" t="s">
        <v>301</v>
      </c>
      <c r="F196" s="85" t="s">
        <v>301</v>
      </c>
      <c r="G196" s="85" t="s">
        <v>301</v>
      </c>
      <c r="H196" s="85" t="s">
        <v>301</v>
      </c>
      <c r="I196" s="85" t="s">
        <v>301</v>
      </c>
      <c r="U196" s="218" t="str">
        <f t="shared" ref="U196:U199" si="29">IF(COUNT(D196:I196)&lt;&gt;0,1,"")</f>
        <v/>
      </c>
    </row>
    <row r="197" spans="2:21">
      <c r="B197" s="47" t="s">
        <v>1523</v>
      </c>
      <c r="C197" s="61" t="s">
        <v>1931</v>
      </c>
      <c r="D197" s="85" t="s">
        <v>301</v>
      </c>
      <c r="E197" s="85" t="s">
        <v>301</v>
      </c>
      <c r="F197" s="85" t="s">
        <v>301</v>
      </c>
      <c r="G197" s="85" t="s">
        <v>301</v>
      </c>
      <c r="H197" s="85" t="s">
        <v>301</v>
      </c>
      <c r="I197" s="85" t="s">
        <v>301</v>
      </c>
      <c r="U197" s="218" t="str">
        <f t="shared" si="29"/>
        <v/>
      </c>
    </row>
    <row r="198" spans="2:21">
      <c r="B198" s="47" t="s">
        <v>1524</v>
      </c>
      <c r="C198" s="61" t="s">
        <v>1932</v>
      </c>
      <c r="D198" s="85" t="s">
        <v>301</v>
      </c>
      <c r="E198" s="85" t="s">
        <v>301</v>
      </c>
      <c r="F198" s="85" t="s">
        <v>301</v>
      </c>
      <c r="G198" s="85" t="s">
        <v>301</v>
      </c>
      <c r="H198" s="85" t="s">
        <v>301</v>
      </c>
      <c r="I198" s="85" t="s">
        <v>301</v>
      </c>
      <c r="U198" s="218" t="str">
        <f t="shared" si="29"/>
        <v/>
      </c>
    </row>
    <row r="199" spans="2:21">
      <c r="B199" s="47" t="s">
        <v>1525</v>
      </c>
      <c r="C199" s="61" t="s">
        <v>1933</v>
      </c>
      <c r="D199" s="85" t="s">
        <v>301</v>
      </c>
      <c r="E199" s="85" t="s">
        <v>301</v>
      </c>
      <c r="F199" s="85" t="s">
        <v>301</v>
      </c>
      <c r="G199" s="85" t="s">
        <v>301</v>
      </c>
      <c r="H199" s="85" t="s">
        <v>301</v>
      </c>
      <c r="I199" s="85" t="s">
        <v>301</v>
      </c>
      <c r="U199" s="218" t="str">
        <f t="shared" si="29"/>
        <v/>
      </c>
    </row>
    <row r="200" spans="2:21">
      <c r="B200" s="62" t="s">
        <v>1526</v>
      </c>
      <c r="C200" s="61" t="s">
        <v>272</v>
      </c>
      <c r="D200" s="85"/>
      <c r="E200" s="85"/>
      <c r="F200" s="85"/>
      <c r="G200" s="85"/>
      <c r="H200" s="85"/>
      <c r="I200" s="85"/>
      <c r="U200" s="217">
        <v>1</v>
      </c>
    </row>
    <row r="201" spans="2:21">
      <c r="B201" s="47" t="s">
        <v>1527</v>
      </c>
      <c r="C201" s="61" t="s">
        <v>1934</v>
      </c>
      <c r="D201" s="85" t="s">
        <v>301</v>
      </c>
      <c r="E201" s="85" t="s">
        <v>301</v>
      </c>
      <c r="F201" s="85" t="s">
        <v>301</v>
      </c>
      <c r="G201" s="85" t="s">
        <v>301</v>
      </c>
      <c r="H201" s="85" t="s">
        <v>301</v>
      </c>
      <c r="I201" s="85" t="s">
        <v>301</v>
      </c>
      <c r="U201" s="218" t="str">
        <f t="shared" ref="U201:U202" si="30">IF(COUNT(D201:I201)&lt;&gt;0,1,"")</f>
        <v/>
      </c>
    </row>
    <row r="202" spans="2:21">
      <c r="B202" s="47" t="s">
        <v>1528</v>
      </c>
      <c r="C202" s="61" t="s">
        <v>1935</v>
      </c>
      <c r="D202" s="85" t="s">
        <v>301</v>
      </c>
      <c r="E202" s="85" t="s">
        <v>301</v>
      </c>
      <c r="F202" s="85" t="s">
        <v>301</v>
      </c>
      <c r="G202" s="85" t="s">
        <v>301</v>
      </c>
      <c r="H202" s="85" t="s">
        <v>301</v>
      </c>
      <c r="I202" s="85" t="s">
        <v>301</v>
      </c>
      <c r="U202" s="218" t="str">
        <f t="shared" si="30"/>
        <v/>
      </c>
    </row>
    <row r="203" spans="2:21">
      <c r="B203" s="47"/>
      <c r="C203" s="61" t="s">
        <v>272</v>
      </c>
      <c r="D203" s="85"/>
      <c r="E203" s="85"/>
      <c r="F203" s="85"/>
      <c r="G203" s="85"/>
      <c r="H203" s="85"/>
      <c r="I203" s="85"/>
      <c r="U203" s="217">
        <v>1</v>
      </c>
    </row>
    <row r="204" spans="2:21">
      <c r="B204" s="62" t="s">
        <v>1529</v>
      </c>
      <c r="C204" s="61" t="s">
        <v>272</v>
      </c>
      <c r="D204" s="85"/>
      <c r="E204" s="85"/>
      <c r="F204" s="85"/>
      <c r="G204" s="85"/>
      <c r="H204" s="85"/>
      <c r="I204" s="85"/>
      <c r="U204" s="217">
        <v>1</v>
      </c>
    </row>
    <row r="205" spans="2:21">
      <c r="B205" s="62" t="s">
        <v>1425</v>
      </c>
      <c r="C205" s="61" t="s">
        <v>272</v>
      </c>
      <c r="D205" s="85"/>
      <c r="E205" s="85"/>
      <c r="F205" s="85"/>
      <c r="G205" s="85"/>
      <c r="H205" s="85"/>
      <c r="I205" s="85"/>
      <c r="U205" s="217">
        <v>1</v>
      </c>
    </row>
    <row r="206" spans="2:21">
      <c r="B206" s="47" t="s">
        <v>1436</v>
      </c>
      <c r="C206" s="61" t="s">
        <v>1936</v>
      </c>
      <c r="D206" s="85">
        <v>0.70000000000000007</v>
      </c>
      <c r="E206" s="85">
        <v>0.70000000000000007</v>
      </c>
      <c r="F206" s="85">
        <v>0.6</v>
      </c>
      <c r="G206" s="85" t="s">
        <v>301</v>
      </c>
      <c r="H206" s="85">
        <v>0.8</v>
      </c>
      <c r="I206" s="85">
        <v>0.70000000000000007</v>
      </c>
      <c r="U206" s="218">
        <f t="shared" ref="U206:U212" si="31">IF(COUNT(D206:I206)&lt;&gt;0,1,"")</f>
        <v>1</v>
      </c>
    </row>
    <row r="207" spans="2:21">
      <c r="B207" s="47" t="s">
        <v>1530</v>
      </c>
      <c r="C207" s="61" t="s">
        <v>1937</v>
      </c>
      <c r="D207" s="85">
        <v>12.6</v>
      </c>
      <c r="E207" s="85">
        <v>12.5</v>
      </c>
      <c r="F207" s="85">
        <v>12.6</v>
      </c>
      <c r="G207" s="85" t="s">
        <v>301</v>
      </c>
      <c r="H207" s="85">
        <v>11.9</v>
      </c>
      <c r="I207" s="85">
        <v>11.9</v>
      </c>
      <c r="U207" s="218">
        <f t="shared" si="31"/>
        <v>1</v>
      </c>
    </row>
    <row r="208" spans="2:21">
      <c r="B208" s="47" t="s">
        <v>1531</v>
      </c>
      <c r="C208" s="61" t="s">
        <v>1938</v>
      </c>
      <c r="D208" s="85">
        <v>-11.9</v>
      </c>
      <c r="E208" s="85">
        <v>-11.8</v>
      </c>
      <c r="F208" s="85">
        <v>-11.8</v>
      </c>
      <c r="G208" s="85" t="s">
        <v>301</v>
      </c>
      <c r="H208" s="85">
        <v>-11.200000000000001</v>
      </c>
      <c r="I208" s="85">
        <v>-11.200000000000001</v>
      </c>
      <c r="U208" s="218">
        <f t="shared" si="31"/>
        <v>1</v>
      </c>
    </row>
    <row r="209" spans="2:21">
      <c r="B209" s="47" t="s">
        <v>1532</v>
      </c>
      <c r="C209" s="61" t="s">
        <v>1939</v>
      </c>
      <c r="D209" s="85">
        <v>4</v>
      </c>
      <c r="E209" s="85">
        <v>3.9</v>
      </c>
      <c r="F209" s="85">
        <v>3.7</v>
      </c>
      <c r="G209" s="85" t="s">
        <v>301</v>
      </c>
      <c r="H209" s="85">
        <v>3.6</v>
      </c>
      <c r="I209" s="85">
        <v>3.6</v>
      </c>
      <c r="U209" s="218">
        <f t="shared" si="31"/>
        <v>1</v>
      </c>
    </row>
    <row r="210" spans="2:21">
      <c r="B210" s="47" t="s">
        <v>1533</v>
      </c>
      <c r="C210" s="61" t="s">
        <v>1940</v>
      </c>
      <c r="D210" s="85">
        <v>5.4</v>
      </c>
      <c r="E210" s="85">
        <v>5.3</v>
      </c>
      <c r="F210" s="85">
        <v>5.1000000000000005</v>
      </c>
      <c r="G210" s="85" t="s">
        <v>301</v>
      </c>
      <c r="H210" s="85">
        <v>5.1000000000000005</v>
      </c>
      <c r="I210" s="85">
        <v>5</v>
      </c>
      <c r="U210" s="218">
        <f t="shared" si="31"/>
        <v>1</v>
      </c>
    </row>
    <row r="211" spans="2:21">
      <c r="B211" s="47" t="s">
        <v>1431</v>
      </c>
      <c r="C211" s="61" t="s">
        <v>1941</v>
      </c>
      <c r="D211" s="85" t="s">
        <v>301</v>
      </c>
      <c r="E211" s="85" t="s">
        <v>301</v>
      </c>
      <c r="F211" s="85" t="s">
        <v>301</v>
      </c>
      <c r="G211" s="85" t="s">
        <v>301</v>
      </c>
      <c r="H211" s="85" t="s">
        <v>301</v>
      </c>
      <c r="I211" s="85" t="s">
        <v>301</v>
      </c>
      <c r="U211" s="218" t="str">
        <f t="shared" si="31"/>
        <v/>
      </c>
    </row>
    <row r="212" spans="2:21">
      <c r="B212" s="47" t="s">
        <v>1534</v>
      </c>
      <c r="C212" s="61" t="s">
        <v>1942</v>
      </c>
      <c r="D212" s="85" t="s">
        <v>301</v>
      </c>
      <c r="E212" s="85" t="s">
        <v>301</v>
      </c>
      <c r="F212" s="85" t="s">
        <v>301</v>
      </c>
      <c r="G212" s="85" t="s">
        <v>301</v>
      </c>
      <c r="H212" s="85" t="s">
        <v>301</v>
      </c>
      <c r="I212" s="85" t="s">
        <v>301</v>
      </c>
      <c r="U212" s="218" t="str">
        <f t="shared" si="31"/>
        <v/>
      </c>
    </row>
    <row r="213" spans="2:21">
      <c r="B213" s="62" t="s">
        <v>1434</v>
      </c>
      <c r="C213" s="61" t="s">
        <v>272</v>
      </c>
      <c r="D213" s="85"/>
      <c r="E213" s="85"/>
      <c r="F213" s="85"/>
      <c r="G213" s="85"/>
      <c r="H213" s="85"/>
      <c r="I213" s="85"/>
      <c r="U213" s="217">
        <v>1</v>
      </c>
    </row>
    <row r="214" spans="2:21">
      <c r="B214" s="47" t="s">
        <v>1535</v>
      </c>
      <c r="C214" s="61" t="s">
        <v>1943</v>
      </c>
      <c r="D214" s="85" t="s">
        <v>301</v>
      </c>
      <c r="E214" s="85" t="s">
        <v>301</v>
      </c>
      <c r="F214" s="85" t="s">
        <v>301</v>
      </c>
      <c r="G214" s="85">
        <v>1044.3</v>
      </c>
      <c r="H214" s="85" t="s">
        <v>301</v>
      </c>
      <c r="I214" s="85" t="s">
        <v>301</v>
      </c>
      <c r="U214" s="218">
        <f t="shared" ref="U214:U225" si="32">IF(COUNT(D214:I214)&lt;&gt;0,1,"")</f>
        <v>1</v>
      </c>
    </row>
    <row r="215" spans="2:21">
      <c r="B215" s="47" t="s">
        <v>1436</v>
      </c>
      <c r="C215" s="61" t="s">
        <v>1944</v>
      </c>
      <c r="D215" s="85" t="s">
        <v>301</v>
      </c>
      <c r="E215" s="85" t="s">
        <v>301</v>
      </c>
      <c r="F215" s="85" t="s">
        <v>301</v>
      </c>
      <c r="G215" s="85">
        <v>2.6</v>
      </c>
      <c r="H215" s="85" t="s">
        <v>301</v>
      </c>
      <c r="I215" s="85" t="s">
        <v>301</v>
      </c>
      <c r="U215" s="218">
        <f t="shared" si="32"/>
        <v>1</v>
      </c>
    </row>
    <row r="216" spans="2:21">
      <c r="B216" s="47" t="s">
        <v>1530</v>
      </c>
      <c r="C216" s="61" t="s">
        <v>1945</v>
      </c>
      <c r="D216" s="85" t="s">
        <v>301</v>
      </c>
      <c r="E216" s="85" t="s">
        <v>301</v>
      </c>
      <c r="F216" s="85" t="s">
        <v>301</v>
      </c>
      <c r="G216" s="85">
        <v>50.4</v>
      </c>
      <c r="H216" s="85" t="s">
        <v>301</v>
      </c>
      <c r="I216" s="85" t="s">
        <v>301</v>
      </c>
      <c r="U216" s="218">
        <f t="shared" si="32"/>
        <v>1</v>
      </c>
    </row>
    <row r="217" spans="2:21">
      <c r="B217" s="47" t="s">
        <v>1536</v>
      </c>
      <c r="C217" s="61" t="s">
        <v>1946</v>
      </c>
      <c r="D217" s="85" t="s">
        <v>301</v>
      </c>
      <c r="E217" s="85" t="s">
        <v>301</v>
      </c>
      <c r="F217" s="85" t="s">
        <v>301</v>
      </c>
      <c r="G217" s="85" t="s">
        <v>301</v>
      </c>
      <c r="H217" s="85" t="s">
        <v>301</v>
      </c>
      <c r="I217" s="85" t="s">
        <v>301</v>
      </c>
      <c r="U217" s="218" t="str">
        <f t="shared" si="32"/>
        <v/>
      </c>
    </row>
    <row r="218" spans="2:21">
      <c r="B218" s="47" t="s">
        <v>1537</v>
      </c>
      <c r="C218" s="61" t="s">
        <v>1947</v>
      </c>
      <c r="D218" s="85" t="s">
        <v>301</v>
      </c>
      <c r="E218" s="85" t="s">
        <v>301</v>
      </c>
      <c r="F218" s="85" t="s">
        <v>301</v>
      </c>
      <c r="G218" s="85">
        <v>19</v>
      </c>
      <c r="H218" s="85" t="s">
        <v>301</v>
      </c>
      <c r="I218" s="85" t="s">
        <v>301</v>
      </c>
      <c r="U218" s="218">
        <f t="shared" si="32"/>
        <v>1</v>
      </c>
    </row>
    <row r="219" spans="2:21">
      <c r="B219" s="47" t="s">
        <v>1439</v>
      </c>
      <c r="C219" s="61" t="s">
        <v>1948</v>
      </c>
      <c r="D219" s="85" t="s">
        <v>301</v>
      </c>
      <c r="E219" s="85" t="s">
        <v>301</v>
      </c>
      <c r="F219" s="85" t="s">
        <v>301</v>
      </c>
      <c r="G219" s="85">
        <v>-83.100000000000009</v>
      </c>
      <c r="H219" s="85" t="s">
        <v>301</v>
      </c>
      <c r="I219" s="85" t="s">
        <v>301</v>
      </c>
      <c r="U219" s="218">
        <f t="shared" si="32"/>
        <v>1</v>
      </c>
    </row>
    <row r="220" spans="2:21">
      <c r="B220" s="47" t="s">
        <v>1538</v>
      </c>
      <c r="C220" s="61" t="s">
        <v>1949</v>
      </c>
      <c r="D220" s="85" t="s">
        <v>301</v>
      </c>
      <c r="E220" s="85" t="s">
        <v>301</v>
      </c>
      <c r="F220" s="85" t="s">
        <v>301</v>
      </c>
      <c r="G220" s="85" t="s">
        <v>301</v>
      </c>
      <c r="H220" s="85" t="s">
        <v>301</v>
      </c>
      <c r="I220" s="85" t="s">
        <v>301</v>
      </c>
      <c r="U220" s="218" t="str">
        <f t="shared" si="32"/>
        <v/>
      </c>
    </row>
    <row r="221" spans="2:21">
      <c r="B221" s="47" t="s">
        <v>1539</v>
      </c>
      <c r="C221" s="61" t="s">
        <v>1950</v>
      </c>
      <c r="D221" s="85" t="s">
        <v>301</v>
      </c>
      <c r="E221" s="85" t="s">
        <v>301</v>
      </c>
      <c r="F221" s="85" t="s">
        <v>301</v>
      </c>
      <c r="G221" s="85" t="s">
        <v>301</v>
      </c>
      <c r="H221" s="85" t="s">
        <v>301</v>
      </c>
      <c r="I221" s="85" t="s">
        <v>301</v>
      </c>
      <c r="U221" s="218" t="str">
        <f t="shared" si="32"/>
        <v/>
      </c>
    </row>
    <row r="222" spans="2:21">
      <c r="B222" s="47" t="s">
        <v>1540</v>
      </c>
      <c r="C222" s="61" t="s">
        <v>1951</v>
      </c>
      <c r="D222" s="85" t="s">
        <v>301</v>
      </c>
      <c r="E222" s="85" t="s">
        <v>301</v>
      </c>
      <c r="F222" s="85" t="s">
        <v>301</v>
      </c>
      <c r="G222" s="85">
        <v>-1</v>
      </c>
      <c r="H222" s="85" t="s">
        <v>301</v>
      </c>
      <c r="I222" s="85" t="s">
        <v>301</v>
      </c>
      <c r="U222" s="218">
        <f t="shared" si="32"/>
        <v>1</v>
      </c>
    </row>
    <row r="223" spans="2:21">
      <c r="B223" s="47" t="s">
        <v>1541</v>
      </c>
      <c r="C223" s="61" t="s">
        <v>1952</v>
      </c>
      <c r="D223" s="85" t="s">
        <v>301</v>
      </c>
      <c r="E223" s="85" t="s">
        <v>301</v>
      </c>
      <c r="F223" s="85" t="s">
        <v>301</v>
      </c>
      <c r="G223" s="85" t="s">
        <v>301</v>
      </c>
      <c r="H223" s="85" t="s">
        <v>301</v>
      </c>
      <c r="I223" s="85" t="s">
        <v>301</v>
      </c>
      <c r="U223" s="218" t="str">
        <f t="shared" si="32"/>
        <v/>
      </c>
    </row>
    <row r="224" spans="2:21">
      <c r="B224" s="47" t="s">
        <v>1542</v>
      </c>
      <c r="C224" s="61" t="s">
        <v>1953</v>
      </c>
      <c r="D224" s="85" t="s">
        <v>301</v>
      </c>
      <c r="E224" s="85" t="s">
        <v>301</v>
      </c>
      <c r="F224" s="85" t="s">
        <v>301</v>
      </c>
      <c r="G224" s="85">
        <v>1032.2</v>
      </c>
      <c r="H224" s="85" t="s">
        <v>301</v>
      </c>
      <c r="I224" s="85" t="s">
        <v>301</v>
      </c>
      <c r="U224" s="218">
        <f t="shared" si="32"/>
        <v>1</v>
      </c>
    </row>
    <row r="225" spans="2:21">
      <c r="B225" s="47" t="s">
        <v>1543</v>
      </c>
      <c r="C225" s="61" t="s">
        <v>1954</v>
      </c>
      <c r="D225" s="85" t="s">
        <v>301</v>
      </c>
      <c r="E225" s="85" t="s">
        <v>301</v>
      </c>
      <c r="F225" s="85" t="s">
        <v>301</v>
      </c>
      <c r="G225" s="85">
        <v>1027</v>
      </c>
      <c r="H225" s="85" t="s">
        <v>301</v>
      </c>
      <c r="I225" s="85" t="s">
        <v>301</v>
      </c>
      <c r="U225" s="218">
        <f t="shared" si="32"/>
        <v>1</v>
      </c>
    </row>
    <row r="226" spans="2:21">
      <c r="B226" s="62" t="s">
        <v>1446</v>
      </c>
      <c r="C226" s="61" t="s">
        <v>272</v>
      </c>
      <c r="D226" s="85"/>
      <c r="E226" s="85"/>
      <c r="F226" s="85"/>
      <c r="G226" s="85"/>
      <c r="H226" s="85"/>
      <c r="I226" s="85"/>
      <c r="U226" s="217">
        <v>1</v>
      </c>
    </row>
    <row r="227" spans="2:21">
      <c r="B227" s="47" t="s">
        <v>1544</v>
      </c>
      <c r="C227" s="61" t="s">
        <v>1955</v>
      </c>
      <c r="D227" s="85" t="s">
        <v>301</v>
      </c>
      <c r="E227" s="85" t="s">
        <v>301</v>
      </c>
      <c r="F227" s="85" t="s">
        <v>301</v>
      </c>
      <c r="G227" s="85">
        <v>1044.0999999999999</v>
      </c>
      <c r="H227" s="85" t="s">
        <v>301</v>
      </c>
      <c r="I227" s="85" t="s">
        <v>301</v>
      </c>
      <c r="U227" s="218">
        <f t="shared" ref="U227:U236" si="33">IF(COUNT(D227:I227)&lt;&gt;0,1,"")</f>
        <v>1</v>
      </c>
    </row>
    <row r="228" spans="2:21">
      <c r="B228" s="47" t="s">
        <v>1545</v>
      </c>
      <c r="C228" s="61" t="s">
        <v>1956</v>
      </c>
      <c r="D228" s="85" t="s">
        <v>301</v>
      </c>
      <c r="E228" s="85" t="s">
        <v>301</v>
      </c>
      <c r="F228" s="85" t="s">
        <v>301</v>
      </c>
      <c r="G228" s="85">
        <v>79.2</v>
      </c>
      <c r="H228" s="85" t="s">
        <v>301</v>
      </c>
      <c r="I228" s="85" t="s">
        <v>301</v>
      </c>
      <c r="U228" s="218">
        <f t="shared" si="33"/>
        <v>1</v>
      </c>
    </row>
    <row r="229" spans="2:21">
      <c r="B229" s="47" t="s">
        <v>1546</v>
      </c>
      <c r="C229" s="61" t="s">
        <v>1957</v>
      </c>
      <c r="D229" s="85" t="s">
        <v>301</v>
      </c>
      <c r="E229" s="85" t="s">
        <v>301</v>
      </c>
      <c r="F229" s="85" t="s">
        <v>301</v>
      </c>
      <c r="G229" s="85">
        <v>1.2</v>
      </c>
      <c r="H229" s="85" t="s">
        <v>301</v>
      </c>
      <c r="I229" s="85" t="s">
        <v>301</v>
      </c>
      <c r="U229" s="218">
        <f t="shared" si="33"/>
        <v>1</v>
      </c>
    </row>
    <row r="230" spans="2:21">
      <c r="B230" s="47" t="s">
        <v>1547</v>
      </c>
      <c r="C230" s="61" t="s">
        <v>1958</v>
      </c>
      <c r="D230" s="85" t="s">
        <v>301</v>
      </c>
      <c r="E230" s="85" t="s">
        <v>301</v>
      </c>
      <c r="F230" s="85" t="s">
        <v>301</v>
      </c>
      <c r="G230" s="85" t="s">
        <v>301</v>
      </c>
      <c r="H230" s="85" t="s">
        <v>301</v>
      </c>
      <c r="I230" s="85" t="s">
        <v>301</v>
      </c>
      <c r="U230" s="218" t="str">
        <f t="shared" si="33"/>
        <v/>
      </c>
    </row>
    <row r="231" spans="2:21">
      <c r="B231" s="47" t="s">
        <v>1548</v>
      </c>
      <c r="C231" s="61" t="s">
        <v>1959</v>
      </c>
      <c r="D231" s="85" t="s">
        <v>301</v>
      </c>
      <c r="E231" s="85" t="s">
        <v>301</v>
      </c>
      <c r="F231" s="85" t="s">
        <v>301</v>
      </c>
      <c r="G231" s="85">
        <v>-83.100000000000009</v>
      </c>
      <c r="H231" s="85" t="s">
        <v>301</v>
      </c>
      <c r="I231" s="85" t="s">
        <v>301</v>
      </c>
      <c r="U231" s="218">
        <f t="shared" si="33"/>
        <v>1</v>
      </c>
    </row>
    <row r="232" spans="2:21">
      <c r="B232" s="47" t="s">
        <v>1549</v>
      </c>
      <c r="C232" s="61" t="s">
        <v>1960</v>
      </c>
      <c r="D232" s="85" t="s">
        <v>301</v>
      </c>
      <c r="E232" s="85" t="s">
        <v>301</v>
      </c>
      <c r="F232" s="85" t="s">
        <v>301</v>
      </c>
      <c r="G232" s="85">
        <v>0.3</v>
      </c>
      <c r="H232" s="85" t="s">
        <v>301</v>
      </c>
      <c r="I232" s="85" t="s">
        <v>301</v>
      </c>
      <c r="U232" s="218">
        <f t="shared" si="33"/>
        <v>1</v>
      </c>
    </row>
    <row r="233" spans="2:21">
      <c r="B233" s="47" t="s">
        <v>1550</v>
      </c>
      <c r="C233" s="61" t="s">
        <v>1961</v>
      </c>
      <c r="D233" s="85" t="s">
        <v>301</v>
      </c>
      <c r="E233" s="85" t="s">
        <v>301</v>
      </c>
      <c r="F233" s="85" t="s">
        <v>301</v>
      </c>
      <c r="G233" s="85" t="s">
        <v>301</v>
      </c>
      <c r="H233" s="85" t="s">
        <v>301</v>
      </c>
      <c r="I233" s="85" t="s">
        <v>301</v>
      </c>
      <c r="U233" s="218" t="str">
        <f t="shared" si="33"/>
        <v/>
      </c>
    </row>
    <row r="234" spans="2:21">
      <c r="B234" s="47" t="s">
        <v>1551</v>
      </c>
      <c r="C234" s="61" t="s">
        <v>1962</v>
      </c>
      <c r="D234" s="85" t="s">
        <v>301</v>
      </c>
      <c r="E234" s="85" t="s">
        <v>301</v>
      </c>
      <c r="F234" s="85" t="s">
        <v>301</v>
      </c>
      <c r="G234" s="85">
        <v>-0.4</v>
      </c>
      <c r="H234" s="85" t="s">
        <v>301</v>
      </c>
      <c r="I234" s="85" t="s">
        <v>301</v>
      </c>
      <c r="U234" s="218">
        <f t="shared" si="33"/>
        <v>1</v>
      </c>
    </row>
    <row r="235" spans="2:21">
      <c r="B235" s="47" t="s">
        <v>1552</v>
      </c>
      <c r="C235" s="61" t="s">
        <v>1963</v>
      </c>
      <c r="D235" s="85" t="s">
        <v>301</v>
      </c>
      <c r="E235" s="85" t="s">
        <v>301</v>
      </c>
      <c r="F235" s="85" t="s">
        <v>301</v>
      </c>
      <c r="G235" s="85" t="s">
        <v>301</v>
      </c>
      <c r="H235" s="85" t="s">
        <v>301</v>
      </c>
      <c r="I235" s="85" t="s">
        <v>301</v>
      </c>
      <c r="U235" s="218" t="str">
        <f t="shared" si="33"/>
        <v/>
      </c>
    </row>
    <row r="236" spans="2:21">
      <c r="B236" s="47" t="s">
        <v>1553</v>
      </c>
      <c r="C236" s="61" t="s">
        <v>1964</v>
      </c>
      <c r="D236" s="85" t="s">
        <v>301</v>
      </c>
      <c r="E236" s="85" t="s">
        <v>301</v>
      </c>
      <c r="F236" s="85" t="s">
        <v>301</v>
      </c>
      <c r="G236" s="85">
        <v>1041.3</v>
      </c>
      <c r="H236" s="85" t="s">
        <v>301</v>
      </c>
      <c r="I236" s="85" t="s">
        <v>301</v>
      </c>
      <c r="U236" s="218">
        <f t="shared" si="33"/>
        <v>1</v>
      </c>
    </row>
    <row r="237" spans="2:21">
      <c r="B237" s="62" t="s">
        <v>1457</v>
      </c>
      <c r="C237" s="61" t="s">
        <v>272</v>
      </c>
      <c r="D237" s="85"/>
      <c r="E237" s="85"/>
      <c r="F237" s="85"/>
      <c r="G237" s="85"/>
      <c r="H237" s="85"/>
      <c r="I237" s="85"/>
      <c r="U237" s="217">
        <v>1</v>
      </c>
    </row>
    <row r="238" spans="2:21">
      <c r="B238" s="47" t="s">
        <v>1458</v>
      </c>
      <c r="C238" s="61" t="s">
        <v>1965</v>
      </c>
      <c r="D238" s="45" t="s">
        <v>301</v>
      </c>
      <c r="E238" s="45" t="s">
        <v>301</v>
      </c>
      <c r="F238" s="45" t="s">
        <v>301</v>
      </c>
      <c r="G238" s="45" t="s">
        <v>301</v>
      </c>
      <c r="H238" s="45" t="s">
        <v>301</v>
      </c>
      <c r="I238" s="45" t="s">
        <v>301</v>
      </c>
      <c r="U238" s="218" t="str">
        <f t="shared" ref="U238:U243" si="34">IF(COUNT(D238:I238)&lt;&gt;0,1,"")</f>
        <v/>
      </c>
    </row>
    <row r="239" spans="2:21">
      <c r="B239" s="47" t="s">
        <v>1459</v>
      </c>
      <c r="C239" s="61" t="s">
        <v>1966</v>
      </c>
      <c r="D239" s="45" t="s">
        <v>301</v>
      </c>
      <c r="E239" s="45" t="s">
        <v>301</v>
      </c>
      <c r="F239" s="45" t="s">
        <v>301</v>
      </c>
      <c r="G239" s="45" t="s">
        <v>301</v>
      </c>
      <c r="H239" s="45" t="s">
        <v>301</v>
      </c>
      <c r="I239" s="45" t="s">
        <v>301</v>
      </c>
      <c r="U239" s="218" t="str">
        <f t="shared" si="34"/>
        <v/>
      </c>
    </row>
    <row r="240" spans="2:21">
      <c r="B240" s="47" t="s">
        <v>1460</v>
      </c>
      <c r="C240" s="61" t="s">
        <v>1967</v>
      </c>
      <c r="D240" s="45" t="s">
        <v>301</v>
      </c>
      <c r="E240" s="45" t="s">
        <v>301</v>
      </c>
      <c r="F240" s="45" t="s">
        <v>301</v>
      </c>
      <c r="G240" s="45" t="s">
        <v>301</v>
      </c>
      <c r="H240" s="45" t="s">
        <v>301</v>
      </c>
      <c r="I240" s="45" t="s">
        <v>301</v>
      </c>
      <c r="U240" s="218" t="str">
        <f t="shared" si="34"/>
        <v/>
      </c>
    </row>
    <row r="241" spans="2:21">
      <c r="B241" s="47" t="s">
        <v>1461</v>
      </c>
      <c r="C241" s="61" t="s">
        <v>1968</v>
      </c>
      <c r="D241" s="45" t="s">
        <v>301</v>
      </c>
      <c r="E241" s="45" t="s">
        <v>301</v>
      </c>
      <c r="F241" s="45" t="s">
        <v>301</v>
      </c>
      <c r="G241" s="45" t="s">
        <v>301</v>
      </c>
      <c r="H241" s="45" t="s">
        <v>301</v>
      </c>
      <c r="I241" s="45" t="s">
        <v>301</v>
      </c>
      <c r="U241" s="218" t="str">
        <f t="shared" si="34"/>
        <v/>
      </c>
    </row>
    <row r="242" spans="2:21">
      <c r="B242" s="47" t="s">
        <v>1462</v>
      </c>
      <c r="C242" s="61" t="s">
        <v>1969</v>
      </c>
      <c r="D242" s="45" t="s">
        <v>301</v>
      </c>
      <c r="E242" s="45" t="s">
        <v>301</v>
      </c>
      <c r="F242" s="45" t="s">
        <v>301</v>
      </c>
      <c r="G242" s="45" t="s">
        <v>301</v>
      </c>
      <c r="H242" s="45" t="s">
        <v>301</v>
      </c>
      <c r="I242" s="45" t="s">
        <v>301</v>
      </c>
      <c r="U242" s="218" t="str">
        <f t="shared" si="34"/>
        <v/>
      </c>
    </row>
    <row r="243" spans="2:21">
      <c r="B243" s="47" t="s">
        <v>1463</v>
      </c>
      <c r="C243" s="61" t="s">
        <v>1970</v>
      </c>
      <c r="D243" s="45" t="s">
        <v>301</v>
      </c>
      <c r="E243" s="45" t="s">
        <v>301</v>
      </c>
      <c r="F243" s="45" t="s">
        <v>301</v>
      </c>
      <c r="G243" s="45" t="s">
        <v>301</v>
      </c>
      <c r="H243" s="45" t="s">
        <v>301</v>
      </c>
      <c r="I243" s="45" t="s">
        <v>301</v>
      </c>
      <c r="U243" s="218" t="str">
        <f t="shared" si="34"/>
        <v/>
      </c>
    </row>
    <row r="244" spans="2:21">
      <c r="B244" s="62" t="s">
        <v>1464</v>
      </c>
      <c r="C244" s="61" t="s">
        <v>272</v>
      </c>
      <c r="D244" s="85"/>
      <c r="E244" s="85"/>
      <c r="F244" s="85"/>
      <c r="G244" s="85"/>
      <c r="H244" s="85"/>
      <c r="I244" s="85"/>
      <c r="U244" s="217">
        <v>1</v>
      </c>
    </row>
    <row r="245" spans="2:21">
      <c r="B245" s="47" t="s">
        <v>1465</v>
      </c>
      <c r="C245" s="61" t="s">
        <v>1971</v>
      </c>
      <c r="D245" s="45" t="s">
        <v>301</v>
      </c>
      <c r="E245" s="45" t="s">
        <v>301</v>
      </c>
      <c r="F245" s="45" t="s">
        <v>301</v>
      </c>
      <c r="G245" s="45" t="s">
        <v>301</v>
      </c>
      <c r="H245" s="45" t="s">
        <v>301</v>
      </c>
      <c r="I245" s="45" t="s">
        <v>301</v>
      </c>
      <c r="U245" s="218" t="str">
        <f t="shared" ref="U245:U248" si="35">IF(COUNT(D245:I245)&lt;&gt;0,1,"")</f>
        <v/>
      </c>
    </row>
    <row r="246" spans="2:21">
      <c r="B246" s="47" t="s">
        <v>1466</v>
      </c>
      <c r="C246" s="61" t="s">
        <v>1972</v>
      </c>
      <c r="D246" s="45" t="s">
        <v>301</v>
      </c>
      <c r="E246" s="45" t="s">
        <v>301</v>
      </c>
      <c r="F246" s="45" t="s">
        <v>301</v>
      </c>
      <c r="G246" s="45">
        <v>100</v>
      </c>
      <c r="H246" s="45" t="s">
        <v>301</v>
      </c>
      <c r="I246" s="45" t="s">
        <v>301</v>
      </c>
      <c r="U246" s="218">
        <f t="shared" si="35"/>
        <v>1</v>
      </c>
    </row>
    <row r="247" spans="2:21">
      <c r="B247" s="47" t="s">
        <v>1467</v>
      </c>
      <c r="C247" s="61" t="s">
        <v>1973</v>
      </c>
      <c r="D247" s="45" t="s">
        <v>301</v>
      </c>
      <c r="E247" s="45" t="s">
        <v>301</v>
      </c>
      <c r="F247" s="45" t="s">
        <v>301</v>
      </c>
      <c r="G247" s="45" t="s">
        <v>301</v>
      </c>
      <c r="H247" s="45" t="s">
        <v>301</v>
      </c>
      <c r="I247" s="45" t="s">
        <v>301</v>
      </c>
      <c r="U247" s="218" t="str">
        <f t="shared" si="35"/>
        <v/>
      </c>
    </row>
    <row r="248" spans="2:21">
      <c r="B248" s="47" t="s">
        <v>1468</v>
      </c>
      <c r="C248" s="61" t="s">
        <v>1974</v>
      </c>
      <c r="D248" s="45" t="s">
        <v>301</v>
      </c>
      <c r="E248" s="45" t="s">
        <v>301</v>
      </c>
      <c r="F248" s="45" t="s">
        <v>301</v>
      </c>
      <c r="G248" s="45" t="s">
        <v>301</v>
      </c>
      <c r="H248" s="45" t="s">
        <v>301</v>
      </c>
      <c r="I248" s="45" t="s">
        <v>301</v>
      </c>
      <c r="U248" s="218" t="str">
        <f t="shared" si="35"/>
        <v/>
      </c>
    </row>
    <row r="249" spans="2:21">
      <c r="B249" s="62" t="s">
        <v>1464</v>
      </c>
      <c r="C249" s="61" t="s">
        <v>272</v>
      </c>
      <c r="D249" s="85"/>
      <c r="E249" s="85"/>
      <c r="F249" s="85"/>
      <c r="G249" s="85"/>
      <c r="H249" s="85"/>
      <c r="I249" s="85"/>
      <c r="U249" s="217">
        <v>1</v>
      </c>
    </row>
    <row r="250" spans="2:21">
      <c r="B250" s="47" t="s">
        <v>1554</v>
      </c>
      <c r="C250" s="61" t="s">
        <v>1975</v>
      </c>
      <c r="D250" s="85" t="s">
        <v>301</v>
      </c>
      <c r="E250" s="85" t="s">
        <v>301</v>
      </c>
      <c r="F250" s="85" t="s">
        <v>301</v>
      </c>
      <c r="G250" s="85" t="s">
        <v>301</v>
      </c>
      <c r="H250" s="85" t="s">
        <v>301</v>
      </c>
      <c r="I250" s="85" t="s">
        <v>301</v>
      </c>
      <c r="U250" s="218" t="str">
        <f t="shared" ref="U250:U253" si="36">IF(COUNT(D250:I250)&lt;&gt;0,1,"")</f>
        <v/>
      </c>
    </row>
    <row r="251" spans="2:21">
      <c r="B251" s="47" t="s">
        <v>1555</v>
      </c>
      <c r="C251" s="61" t="s">
        <v>1976</v>
      </c>
      <c r="D251" s="85" t="s">
        <v>301</v>
      </c>
      <c r="E251" s="85" t="s">
        <v>301</v>
      </c>
      <c r="F251" s="85" t="s">
        <v>301</v>
      </c>
      <c r="G251" s="85">
        <v>1041.3</v>
      </c>
      <c r="H251" s="85" t="s">
        <v>301</v>
      </c>
      <c r="I251" s="85" t="s">
        <v>301</v>
      </c>
      <c r="U251" s="218">
        <f t="shared" si="36"/>
        <v>1</v>
      </c>
    </row>
    <row r="252" spans="2:21">
      <c r="B252" s="47" t="s">
        <v>1556</v>
      </c>
      <c r="C252" s="61" t="s">
        <v>1977</v>
      </c>
      <c r="D252" s="85" t="s">
        <v>301</v>
      </c>
      <c r="E252" s="85" t="s">
        <v>301</v>
      </c>
      <c r="F252" s="85" t="s">
        <v>301</v>
      </c>
      <c r="G252" s="85" t="s">
        <v>301</v>
      </c>
      <c r="H252" s="85" t="s">
        <v>301</v>
      </c>
      <c r="I252" s="85" t="s">
        <v>301</v>
      </c>
      <c r="U252" s="218" t="str">
        <f t="shared" si="36"/>
        <v/>
      </c>
    </row>
    <row r="253" spans="2:21">
      <c r="B253" s="47" t="s">
        <v>1557</v>
      </c>
      <c r="C253" s="61" t="s">
        <v>1978</v>
      </c>
      <c r="D253" s="85" t="s">
        <v>301</v>
      </c>
      <c r="E253" s="85" t="s">
        <v>301</v>
      </c>
      <c r="F253" s="85" t="s">
        <v>301</v>
      </c>
      <c r="G253" s="85" t="s">
        <v>301</v>
      </c>
      <c r="H253" s="85" t="s">
        <v>301</v>
      </c>
      <c r="I253" s="85" t="s">
        <v>301</v>
      </c>
      <c r="U253" s="218" t="str">
        <f t="shared" si="36"/>
        <v/>
      </c>
    </row>
    <row r="254" spans="2:21">
      <c r="B254" s="62" t="s">
        <v>1473</v>
      </c>
      <c r="C254" s="61" t="s">
        <v>272</v>
      </c>
      <c r="D254" s="85"/>
      <c r="E254" s="85"/>
      <c r="F254" s="85"/>
      <c r="G254" s="85"/>
      <c r="H254" s="85"/>
      <c r="I254" s="85"/>
      <c r="U254" s="217">
        <v>1</v>
      </c>
    </row>
    <row r="255" spans="2:21">
      <c r="B255" s="47" t="s">
        <v>1474</v>
      </c>
      <c r="C255" s="61" t="s">
        <v>1979</v>
      </c>
      <c r="D255" s="85" t="s">
        <v>301</v>
      </c>
      <c r="E255" s="85" t="s">
        <v>301</v>
      </c>
      <c r="F255" s="85" t="s">
        <v>301</v>
      </c>
      <c r="G255" s="85">
        <v>309.90000000000003</v>
      </c>
      <c r="H255" s="85" t="s">
        <v>301</v>
      </c>
      <c r="I255" s="85" t="s">
        <v>301</v>
      </c>
      <c r="U255" s="218">
        <f t="shared" ref="U255:U259" si="37">IF(COUNT(D255:I255)&lt;&gt;0,1,"")</f>
        <v>1</v>
      </c>
    </row>
    <row r="256" spans="2:21">
      <c r="B256" s="47" t="s">
        <v>1475</v>
      </c>
      <c r="C256" s="61" t="s">
        <v>1980</v>
      </c>
      <c r="D256" s="85" t="s">
        <v>301</v>
      </c>
      <c r="E256" s="85" t="s">
        <v>301</v>
      </c>
      <c r="F256" s="85" t="s">
        <v>301</v>
      </c>
      <c r="G256" s="85">
        <v>0.1</v>
      </c>
      <c r="H256" s="85" t="s">
        <v>301</v>
      </c>
      <c r="I256" s="85" t="s">
        <v>301</v>
      </c>
      <c r="U256" s="218">
        <f t="shared" si="37"/>
        <v>1</v>
      </c>
    </row>
    <row r="257" spans="2:21">
      <c r="B257" s="47" t="s">
        <v>1476</v>
      </c>
      <c r="C257" s="61" t="s">
        <v>1981</v>
      </c>
      <c r="D257" s="85" t="s">
        <v>301</v>
      </c>
      <c r="E257" s="85" t="s">
        <v>301</v>
      </c>
      <c r="F257" s="85" t="s">
        <v>301</v>
      </c>
      <c r="G257" s="85" t="s">
        <v>301</v>
      </c>
      <c r="H257" s="85" t="s">
        <v>301</v>
      </c>
      <c r="I257" s="85" t="s">
        <v>301</v>
      </c>
      <c r="U257" s="218" t="str">
        <f t="shared" si="37"/>
        <v/>
      </c>
    </row>
    <row r="258" spans="2:21">
      <c r="B258" s="47" t="s">
        <v>1477</v>
      </c>
      <c r="C258" s="61" t="s">
        <v>1982</v>
      </c>
      <c r="D258" s="85" t="s">
        <v>301</v>
      </c>
      <c r="E258" s="85" t="s">
        <v>301</v>
      </c>
      <c r="F258" s="85" t="s">
        <v>301</v>
      </c>
      <c r="G258" s="85">
        <v>-80.100000000000009</v>
      </c>
      <c r="H258" s="85" t="s">
        <v>301</v>
      </c>
      <c r="I258" s="85" t="s">
        <v>301</v>
      </c>
      <c r="U258" s="218">
        <f t="shared" si="37"/>
        <v>1</v>
      </c>
    </row>
    <row r="259" spans="2:21">
      <c r="B259" s="47" t="s">
        <v>1478</v>
      </c>
      <c r="C259" s="61" t="s">
        <v>1983</v>
      </c>
      <c r="D259" s="85" t="s">
        <v>301</v>
      </c>
      <c r="E259" s="85" t="s">
        <v>301</v>
      </c>
      <c r="F259" s="85" t="s">
        <v>301</v>
      </c>
      <c r="G259" s="85">
        <v>229.9</v>
      </c>
      <c r="H259" s="85" t="s">
        <v>301</v>
      </c>
      <c r="I259" s="85" t="s">
        <v>301</v>
      </c>
      <c r="U259" s="218">
        <f t="shared" si="37"/>
        <v>1</v>
      </c>
    </row>
    <row r="260" spans="2:21">
      <c r="B260" s="62" t="s">
        <v>1479</v>
      </c>
      <c r="C260" s="61" t="s">
        <v>272</v>
      </c>
      <c r="D260" s="85"/>
      <c r="E260" s="85"/>
      <c r="F260" s="85"/>
      <c r="G260" s="85"/>
      <c r="H260" s="85"/>
      <c r="I260" s="85"/>
      <c r="U260" s="217">
        <v>1</v>
      </c>
    </row>
    <row r="261" spans="2:21">
      <c r="B261" s="47" t="s">
        <v>1480</v>
      </c>
      <c r="C261" s="61" t="s">
        <v>1984</v>
      </c>
      <c r="D261" s="85" t="s">
        <v>301</v>
      </c>
      <c r="E261" s="85" t="s">
        <v>301</v>
      </c>
      <c r="F261" s="85" t="s">
        <v>301</v>
      </c>
      <c r="G261" s="85" t="s">
        <v>301</v>
      </c>
      <c r="H261" s="85" t="s">
        <v>301</v>
      </c>
      <c r="I261" s="85" t="s">
        <v>301</v>
      </c>
      <c r="U261" s="218" t="str">
        <f t="shared" ref="U261:U264" si="38">IF(COUNT(D261:I261)&lt;&gt;0,1,"")</f>
        <v/>
      </c>
    </row>
    <row r="262" spans="2:21">
      <c r="B262" s="47" t="s">
        <v>1481</v>
      </c>
      <c r="C262" s="61" t="s">
        <v>1985</v>
      </c>
      <c r="D262" s="85" t="s">
        <v>301</v>
      </c>
      <c r="E262" s="85" t="s">
        <v>301</v>
      </c>
      <c r="F262" s="85" t="s">
        <v>301</v>
      </c>
      <c r="G262" s="85" t="s">
        <v>301</v>
      </c>
      <c r="H262" s="85" t="s">
        <v>301</v>
      </c>
      <c r="I262" s="85" t="s">
        <v>301</v>
      </c>
      <c r="U262" s="218" t="str">
        <f t="shared" si="38"/>
        <v/>
      </c>
    </row>
    <row r="263" spans="2:21">
      <c r="B263" s="47" t="s">
        <v>1482</v>
      </c>
      <c r="C263" s="61" t="s">
        <v>1986</v>
      </c>
      <c r="D263" s="85" t="s">
        <v>301</v>
      </c>
      <c r="E263" s="85" t="s">
        <v>301</v>
      </c>
      <c r="F263" s="85" t="s">
        <v>301</v>
      </c>
      <c r="G263" s="85" t="s">
        <v>301</v>
      </c>
      <c r="H263" s="85" t="s">
        <v>301</v>
      </c>
      <c r="I263" s="85" t="s">
        <v>301</v>
      </c>
      <c r="U263" s="218" t="str">
        <f t="shared" si="38"/>
        <v/>
      </c>
    </row>
    <row r="264" spans="2:21">
      <c r="B264" s="47" t="s">
        <v>1483</v>
      </c>
      <c r="C264" s="61" t="s">
        <v>1987</v>
      </c>
      <c r="D264" s="85" t="s">
        <v>301</v>
      </c>
      <c r="E264" s="85" t="s">
        <v>301</v>
      </c>
      <c r="F264" s="85" t="s">
        <v>301</v>
      </c>
      <c r="G264" s="85" t="s">
        <v>301</v>
      </c>
      <c r="H264" s="85" t="s">
        <v>301</v>
      </c>
      <c r="I264" s="85" t="s">
        <v>301</v>
      </c>
      <c r="U264" s="218" t="str">
        <f t="shared" si="38"/>
        <v/>
      </c>
    </row>
    <row r="265" spans="2:21">
      <c r="B265" s="62" t="s">
        <v>1484</v>
      </c>
      <c r="C265" s="61" t="s">
        <v>272</v>
      </c>
      <c r="D265" s="85"/>
      <c r="E265" s="85"/>
      <c r="F265" s="85"/>
      <c r="G265" s="85"/>
      <c r="H265" s="85"/>
      <c r="I265" s="85"/>
      <c r="U265" s="217">
        <v>1</v>
      </c>
    </row>
    <row r="266" spans="2:21">
      <c r="B266" s="47" t="s">
        <v>1485</v>
      </c>
      <c r="C266" s="61" t="s">
        <v>1988</v>
      </c>
      <c r="D266" s="45" t="s">
        <v>301</v>
      </c>
      <c r="E266" s="45" t="s">
        <v>301</v>
      </c>
      <c r="F266" s="45" t="s">
        <v>301</v>
      </c>
      <c r="G266" s="45" t="s">
        <v>301</v>
      </c>
      <c r="H266" s="45" t="s">
        <v>301</v>
      </c>
      <c r="I266" s="45" t="s">
        <v>301</v>
      </c>
      <c r="U266" s="218" t="str">
        <f t="shared" ref="U266:U269" si="39">IF(COUNT(D266:I266)&lt;&gt;0,1,"")</f>
        <v/>
      </c>
    </row>
    <row r="267" spans="2:21">
      <c r="B267" s="47" t="s">
        <v>1486</v>
      </c>
      <c r="C267" s="61" t="s">
        <v>1989</v>
      </c>
      <c r="D267" s="45" t="s">
        <v>301</v>
      </c>
      <c r="E267" s="45" t="s">
        <v>301</v>
      </c>
      <c r="F267" s="45" t="s">
        <v>301</v>
      </c>
      <c r="G267" s="45" t="s">
        <v>301</v>
      </c>
      <c r="H267" s="45" t="s">
        <v>301</v>
      </c>
      <c r="I267" s="45" t="s">
        <v>301</v>
      </c>
      <c r="U267" s="218" t="str">
        <f t="shared" si="39"/>
        <v/>
      </c>
    </row>
    <row r="268" spans="2:21">
      <c r="B268" s="47" t="s">
        <v>1487</v>
      </c>
      <c r="C268" s="61" t="s">
        <v>1990</v>
      </c>
      <c r="D268" s="45" t="s">
        <v>301</v>
      </c>
      <c r="E268" s="45" t="s">
        <v>301</v>
      </c>
      <c r="F268" s="45" t="s">
        <v>301</v>
      </c>
      <c r="G268" s="45" t="s">
        <v>301</v>
      </c>
      <c r="H268" s="45" t="s">
        <v>301</v>
      </c>
      <c r="I268" s="45" t="s">
        <v>301</v>
      </c>
      <c r="U268" s="218" t="str">
        <f t="shared" si="39"/>
        <v/>
      </c>
    </row>
    <row r="269" spans="2:21">
      <c r="B269" s="47" t="s">
        <v>1488</v>
      </c>
      <c r="C269" s="61" t="s">
        <v>1991</v>
      </c>
      <c r="D269" s="45" t="s">
        <v>301</v>
      </c>
      <c r="E269" s="45" t="s">
        <v>301</v>
      </c>
      <c r="F269" s="45" t="s">
        <v>301</v>
      </c>
      <c r="G269" s="45" t="s">
        <v>301</v>
      </c>
      <c r="H269" s="45" t="s">
        <v>301</v>
      </c>
      <c r="I269" s="45" t="s">
        <v>301</v>
      </c>
      <c r="U269" s="218" t="str">
        <f t="shared" si="39"/>
        <v/>
      </c>
    </row>
    <row r="270" spans="2:21">
      <c r="B270" s="62" t="s">
        <v>1489</v>
      </c>
      <c r="C270" s="61" t="s">
        <v>272</v>
      </c>
      <c r="D270" s="85"/>
      <c r="E270" s="85"/>
      <c r="F270" s="85"/>
      <c r="G270" s="85"/>
      <c r="H270" s="85"/>
      <c r="I270" s="85"/>
      <c r="U270" s="217">
        <v>1</v>
      </c>
    </row>
    <row r="271" spans="2:21">
      <c r="B271" s="47" t="s">
        <v>1558</v>
      </c>
      <c r="C271" s="61" t="s">
        <v>1992</v>
      </c>
      <c r="D271" s="85" t="s">
        <v>301</v>
      </c>
      <c r="E271" s="85" t="s">
        <v>301</v>
      </c>
      <c r="F271" s="85" t="s">
        <v>301</v>
      </c>
      <c r="G271" s="85">
        <v>88.5</v>
      </c>
      <c r="H271" s="85" t="s">
        <v>301</v>
      </c>
      <c r="I271" s="85" t="s">
        <v>301</v>
      </c>
      <c r="U271" s="218">
        <f t="shared" ref="U271:U276" si="40">IF(COUNT(D271:I271)&lt;&gt;0,1,"")</f>
        <v>1</v>
      </c>
    </row>
    <row r="272" spans="2:21">
      <c r="B272" s="47" t="s">
        <v>1559</v>
      </c>
      <c r="C272" s="61" t="s">
        <v>1993</v>
      </c>
      <c r="D272" s="85" t="s">
        <v>301</v>
      </c>
      <c r="E272" s="85" t="s">
        <v>301</v>
      </c>
      <c r="F272" s="85" t="s">
        <v>301</v>
      </c>
      <c r="G272" s="85">
        <v>85.5</v>
      </c>
      <c r="H272" s="85" t="s">
        <v>301</v>
      </c>
      <c r="I272" s="85" t="s">
        <v>301</v>
      </c>
      <c r="U272" s="218">
        <f t="shared" si="40"/>
        <v>1</v>
      </c>
    </row>
    <row r="273" spans="2:21">
      <c r="B273" s="47" t="s">
        <v>1560</v>
      </c>
      <c r="C273" s="61" t="s">
        <v>1994</v>
      </c>
      <c r="D273" s="85" t="s">
        <v>301</v>
      </c>
      <c r="E273" s="85" t="s">
        <v>301</v>
      </c>
      <c r="F273" s="85" t="s">
        <v>301</v>
      </c>
      <c r="G273" s="85">
        <v>85.3</v>
      </c>
      <c r="H273" s="85" t="s">
        <v>301</v>
      </c>
      <c r="I273" s="85" t="s">
        <v>301</v>
      </c>
      <c r="U273" s="218">
        <f t="shared" si="40"/>
        <v>1</v>
      </c>
    </row>
    <row r="274" spans="2:21">
      <c r="B274" s="47" t="s">
        <v>1561</v>
      </c>
      <c r="C274" s="61" t="s">
        <v>1995</v>
      </c>
      <c r="D274" s="85" t="s">
        <v>301</v>
      </c>
      <c r="E274" s="85" t="s">
        <v>301</v>
      </c>
      <c r="F274" s="85" t="s">
        <v>301</v>
      </c>
      <c r="G274" s="85">
        <v>83.3</v>
      </c>
      <c r="H274" s="85" t="s">
        <v>301</v>
      </c>
      <c r="I274" s="85" t="s">
        <v>301</v>
      </c>
      <c r="U274" s="218">
        <f t="shared" si="40"/>
        <v>1</v>
      </c>
    </row>
    <row r="275" spans="2:21">
      <c r="B275" s="47" t="s">
        <v>1562</v>
      </c>
      <c r="C275" s="61" t="s">
        <v>1996</v>
      </c>
      <c r="D275" s="85" t="s">
        <v>301</v>
      </c>
      <c r="E275" s="85" t="s">
        <v>301</v>
      </c>
      <c r="F275" s="85" t="s">
        <v>301</v>
      </c>
      <c r="G275" s="85">
        <v>81.900000000000006</v>
      </c>
      <c r="H275" s="85" t="s">
        <v>301</v>
      </c>
      <c r="I275" s="85" t="s">
        <v>301</v>
      </c>
      <c r="U275" s="218">
        <f t="shared" si="40"/>
        <v>1</v>
      </c>
    </row>
    <row r="276" spans="2:21">
      <c r="B276" s="47" t="s">
        <v>1563</v>
      </c>
      <c r="C276" s="61" t="s">
        <v>1997</v>
      </c>
      <c r="D276" s="85" t="s">
        <v>301</v>
      </c>
      <c r="E276" s="85" t="s">
        <v>301</v>
      </c>
      <c r="F276" s="85" t="s">
        <v>301</v>
      </c>
      <c r="G276" s="85">
        <v>382.40000000000003</v>
      </c>
      <c r="H276" s="85" t="s">
        <v>301</v>
      </c>
      <c r="I276" s="85" t="s">
        <v>301</v>
      </c>
      <c r="U276" s="218">
        <f t="shared" si="40"/>
        <v>1</v>
      </c>
    </row>
    <row r="277" spans="2:21">
      <c r="B277" s="62" t="s">
        <v>1496</v>
      </c>
      <c r="C277" s="61" t="s">
        <v>272</v>
      </c>
      <c r="D277" s="85"/>
      <c r="E277" s="85"/>
      <c r="F277" s="85"/>
      <c r="G277" s="85"/>
      <c r="H277" s="85"/>
      <c r="I277" s="85"/>
      <c r="U277" s="217">
        <v>1</v>
      </c>
    </row>
    <row r="278" spans="2:21">
      <c r="B278" s="47" t="s">
        <v>1564</v>
      </c>
      <c r="C278" s="61" t="s">
        <v>1998</v>
      </c>
      <c r="D278" s="85" t="s">
        <v>301</v>
      </c>
      <c r="E278" s="85" t="s">
        <v>301</v>
      </c>
      <c r="F278" s="85" t="s">
        <v>301</v>
      </c>
      <c r="G278" s="85" t="s">
        <v>301</v>
      </c>
      <c r="H278" s="85" t="s">
        <v>301</v>
      </c>
      <c r="I278" s="85" t="s">
        <v>301</v>
      </c>
      <c r="U278" s="218" t="str">
        <f t="shared" ref="U278:U285" si="41">IF(COUNT(D278:I278)&lt;&gt;0,1,"")</f>
        <v/>
      </c>
    </row>
    <row r="279" spans="2:21">
      <c r="B279" s="47" t="s">
        <v>1565</v>
      </c>
      <c r="C279" s="61" t="s">
        <v>1999</v>
      </c>
      <c r="D279" s="85" t="s">
        <v>301</v>
      </c>
      <c r="E279" s="85" t="s">
        <v>301</v>
      </c>
      <c r="F279" s="85" t="s">
        <v>301</v>
      </c>
      <c r="G279" s="85" t="s">
        <v>301</v>
      </c>
      <c r="H279" s="85" t="s">
        <v>301</v>
      </c>
      <c r="I279" s="85" t="s">
        <v>301</v>
      </c>
      <c r="U279" s="218" t="str">
        <f t="shared" si="41"/>
        <v/>
      </c>
    </row>
    <row r="280" spans="2:21">
      <c r="B280" s="47" t="s">
        <v>1566</v>
      </c>
      <c r="C280" s="61" t="s">
        <v>2000</v>
      </c>
      <c r="D280" s="85" t="s">
        <v>301</v>
      </c>
      <c r="E280" s="85" t="s">
        <v>301</v>
      </c>
      <c r="F280" s="85" t="s">
        <v>301</v>
      </c>
      <c r="G280" s="85" t="s">
        <v>301</v>
      </c>
      <c r="H280" s="85" t="s">
        <v>301</v>
      </c>
      <c r="I280" s="85" t="s">
        <v>301</v>
      </c>
      <c r="U280" s="218" t="str">
        <f t="shared" si="41"/>
        <v/>
      </c>
    </row>
    <row r="281" spans="2:21">
      <c r="B281" s="47" t="s">
        <v>1567</v>
      </c>
      <c r="C281" s="61" t="s">
        <v>2001</v>
      </c>
      <c r="D281" s="85" t="s">
        <v>301</v>
      </c>
      <c r="E281" s="85" t="s">
        <v>301</v>
      </c>
      <c r="F281" s="85" t="s">
        <v>301</v>
      </c>
      <c r="G281" s="85" t="s">
        <v>301</v>
      </c>
      <c r="H281" s="85" t="s">
        <v>301</v>
      </c>
      <c r="I281" s="85" t="s">
        <v>301</v>
      </c>
      <c r="U281" s="218" t="str">
        <f t="shared" si="41"/>
        <v/>
      </c>
    </row>
    <row r="282" spans="2:21">
      <c r="B282" s="47" t="s">
        <v>1501</v>
      </c>
      <c r="C282" s="61" t="s">
        <v>2002</v>
      </c>
      <c r="D282" s="85" t="s">
        <v>301</v>
      </c>
      <c r="E282" s="85" t="s">
        <v>301</v>
      </c>
      <c r="F282" s="85" t="s">
        <v>301</v>
      </c>
      <c r="G282" s="85" t="s">
        <v>301</v>
      </c>
      <c r="H282" s="85" t="s">
        <v>301</v>
      </c>
      <c r="I282" s="85" t="s">
        <v>301</v>
      </c>
      <c r="U282" s="218" t="str">
        <f t="shared" si="41"/>
        <v/>
      </c>
    </row>
    <row r="283" spans="2:21">
      <c r="B283" s="47" t="s">
        <v>1502</v>
      </c>
      <c r="C283" s="61" t="s">
        <v>2003</v>
      </c>
      <c r="D283" s="85" t="s">
        <v>301</v>
      </c>
      <c r="E283" s="85" t="s">
        <v>301</v>
      </c>
      <c r="F283" s="85" t="s">
        <v>301</v>
      </c>
      <c r="G283" s="85" t="s">
        <v>301</v>
      </c>
      <c r="H283" s="85" t="s">
        <v>301</v>
      </c>
      <c r="I283" s="85" t="s">
        <v>301</v>
      </c>
      <c r="U283" s="218" t="str">
        <f t="shared" si="41"/>
        <v/>
      </c>
    </row>
    <row r="284" spans="2:21">
      <c r="B284" s="47" t="s">
        <v>1503</v>
      </c>
      <c r="C284" s="61" t="s">
        <v>2004</v>
      </c>
      <c r="D284" s="85" t="s">
        <v>301</v>
      </c>
      <c r="E284" s="85" t="s">
        <v>301</v>
      </c>
      <c r="F284" s="85" t="s">
        <v>301</v>
      </c>
      <c r="G284" s="85" t="s">
        <v>301</v>
      </c>
      <c r="H284" s="85" t="s">
        <v>301</v>
      </c>
      <c r="I284" s="85" t="s">
        <v>301</v>
      </c>
      <c r="U284" s="218" t="str">
        <f t="shared" si="41"/>
        <v/>
      </c>
    </row>
    <row r="285" spans="2:21">
      <c r="B285" s="47" t="s">
        <v>1568</v>
      </c>
      <c r="C285" s="61" t="s">
        <v>2005</v>
      </c>
      <c r="D285" s="85" t="s">
        <v>301</v>
      </c>
      <c r="E285" s="85" t="s">
        <v>301</v>
      </c>
      <c r="F285" s="85" t="s">
        <v>301</v>
      </c>
      <c r="G285" s="85" t="s">
        <v>301</v>
      </c>
      <c r="H285" s="85" t="s">
        <v>301</v>
      </c>
      <c r="I285" s="85" t="s">
        <v>301</v>
      </c>
      <c r="U285" s="218" t="str">
        <f t="shared" si="41"/>
        <v/>
      </c>
    </row>
    <row r="286" spans="2:21">
      <c r="B286" s="62" t="s">
        <v>1505</v>
      </c>
      <c r="C286" s="61" t="s">
        <v>272</v>
      </c>
      <c r="D286" s="85"/>
      <c r="E286" s="85"/>
      <c r="F286" s="85"/>
      <c r="G286" s="85"/>
      <c r="H286" s="85"/>
      <c r="I286" s="85"/>
      <c r="U286" s="217">
        <v>1</v>
      </c>
    </row>
    <row r="287" spans="2:21">
      <c r="B287" s="47" t="s">
        <v>1569</v>
      </c>
      <c r="C287" s="61" t="s">
        <v>2006</v>
      </c>
      <c r="D287" s="85" t="s">
        <v>301</v>
      </c>
      <c r="E287" s="85" t="s">
        <v>301</v>
      </c>
      <c r="F287" s="85" t="s">
        <v>301</v>
      </c>
      <c r="G287" s="85" t="s">
        <v>301</v>
      </c>
      <c r="H287" s="85" t="s">
        <v>301</v>
      </c>
      <c r="I287" s="85" t="s">
        <v>301</v>
      </c>
      <c r="U287" s="218" t="str">
        <f t="shared" ref="U287:U289" si="42">IF(COUNT(D287:I287)&lt;&gt;0,1,"")</f>
        <v/>
      </c>
    </row>
    <row r="288" spans="2:21">
      <c r="B288" s="47" t="s">
        <v>1570</v>
      </c>
      <c r="C288" s="61" t="s">
        <v>2007</v>
      </c>
      <c r="D288" s="85" t="s">
        <v>301</v>
      </c>
      <c r="E288" s="85" t="s">
        <v>301</v>
      </c>
      <c r="F288" s="85" t="s">
        <v>301</v>
      </c>
      <c r="G288" s="85" t="s">
        <v>301</v>
      </c>
      <c r="H288" s="85" t="s">
        <v>301</v>
      </c>
      <c r="I288" s="85" t="s">
        <v>301</v>
      </c>
      <c r="U288" s="218" t="str">
        <f t="shared" si="42"/>
        <v/>
      </c>
    </row>
    <row r="289" spans="2:21">
      <c r="B289" s="47" t="s">
        <v>1571</v>
      </c>
      <c r="C289" s="61" t="s">
        <v>2008</v>
      </c>
      <c r="D289" s="85" t="s">
        <v>301</v>
      </c>
      <c r="E289" s="85" t="s">
        <v>301</v>
      </c>
      <c r="F289" s="85" t="s">
        <v>301</v>
      </c>
      <c r="G289" s="85">
        <v>16</v>
      </c>
      <c r="H289" s="85" t="s">
        <v>301</v>
      </c>
      <c r="I289" s="85" t="s">
        <v>301</v>
      </c>
      <c r="U289" s="218">
        <f t="shared" si="42"/>
        <v>1</v>
      </c>
    </row>
    <row r="290" spans="2:21">
      <c r="B290" s="62" t="s">
        <v>1509</v>
      </c>
      <c r="C290" s="61" t="s">
        <v>272</v>
      </c>
      <c r="D290" s="85"/>
      <c r="E290" s="85"/>
      <c r="F290" s="85"/>
      <c r="G290" s="85"/>
      <c r="H290" s="85"/>
      <c r="I290" s="85"/>
      <c r="U290" s="217">
        <v>1</v>
      </c>
    </row>
    <row r="291" spans="2:21">
      <c r="B291" s="47" t="s">
        <v>1572</v>
      </c>
      <c r="C291" s="61" t="s">
        <v>2009</v>
      </c>
      <c r="D291" s="85" t="s">
        <v>301</v>
      </c>
      <c r="E291" s="85" t="s">
        <v>301</v>
      </c>
      <c r="F291" s="85" t="s">
        <v>301</v>
      </c>
      <c r="G291" s="85" t="s">
        <v>301</v>
      </c>
      <c r="H291" s="85" t="s">
        <v>301</v>
      </c>
      <c r="I291" s="85" t="s">
        <v>301</v>
      </c>
      <c r="U291" s="218" t="str">
        <f t="shared" ref="U291:U294" si="43">IF(COUNT(D291:I291)&lt;&gt;0,1,"")</f>
        <v/>
      </c>
    </row>
    <row r="292" spans="2:21">
      <c r="B292" s="47" t="s">
        <v>1573</v>
      </c>
      <c r="C292" s="61" t="s">
        <v>2010</v>
      </c>
      <c r="D292" s="85">
        <v>0.6</v>
      </c>
      <c r="E292" s="85" t="s">
        <v>301</v>
      </c>
      <c r="F292" s="85" t="s">
        <v>301</v>
      </c>
      <c r="G292" s="85" t="s">
        <v>301</v>
      </c>
      <c r="H292" s="85">
        <v>0.5</v>
      </c>
      <c r="I292" s="85" t="s">
        <v>301</v>
      </c>
      <c r="U292" s="218">
        <f t="shared" si="43"/>
        <v>1</v>
      </c>
    </row>
    <row r="293" spans="2:21">
      <c r="B293" s="47" t="s">
        <v>1574</v>
      </c>
      <c r="C293" s="61" t="s">
        <v>2011</v>
      </c>
      <c r="D293" s="85" t="s">
        <v>301</v>
      </c>
      <c r="E293" s="85" t="s">
        <v>301</v>
      </c>
      <c r="F293" s="85" t="s">
        <v>301</v>
      </c>
      <c r="G293" s="85" t="s">
        <v>301</v>
      </c>
      <c r="H293" s="85" t="s">
        <v>301</v>
      </c>
      <c r="I293" s="85" t="s">
        <v>301</v>
      </c>
      <c r="U293" s="218" t="str">
        <f t="shared" si="43"/>
        <v/>
      </c>
    </row>
    <row r="294" spans="2:21">
      <c r="B294" s="47" t="s">
        <v>1575</v>
      </c>
      <c r="C294" s="61" t="s">
        <v>2012</v>
      </c>
      <c r="D294" s="85" t="s">
        <v>301</v>
      </c>
      <c r="E294" s="85" t="s">
        <v>301</v>
      </c>
      <c r="F294" s="85" t="s">
        <v>301</v>
      </c>
      <c r="G294" s="85" t="s">
        <v>301</v>
      </c>
      <c r="H294" s="85" t="s">
        <v>301</v>
      </c>
      <c r="I294" s="85" t="s">
        <v>301</v>
      </c>
      <c r="U294" s="218" t="str">
        <f t="shared" si="43"/>
        <v/>
      </c>
    </row>
    <row r="295" spans="2:21">
      <c r="B295" s="47"/>
      <c r="C295" s="61" t="s">
        <v>272</v>
      </c>
      <c r="D295" s="85"/>
      <c r="E295" s="85"/>
      <c r="F295" s="85"/>
      <c r="G295" s="85"/>
      <c r="H295" s="85"/>
      <c r="I295" s="85"/>
      <c r="U295" s="217">
        <v>1</v>
      </c>
    </row>
    <row r="296" spans="2:21">
      <c r="B296" s="62" t="s">
        <v>1576</v>
      </c>
      <c r="C296" s="61" t="s">
        <v>272</v>
      </c>
      <c r="D296" s="85"/>
      <c r="E296" s="85"/>
      <c r="F296" s="85"/>
      <c r="G296" s="85"/>
      <c r="H296" s="85"/>
      <c r="I296" s="85"/>
      <c r="U296" s="217">
        <v>1</v>
      </c>
    </row>
    <row r="297" spans="2:21">
      <c r="B297" s="62" t="s">
        <v>1425</v>
      </c>
      <c r="C297" s="61" t="s">
        <v>272</v>
      </c>
      <c r="D297" s="85"/>
      <c r="E297" s="85"/>
      <c r="F297" s="85"/>
      <c r="G297" s="85"/>
      <c r="H297" s="85"/>
      <c r="I297" s="85"/>
      <c r="U297" s="217">
        <v>1</v>
      </c>
    </row>
    <row r="298" spans="2:21">
      <c r="B298" s="47" t="s">
        <v>1436</v>
      </c>
      <c r="C298" s="61" t="s">
        <v>2013</v>
      </c>
      <c r="D298" s="85" t="s">
        <v>301</v>
      </c>
      <c r="E298" s="85" t="s">
        <v>301</v>
      </c>
      <c r="F298" s="85" t="s">
        <v>301</v>
      </c>
      <c r="G298" s="85" t="s">
        <v>301</v>
      </c>
      <c r="H298" s="85" t="s">
        <v>301</v>
      </c>
      <c r="I298" s="85" t="s">
        <v>301</v>
      </c>
      <c r="U298" s="218" t="str">
        <f t="shared" ref="U298:U304" si="44">IF(COUNT(D298:I298)&lt;&gt;0,1,"")</f>
        <v/>
      </c>
    </row>
    <row r="299" spans="2:21">
      <c r="B299" s="47" t="s">
        <v>1530</v>
      </c>
      <c r="C299" s="61" t="s">
        <v>2014</v>
      </c>
      <c r="D299" s="85">
        <v>0.1</v>
      </c>
      <c r="E299" s="85">
        <v>0.2</v>
      </c>
      <c r="F299" s="85">
        <v>0.1</v>
      </c>
      <c r="G299" s="85" t="s">
        <v>301</v>
      </c>
      <c r="H299" s="85">
        <v>0.1</v>
      </c>
      <c r="I299" s="85">
        <v>0.1</v>
      </c>
      <c r="U299" s="218">
        <f t="shared" si="44"/>
        <v>1</v>
      </c>
    </row>
    <row r="300" spans="2:21">
      <c r="B300" s="47" t="s">
        <v>1577</v>
      </c>
      <c r="C300" s="61" t="s">
        <v>2015</v>
      </c>
      <c r="D300" s="85" t="s">
        <v>301</v>
      </c>
      <c r="E300" s="85" t="s">
        <v>301</v>
      </c>
      <c r="F300" s="85" t="s">
        <v>301</v>
      </c>
      <c r="G300" s="85" t="s">
        <v>301</v>
      </c>
      <c r="H300" s="85" t="s">
        <v>301</v>
      </c>
      <c r="I300" s="85" t="s">
        <v>301</v>
      </c>
      <c r="U300" s="218" t="str">
        <f t="shared" si="44"/>
        <v/>
      </c>
    </row>
    <row r="301" spans="2:21">
      <c r="B301" s="47" t="s">
        <v>1532</v>
      </c>
      <c r="C301" s="61" t="s">
        <v>2016</v>
      </c>
      <c r="D301" s="85">
        <v>-0.2</v>
      </c>
      <c r="E301" s="85">
        <v>-0.2</v>
      </c>
      <c r="F301" s="85">
        <v>-0.3</v>
      </c>
      <c r="G301" s="85" t="s">
        <v>301</v>
      </c>
      <c r="H301" s="85">
        <v>-0.2</v>
      </c>
      <c r="I301" s="85">
        <v>-0.2</v>
      </c>
      <c r="U301" s="218">
        <f t="shared" si="44"/>
        <v>1</v>
      </c>
    </row>
    <row r="302" spans="2:21">
      <c r="B302" s="47" t="s">
        <v>1517</v>
      </c>
      <c r="C302" s="61" t="s">
        <v>2017</v>
      </c>
      <c r="D302" s="85">
        <v>-0.1</v>
      </c>
      <c r="E302" s="85" t="s">
        <v>301</v>
      </c>
      <c r="F302" s="85">
        <v>-0.2</v>
      </c>
      <c r="G302" s="85" t="s">
        <v>301</v>
      </c>
      <c r="H302" s="85">
        <v>-0.1</v>
      </c>
      <c r="I302" s="85">
        <v>-0.1</v>
      </c>
      <c r="U302" s="218">
        <f t="shared" si="44"/>
        <v>1</v>
      </c>
    </row>
    <row r="303" spans="2:21">
      <c r="B303" s="47" t="s">
        <v>1431</v>
      </c>
      <c r="C303" s="61" t="s">
        <v>2018</v>
      </c>
      <c r="D303" s="85" t="s">
        <v>301</v>
      </c>
      <c r="E303" s="85" t="s">
        <v>301</v>
      </c>
      <c r="F303" s="85" t="s">
        <v>301</v>
      </c>
      <c r="G303" s="85" t="s">
        <v>301</v>
      </c>
      <c r="H303" s="85" t="s">
        <v>301</v>
      </c>
      <c r="I303" s="85" t="s">
        <v>301</v>
      </c>
      <c r="U303" s="218" t="str">
        <f t="shared" si="44"/>
        <v/>
      </c>
    </row>
    <row r="304" spans="2:21">
      <c r="B304" s="47" t="s">
        <v>1534</v>
      </c>
      <c r="C304" s="61" t="s">
        <v>2019</v>
      </c>
      <c r="D304" s="85" t="s">
        <v>301</v>
      </c>
      <c r="E304" s="85" t="s">
        <v>301</v>
      </c>
      <c r="F304" s="85" t="s">
        <v>301</v>
      </c>
      <c r="G304" s="85" t="s">
        <v>301</v>
      </c>
      <c r="H304" s="85" t="s">
        <v>301</v>
      </c>
      <c r="I304" s="85" t="s">
        <v>301</v>
      </c>
      <c r="U304" s="218" t="str">
        <f t="shared" si="44"/>
        <v/>
      </c>
    </row>
    <row r="305" spans="2:21">
      <c r="B305" s="62" t="s">
        <v>1434</v>
      </c>
      <c r="C305" s="61" t="s">
        <v>272</v>
      </c>
      <c r="D305" s="85"/>
      <c r="E305" s="85"/>
      <c r="F305" s="85"/>
      <c r="G305" s="85"/>
      <c r="H305" s="85"/>
      <c r="I305" s="85"/>
      <c r="U305" s="217">
        <v>1</v>
      </c>
    </row>
    <row r="306" spans="2:21">
      <c r="B306" s="47" t="s">
        <v>1530</v>
      </c>
      <c r="C306" s="61" t="s">
        <v>2020</v>
      </c>
      <c r="D306" s="85" t="s">
        <v>301</v>
      </c>
      <c r="E306" s="85" t="s">
        <v>301</v>
      </c>
      <c r="F306" s="85" t="s">
        <v>301</v>
      </c>
      <c r="G306" s="85">
        <v>0.5</v>
      </c>
      <c r="H306" s="85" t="s">
        <v>301</v>
      </c>
      <c r="I306" s="85" t="s">
        <v>301</v>
      </c>
      <c r="U306" s="218">
        <f t="shared" ref="U306:U315" si="45">IF(COUNT(D306:I306)&lt;&gt;0,1,"")</f>
        <v>1</v>
      </c>
    </row>
    <row r="307" spans="2:21">
      <c r="B307" s="47" t="s">
        <v>1536</v>
      </c>
      <c r="C307" s="61" t="s">
        <v>2021</v>
      </c>
      <c r="D307" s="85" t="s">
        <v>301</v>
      </c>
      <c r="E307" s="85" t="s">
        <v>301</v>
      </c>
      <c r="F307" s="85" t="s">
        <v>301</v>
      </c>
      <c r="G307" s="85">
        <v>0.3</v>
      </c>
      <c r="H307" s="85" t="s">
        <v>301</v>
      </c>
      <c r="I307" s="85" t="s">
        <v>301</v>
      </c>
      <c r="U307" s="218">
        <f t="shared" si="45"/>
        <v>1</v>
      </c>
    </row>
    <row r="308" spans="2:21">
      <c r="B308" s="47" t="s">
        <v>1537</v>
      </c>
      <c r="C308" s="61" t="s">
        <v>2022</v>
      </c>
      <c r="D308" s="85" t="s">
        <v>301</v>
      </c>
      <c r="E308" s="85" t="s">
        <v>301</v>
      </c>
      <c r="F308" s="85" t="s">
        <v>301</v>
      </c>
      <c r="G308" s="85">
        <v>-1.4000000000000001</v>
      </c>
      <c r="H308" s="85" t="s">
        <v>301</v>
      </c>
      <c r="I308" s="85" t="s">
        <v>301</v>
      </c>
      <c r="U308" s="218">
        <f t="shared" si="45"/>
        <v>1</v>
      </c>
    </row>
    <row r="309" spans="2:21">
      <c r="B309" s="47" t="s">
        <v>1439</v>
      </c>
      <c r="C309" s="61" t="s">
        <v>2023</v>
      </c>
      <c r="D309" s="85" t="s">
        <v>301</v>
      </c>
      <c r="E309" s="85" t="s">
        <v>301</v>
      </c>
      <c r="F309" s="85" t="s">
        <v>301</v>
      </c>
      <c r="G309" s="85">
        <v>-1.4000000000000001</v>
      </c>
      <c r="H309" s="85" t="s">
        <v>301</v>
      </c>
      <c r="I309" s="85" t="s">
        <v>301</v>
      </c>
      <c r="U309" s="218">
        <f t="shared" si="45"/>
        <v>1</v>
      </c>
    </row>
    <row r="310" spans="2:21">
      <c r="B310" s="47" t="s">
        <v>1538</v>
      </c>
      <c r="C310" s="61" t="s">
        <v>2024</v>
      </c>
      <c r="D310" s="85" t="s">
        <v>301</v>
      </c>
      <c r="E310" s="85" t="s">
        <v>301</v>
      </c>
      <c r="F310" s="85" t="s">
        <v>301</v>
      </c>
      <c r="G310" s="85" t="s">
        <v>301</v>
      </c>
      <c r="H310" s="85" t="s">
        <v>301</v>
      </c>
      <c r="I310" s="85" t="s">
        <v>301</v>
      </c>
      <c r="U310" s="218" t="str">
        <f t="shared" si="45"/>
        <v/>
      </c>
    </row>
    <row r="311" spans="2:21">
      <c r="B311" s="47" t="s">
        <v>1539</v>
      </c>
      <c r="C311" s="61" t="s">
        <v>2025</v>
      </c>
      <c r="D311" s="85" t="s">
        <v>301</v>
      </c>
      <c r="E311" s="85" t="s">
        <v>301</v>
      </c>
      <c r="F311" s="85" t="s">
        <v>301</v>
      </c>
      <c r="G311" s="85" t="s">
        <v>301</v>
      </c>
      <c r="H311" s="85" t="s">
        <v>301</v>
      </c>
      <c r="I311" s="85" t="s">
        <v>301</v>
      </c>
      <c r="U311" s="218" t="str">
        <f t="shared" si="45"/>
        <v/>
      </c>
    </row>
    <row r="312" spans="2:21">
      <c r="B312" s="47" t="s">
        <v>1540</v>
      </c>
      <c r="C312" s="61" t="s">
        <v>2026</v>
      </c>
      <c r="D312" s="85" t="s">
        <v>301</v>
      </c>
      <c r="E312" s="85" t="s">
        <v>301</v>
      </c>
      <c r="F312" s="85" t="s">
        <v>301</v>
      </c>
      <c r="G312" s="85" t="s">
        <v>301</v>
      </c>
      <c r="H312" s="85" t="s">
        <v>301</v>
      </c>
      <c r="I312" s="85" t="s">
        <v>301</v>
      </c>
      <c r="U312" s="218" t="str">
        <f t="shared" si="45"/>
        <v/>
      </c>
    </row>
    <row r="313" spans="2:21">
      <c r="B313" s="47" t="s">
        <v>1541</v>
      </c>
      <c r="C313" s="61" t="s">
        <v>2027</v>
      </c>
      <c r="D313" s="85" t="s">
        <v>301</v>
      </c>
      <c r="E313" s="85" t="s">
        <v>301</v>
      </c>
      <c r="F313" s="85" t="s">
        <v>301</v>
      </c>
      <c r="G313" s="85" t="s">
        <v>301</v>
      </c>
      <c r="H313" s="85" t="s">
        <v>301</v>
      </c>
      <c r="I313" s="85" t="s">
        <v>301</v>
      </c>
      <c r="U313" s="218" t="str">
        <f t="shared" si="45"/>
        <v/>
      </c>
    </row>
    <row r="314" spans="2:21">
      <c r="B314" s="47" t="s">
        <v>1519</v>
      </c>
      <c r="C314" s="61" t="s">
        <v>2028</v>
      </c>
      <c r="D314" s="85" t="s">
        <v>301</v>
      </c>
      <c r="E314" s="85" t="s">
        <v>301</v>
      </c>
      <c r="F314" s="85" t="s">
        <v>301</v>
      </c>
      <c r="G314" s="85">
        <v>9.2000000000000011</v>
      </c>
      <c r="H314" s="85" t="s">
        <v>301</v>
      </c>
      <c r="I314" s="85" t="s">
        <v>301</v>
      </c>
      <c r="U314" s="218">
        <f t="shared" si="45"/>
        <v>1</v>
      </c>
    </row>
    <row r="315" spans="2:21">
      <c r="B315" s="47" t="s">
        <v>1578</v>
      </c>
      <c r="C315" s="61" t="s">
        <v>2029</v>
      </c>
      <c r="D315" s="85" t="s">
        <v>301</v>
      </c>
      <c r="E315" s="85" t="s">
        <v>301</v>
      </c>
      <c r="F315" s="85" t="s">
        <v>301</v>
      </c>
      <c r="G315" s="85" t="s">
        <v>301</v>
      </c>
      <c r="H315" s="85" t="s">
        <v>301</v>
      </c>
      <c r="I315" s="85" t="s">
        <v>301</v>
      </c>
      <c r="U315" s="218" t="str">
        <f t="shared" si="45"/>
        <v/>
      </c>
    </row>
    <row r="316" spans="2:21">
      <c r="B316" s="62" t="s">
        <v>1446</v>
      </c>
      <c r="C316" s="61" t="s">
        <v>272</v>
      </c>
      <c r="D316" s="85"/>
      <c r="E316" s="85"/>
      <c r="F316" s="85"/>
      <c r="G316" s="85"/>
      <c r="H316" s="85"/>
      <c r="I316" s="85"/>
      <c r="U316" s="217">
        <v>1</v>
      </c>
    </row>
    <row r="317" spans="2:21">
      <c r="B317" s="47" t="s">
        <v>1544</v>
      </c>
      <c r="C317" s="61" t="s">
        <v>2030</v>
      </c>
      <c r="D317" s="85" t="s">
        <v>301</v>
      </c>
      <c r="E317" s="85" t="s">
        <v>301</v>
      </c>
      <c r="F317" s="85" t="s">
        <v>301</v>
      </c>
      <c r="G317" s="85">
        <v>-0.1</v>
      </c>
      <c r="H317" s="85" t="s">
        <v>301</v>
      </c>
      <c r="I317" s="85" t="s">
        <v>301</v>
      </c>
      <c r="U317" s="218">
        <f t="shared" ref="U317:U326" si="46">IF(COUNT(D317:I317)&lt;&gt;0,1,"")</f>
        <v>1</v>
      </c>
    </row>
    <row r="318" spans="2:21">
      <c r="B318" s="47" t="s">
        <v>1545</v>
      </c>
      <c r="C318" s="61" t="s">
        <v>2031</v>
      </c>
      <c r="D318" s="85" t="s">
        <v>301</v>
      </c>
      <c r="E318" s="85" t="s">
        <v>301</v>
      </c>
      <c r="F318" s="85" t="s">
        <v>301</v>
      </c>
      <c r="G318" s="85" t="s">
        <v>301</v>
      </c>
      <c r="H318" s="85" t="s">
        <v>301</v>
      </c>
      <c r="I318" s="85" t="s">
        <v>301</v>
      </c>
      <c r="U318" s="218" t="str">
        <f t="shared" si="46"/>
        <v/>
      </c>
    </row>
    <row r="319" spans="2:21">
      <c r="B319" s="47" t="s">
        <v>1546</v>
      </c>
      <c r="C319" s="61" t="s">
        <v>2032</v>
      </c>
      <c r="D319" s="85" t="s">
        <v>301</v>
      </c>
      <c r="E319" s="85" t="s">
        <v>301</v>
      </c>
      <c r="F319" s="85" t="s">
        <v>301</v>
      </c>
      <c r="G319" s="85">
        <v>1.2</v>
      </c>
      <c r="H319" s="85" t="s">
        <v>301</v>
      </c>
      <c r="I319" s="85" t="s">
        <v>301</v>
      </c>
      <c r="U319" s="218">
        <f t="shared" si="46"/>
        <v>1</v>
      </c>
    </row>
    <row r="320" spans="2:21">
      <c r="B320" s="47" t="s">
        <v>1547</v>
      </c>
      <c r="C320" s="61" t="s">
        <v>2033</v>
      </c>
      <c r="D320" s="85" t="s">
        <v>301</v>
      </c>
      <c r="E320" s="85" t="s">
        <v>301</v>
      </c>
      <c r="F320" s="85" t="s">
        <v>301</v>
      </c>
      <c r="G320" s="85">
        <v>0.3</v>
      </c>
      <c r="H320" s="85" t="s">
        <v>301</v>
      </c>
      <c r="I320" s="85" t="s">
        <v>301</v>
      </c>
      <c r="U320" s="218">
        <f t="shared" si="46"/>
        <v>1</v>
      </c>
    </row>
    <row r="321" spans="2:21">
      <c r="B321" s="47" t="s">
        <v>1548</v>
      </c>
      <c r="C321" s="61" t="s">
        <v>2034</v>
      </c>
      <c r="D321" s="85" t="s">
        <v>301</v>
      </c>
      <c r="E321" s="85" t="s">
        <v>301</v>
      </c>
      <c r="F321" s="85" t="s">
        <v>301</v>
      </c>
      <c r="G321" s="85">
        <v>-1.4000000000000001</v>
      </c>
      <c r="H321" s="85" t="s">
        <v>301</v>
      </c>
      <c r="I321" s="85" t="s">
        <v>301</v>
      </c>
      <c r="U321" s="218">
        <f t="shared" si="46"/>
        <v>1</v>
      </c>
    </row>
    <row r="322" spans="2:21">
      <c r="B322" s="47" t="s">
        <v>1549</v>
      </c>
      <c r="C322" s="61" t="s">
        <v>2035</v>
      </c>
      <c r="D322" s="85" t="s">
        <v>301</v>
      </c>
      <c r="E322" s="85" t="s">
        <v>301</v>
      </c>
      <c r="F322" s="85" t="s">
        <v>301</v>
      </c>
      <c r="G322" s="85" t="s">
        <v>301</v>
      </c>
      <c r="H322" s="85" t="s">
        <v>301</v>
      </c>
      <c r="I322" s="85" t="s">
        <v>301</v>
      </c>
      <c r="U322" s="218" t="str">
        <f t="shared" si="46"/>
        <v/>
      </c>
    </row>
    <row r="323" spans="2:21">
      <c r="B323" s="47" t="s">
        <v>1550</v>
      </c>
      <c r="C323" s="61" t="s">
        <v>2036</v>
      </c>
      <c r="D323" s="85" t="s">
        <v>301</v>
      </c>
      <c r="E323" s="85" t="s">
        <v>301</v>
      </c>
      <c r="F323" s="85" t="s">
        <v>301</v>
      </c>
      <c r="G323" s="85" t="s">
        <v>301</v>
      </c>
      <c r="H323" s="85" t="s">
        <v>301</v>
      </c>
      <c r="I323" s="85" t="s">
        <v>301</v>
      </c>
      <c r="U323" s="218" t="str">
        <f t="shared" si="46"/>
        <v/>
      </c>
    </row>
    <row r="324" spans="2:21">
      <c r="B324" s="47" t="s">
        <v>1551</v>
      </c>
      <c r="C324" s="61" t="s">
        <v>2037</v>
      </c>
      <c r="D324" s="85" t="s">
        <v>301</v>
      </c>
      <c r="E324" s="85" t="s">
        <v>301</v>
      </c>
      <c r="F324" s="85" t="s">
        <v>301</v>
      </c>
      <c r="G324" s="85" t="s">
        <v>301</v>
      </c>
      <c r="H324" s="85" t="s">
        <v>301</v>
      </c>
      <c r="I324" s="85" t="s">
        <v>301</v>
      </c>
      <c r="U324" s="218" t="str">
        <f t="shared" si="46"/>
        <v/>
      </c>
    </row>
    <row r="325" spans="2:21">
      <c r="B325" s="47" t="s">
        <v>1552</v>
      </c>
      <c r="C325" s="61" t="s">
        <v>2038</v>
      </c>
      <c r="D325" s="85" t="s">
        <v>301</v>
      </c>
      <c r="E325" s="85" t="s">
        <v>301</v>
      </c>
      <c r="F325" s="85" t="s">
        <v>301</v>
      </c>
      <c r="G325" s="85" t="s">
        <v>301</v>
      </c>
      <c r="H325" s="85" t="s">
        <v>301</v>
      </c>
      <c r="I325" s="85" t="s">
        <v>301</v>
      </c>
      <c r="U325" s="218" t="str">
        <f t="shared" si="46"/>
        <v/>
      </c>
    </row>
    <row r="326" spans="2:21">
      <c r="B326" s="47" t="s">
        <v>1553</v>
      </c>
      <c r="C326" s="61" t="s">
        <v>2039</v>
      </c>
      <c r="D326" s="85" t="s">
        <v>301</v>
      </c>
      <c r="E326" s="85" t="s">
        <v>301</v>
      </c>
      <c r="F326" s="85" t="s">
        <v>301</v>
      </c>
      <c r="G326" s="85" t="s">
        <v>301</v>
      </c>
      <c r="H326" s="85" t="s">
        <v>301</v>
      </c>
      <c r="I326" s="85" t="s">
        <v>301</v>
      </c>
      <c r="U326" s="218" t="str">
        <f t="shared" si="46"/>
        <v/>
      </c>
    </row>
    <row r="327" spans="2:21">
      <c r="B327" s="62" t="s">
        <v>1457</v>
      </c>
      <c r="C327" s="61" t="s">
        <v>272</v>
      </c>
      <c r="D327" s="85"/>
      <c r="E327" s="85"/>
      <c r="F327" s="85"/>
      <c r="G327" s="85"/>
      <c r="H327" s="85"/>
      <c r="I327" s="85"/>
      <c r="U327" s="217">
        <v>1</v>
      </c>
    </row>
    <row r="328" spans="2:21">
      <c r="B328" s="47" t="s">
        <v>1458</v>
      </c>
      <c r="C328" s="61" t="s">
        <v>2040</v>
      </c>
      <c r="D328" s="45" t="s">
        <v>301</v>
      </c>
      <c r="E328" s="45" t="s">
        <v>301</v>
      </c>
      <c r="F328" s="45" t="s">
        <v>301</v>
      </c>
      <c r="G328" s="45" t="s">
        <v>301</v>
      </c>
      <c r="H328" s="45" t="s">
        <v>301</v>
      </c>
      <c r="I328" s="45" t="s">
        <v>301</v>
      </c>
      <c r="U328" s="218" t="str">
        <f t="shared" ref="U328:U333" si="47">IF(COUNT(D328:I328)&lt;&gt;0,1,"")</f>
        <v/>
      </c>
    </row>
    <row r="329" spans="2:21">
      <c r="B329" s="47" t="s">
        <v>1459</v>
      </c>
      <c r="C329" s="61" t="s">
        <v>2041</v>
      </c>
      <c r="D329" s="45" t="s">
        <v>301</v>
      </c>
      <c r="E329" s="45" t="s">
        <v>301</v>
      </c>
      <c r="F329" s="45" t="s">
        <v>301</v>
      </c>
      <c r="G329" s="45" t="s">
        <v>301</v>
      </c>
      <c r="H329" s="45" t="s">
        <v>301</v>
      </c>
      <c r="I329" s="45" t="s">
        <v>301</v>
      </c>
      <c r="U329" s="218" t="str">
        <f t="shared" si="47"/>
        <v/>
      </c>
    </row>
    <row r="330" spans="2:21">
      <c r="B330" s="47" t="s">
        <v>1460</v>
      </c>
      <c r="C330" s="61" t="s">
        <v>2042</v>
      </c>
      <c r="D330" s="45" t="s">
        <v>301</v>
      </c>
      <c r="E330" s="45" t="s">
        <v>301</v>
      </c>
      <c r="F330" s="45" t="s">
        <v>301</v>
      </c>
      <c r="G330" s="45" t="s">
        <v>301</v>
      </c>
      <c r="H330" s="45" t="s">
        <v>301</v>
      </c>
      <c r="I330" s="45" t="s">
        <v>301</v>
      </c>
      <c r="U330" s="218" t="str">
        <f t="shared" si="47"/>
        <v/>
      </c>
    </row>
    <row r="331" spans="2:21">
      <c r="B331" s="47" t="s">
        <v>1461</v>
      </c>
      <c r="C331" s="61" t="s">
        <v>2043</v>
      </c>
      <c r="D331" s="45" t="s">
        <v>301</v>
      </c>
      <c r="E331" s="45" t="s">
        <v>301</v>
      </c>
      <c r="F331" s="45" t="s">
        <v>301</v>
      </c>
      <c r="G331" s="45" t="s">
        <v>301</v>
      </c>
      <c r="H331" s="45" t="s">
        <v>301</v>
      </c>
      <c r="I331" s="45" t="s">
        <v>301</v>
      </c>
      <c r="U331" s="218" t="str">
        <f t="shared" si="47"/>
        <v/>
      </c>
    </row>
    <row r="332" spans="2:21">
      <c r="B332" s="47" t="s">
        <v>1462</v>
      </c>
      <c r="C332" s="61" t="s">
        <v>2044</v>
      </c>
      <c r="D332" s="45" t="s">
        <v>301</v>
      </c>
      <c r="E332" s="45" t="s">
        <v>301</v>
      </c>
      <c r="F332" s="45" t="s">
        <v>301</v>
      </c>
      <c r="G332" s="45" t="s">
        <v>301</v>
      </c>
      <c r="H332" s="45" t="s">
        <v>301</v>
      </c>
      <c r="I332" s="45" t="s">
        <v>301</v>
      </c>
      <c r="U332" s="218" t="str">
        <f t="shared" si="47"/>
        <v/>
      </c>
    </row>
    <row r="333" spans="2:21">
      <c r="B333" s="47" t="s">
        <v>1463</v>
      </c>
      <c r="C333" s="61" t="s">
        <v>2045</v>
      </c>
      <c r="D333" s="45" t="s">
        <v>301</v>
      </c>
      <c r="E333" s="45" t="s">
        <v>301</v>
      </c>
      <c r="F333" s="45" t="s">
        <v>301</v>
      </c>
      <c r="G333" s="45" t="s">
        <v>301</v>
      </c>
      <c r="H333" s="45" t="s">
        <v>301</v>
      </c>
      <c r="I333" s="45" t="s">
        <v>301</v>
      </c>
      <c r="U333" s="218" t="str">
        <f t="shared" si="47"/>
        <v/>
      </c>
    </row>
    <row r="334" spans="2:21">
      <c r="B334" s="62" t="s">
        <v>1464</v>
      </c>
      <c r="C334" s="61" t="s">
        <v>272</v>
      </c>
      <c r="D334" s="45"/>
      <c r="E334" s="45"/>
      <c r="F334" s="45"/>
      <c r="G334" s="45"/>
      <c r="H334" s="45"/>
      <c r="I334" s="45"/>
      <c r="U334" s="217">
        <v>1</v>
      </c>
    </row>
    <row r="335" spans="2:21">
      <c r="B335" s="47" t="s">
        <v>1465</v>
      </c>
      <c r="C335" s="61" t="s">
        <v>2046</v>
      </c>
      <c r="D335" s="45" t="s">
        <v>301</v>
      </c>
      <c r="E335" s="45" t="s">
        <v>301</v>
      </c>
      <c r="F335" s="45" t="s">
        <v>301</v>
      </c>
      <c r="G335" s="45" t="s">
        <v>301</v>
      </c>
      <c r="H335" s="45" t="s">
        <v>301</v>
      </c>
      <c r="I335" s="45" t="s">
        <v>301</v>
      </c>
      <c r="U335" s="218" t="str">
        <f t="shared" ref="U335:U338" si="48">IF(COUNT(D335:I335)&lt;&gt;0,1,"")</f>
        <v/>
      </c>
    </row>
    <row r="336" spans="2:21">
      <c r="B336" s="47" t="s">
        <v>1466</v>
      </c>
      <c r="C336" s="61" t="s">
        <v>2047</v>
      </c>
      <c r="D336" s="45" t="s">
        <v>301</v>
      </c>
      <c r="E336" s="45" t="s">
        <v>301</v>
      </c>
      <c r="F336" s="45" t="s">
        <v>301</v>
      </c>
      <c r="G336" s="45" t="s">
        <v>301</v>
      </c>
      <c r="H336" s="45" t="s">
        <v>301</v>
      </c>
      <c r="I336" s="45" t="s">
        <v>301</v>
      </c>
      <c r="U336" s="218" t="str">
        <f t="shared" si="48"/>
        <v/>
      </c>
    </row>
    <row r="337" spans="2:21">
      <c r="B337" s="47" t="s">
        <v>1467</v>
      </c>
      <c r="C337" s="61" t="s">
        <v>2048</v>
      </c>
      <c r="D337" s="45" t="s">
        <v>301</v>
      </c>
      <c r="E337" s="45" t="s">
        <v>301</v>
      </c>
      <c r="F337" s="45" t="s">
        <v>301</v>
      </c>
      <c r="G337" s="45" t="s">
        <v>301</v>
      </c>
      <c r="H337" s="45" t="s">
        <v>301</v>
      </c>
      <c r="I337" s="45" t="s">
        <v>301</v>
      </c>
      <c r="U337" s="218" t="str">
        <f t="shared" si="48"/>
        <v/>
      </c>
    </row>
    <row r="338" spans="2:21">
      <c r="B338" s="47" t="s">
        <v>1468</v>
      </c>
      <c r="C338" s="61" t="s">
        <v>2049</v>
      </c>
      <c r="D338" s="45" t="s">
        <v>301</v>
      </c>
      <c r="E338" s="45" t="s">
        <v>301</v>
      </c>
      <c r="F338" s="45" t="s">
        <v>301</v>
      </c>
      <c r="G338" s="45" t="s">
        <v>301</v>
      </c>
      <c r="H338" s="45" t="s">
        <v>301</v>
      </c>
      <c r="I338" s="45" t="s">
        <v>301</v>
      </c>
      <c r="U338" s="218" t="str">
        <f t="shared" si="48"/>
        <v/>
      </c>
    </row>
    <row r="339" spans="2:21">
      <c r="B339" s="62" t="s">
        <v>1464</v>
      </c>
      <c r="C339" s="61" t="s">
        <v>272</v>
      </c>
      <c r="D339" s="85"/>
      <c r="E339" s="85"/>
      <c r="F339" s="85"/>
      <c r="G339" s="85"/>
      <c r="H339" s="85"/>
      <c r="I339" s="85"/>
      <c r="U339" s="217">
        <v>1</v>
      </c>
    </row>
    <row r="340" spans="2:21">
      <c r="B340" s="47" t="s">
        <v>1554</v>
      </c>
      <c r="C340" s="61" t="s">
        <v>2050</v>
      </c>
      <c r="D340" s="85" t="s">
        <v>301</v>
      </c>
      <c r="E340" s="85" t="s">
        <v>301</v>
      </c>
      <c r="F340" s="85" t="s">
        <v>301</v>
      </c>
      <c r="G340" s="85" t="s">
        <v>301</v>
      </c>
      <c r="H340" s="85" t="s">
        <v>301</v>
      </c>
      <c r="I340" s="85" t="s">
        <v>301</v>
      </c>
      <c r="U340" s="218" t="str">
        <f t="shared" ref="U340:U343" si="49">IF(COUNT(D340:I340)&lt;&gt;0,1,"")</f>
        <v/>
      </c>
    </row>
    <row r="341" spans="2:21">
      <c r="B341" s="47" t="s">
        <v>1555</v>
      </c>
      <c r="C341" s="61" t="s">
        <v>2051</v>
      </c>
      <c r="D341" s="85" t="s">
        <v>301</v>
      </c>
      <c r="E341" s="85" t="s">
        <v>301</v>
      </c>
      <c r="F341" s="85" t="s">
        <v>301</v>
      </c>
      <c r="G341" s="85" t="s">
        <v>301</v>
      </c>
      <c r="H341" s="85" t="s">
        <v>301</v>
      </c>
      <c r="I341" s="85" t="s">
        <v>301</v>
      </c>
      <c r="U341" s="218" t="str">
        <f t="shared" si="49"/>
        <v/>
      </c>
    </row>
    <row r="342" spans="2:21">
      <c r="B342" s="47" t="s">
        <v>1556</v>
      </c>
      <c r="C342" s="61" t="s">
        <v>2052</v>
      </c>
      <c r="D342" s="85" t="s">
        <v>301</v>
      </c>
      <c r="E342" s="85" t="s">
        <v>301</v>
      </c>
      <c r="F342" s="85" t="s">
        <v>301</v>
      </c>
      <c r="G342" s="85" t="s">
        <v>301</v>
      </c>
      <c r="H342" s="85" t="s">
        <v>301</v>
      </c>
      <c r="I342" s="85" t="s">
        <v>301</v>
      </c>
      <c r="U342" s="218" t="str">
        <f t="shared" si="49"/>
        <v/>
      </c>
    </row>
    <row r="343" spans="2:21">
      <c r="B343" s="47" t="s">
        <v>1557</v>
      </c>
      <c r="C343" s="61" t="s">
        <v>2053</v>
      </c>
      <c r="D343" s="85" t="s">
        <v>301</v>
      </c>
      <c r="E343" s="85" t="s">
        <v>301</v>
      </c>
      <c r="F343" s="85" t="s">
        <v>301</v>
      </c>
      <c r="G343" s="85" t="s">
        <v>301</v>
      </c>
      <c r="H343" s="85" t="s">
        <v>301</v>
      </c>
      <c r="I343" s="85" t="s">
        <v>301</v>
      </c>
      <c r="U343" s="218" t="str">
        <f t="shared" si="49"/>
        <v/>
      </c>
    </row>
    <row r="344" spans="2:21">
      <c r="B344" s="62" t="s">
        <v>1473</v>
      </c>
      <c r="C344" s="61" t="s">
        <v>272</v>
      </c>
      <c r="D344" s="85"/>
      <c r="E344" s="85"/>
      <c r="F344" s="85"/>
      <c r="G344" s="85"/>
      <c r="H344" s="85"/>
      <c r="I344" s="85"/>
      <c r="U344" s="217">
        <v>1</v>
      </c>
    </row>
    <row r="345" spans="2:21">
      <c r="B345" s="47" t="s">
        <v>1474</v>
      </c>
      <c r="C345" s="61" t="s">
        <v>2054</v>
      </c>
      <c r="D345" s="85" t="s">
        <v>301</v>
      </c>
      <c r="E345" s="85" t="s">
        <v>301</v>
      </c>
      <c r="F345" s="85" t="s">
        <v>301</v>
      </c>
      <c r="G345" s="85">
        <v>-5.3</v>
      </c>
      <c r="H345" s="85" t="s">
        <v>301</v>
      </c>
      <c r="I345" s="85" t="s">
        <v>301</v>
      </c>
      <c r="U345" s="218">
        <f t="shared" ref="U345:U349" si="50">IF(COUNT(D345:I345)&lt;&gt;0,1,"")</f>
        <v>1</v>
      </c>
    </row>
    <row r="346" spans="2:21">
      <c r="B346" s="47" t="s">
        <v>1475</v>
      </c>
      <c r="C346" s="61" t="s">
        <v>2055</v>
      </c>
      <c r="D346" s="85" t="s">
        <v>301</v>
      </c>
      <c r="E346" s="85" t="s">
        <v>301</v>
      </c>
      <c r="F346" s="85" t="s">
        <v>301</v>
      </c>
      <c r="G346" s="85" t="s">
        <v>301</v>
      </c>
      <c r="H346" s="85" t="s">
        <v>301</v>
      </c>
      <c r="I346" s="85" t="s">
        <v>301</v>
      </c>
      <c r="U346" s="218" t="str">
        <f t="shared" si="50"/>
        <v/>
      </c>
    </row>
    <row r="347" spans="2:21">
      <c r="B347" s="47" t="s">
        <v>1476</v>
      </c>
      <c r="C347" s="61" t="s">
        <v>2056</v>
      </c>
      <c r="D347" s="85" t="s">
        <v>301</v>
      </c>
      <c r="E347" s="85" t="s">
        <v>301</v>
      </c>
      <c r="F347" s="85" t="s">
        <v>301</v>
      </c>
      <c r="G347" s="85" t="s">
        <v>301</v>
      </c>
      <c r="H347" s="85" t="s">
        <v>301</v>
      </c>
      <c r="I347" s="85" t="s">
        <v>301</v>
      </c>
      <c r="U347" s="218" t="str">
        <f t="shared" si="50"/>
        <v/>
      </c>
    </row>
    <row r="348" spans="2:21">
      <c r="B348" s="47" t="s">
        <v>1477</v>
      </c>
      <c r="C348" s="61" t="s">
        <v>2057</v>
      </c>
      <c r="D348" s="85" t="s">
        <v>301</v>
      </c>
      <c r="E348" s="85" t="s">
        <v>301</v>
      </c>
      <c r="F348" s="85" t="s">
        <v>301</v>
      </c>
      <c r="G348" s="85">
        <v>1.4000000000000001</v>
      </c>
      <c r="H348" s="85" t="s">
        <v>301</v>
      </c>
      <c r="I348" s="85" t="s">
        <v>301</v>
      </c>
      <c r="U348" s="218">
        <f t="shared" si="50"/>
        <v>1</v>
      </c>
    </row>
    <row r="349" spans="2:21">
      <c r="B349" s="47" t="s">
        <v>1478</v>
      </c>
      <c r="C349" s="61" t="s">
        <v>2058</v>
      </c>
      <c r="D349" s="85" t="s">
        <v>301</v>
      </c>
      <c r="E349" s="85" t="s">
        <v>301</v>
      </c>
      <c r="F349" s="85" t="s">
        <v>301</v>
      </c>
      <c r="G349" s="85">
        <v>-3.9</v>
      </c>
      <c r="H349" s="85" t="s">
        <v>301</v>
      </c>
      <c r="I349" s="85" t="s">
        <v>301</v>
      </c>
      <c r="U349" s="218">
        <f t="shared" si="50"/>
        <v>1</v>
      </c>
    </row>
    <row r="350" spans="2:21">
      <c r="B350" s="62" t="s">
        <v>1484</v>
      </c>
      <c r="C350" s="61" t="s">
        <v>272</v>
      </c>
      <c r="D350" s="85"/>
      <c r="E350" s="85"/>
      <c r="F350" s="85"/>
      <c r="G350" s="85"/>
      <c r="H350" s="85"/>
      <c r="I350" s="85"/>
      <c r="U350" s="217">
        <v>1</v>
      </c>
    </row>
    <row r="351" spans="2:21">
      <c r="B351" s="47" t="s">
        <v>1485</v>
      </c>
      <c r="C351" s="61" t="s">
        <v>2059</v>
      </c>
      <c r="D351" s="45" t="s">
        <v>301</v>
      </c>
      <c r="E351" s="45" t="s">
        <v>301</v>
      </c>
      <c r="F351" s="45" t="s">
        <v>301</v>
      </c>
      <c r="G351" s="45" t="s">
        <v>301</v>
      </c>
      <c r="H351" s="45" t="s">
        <v>301</v>
      </c>
      <c r="I351" s="45" t="s">
        <v>301</v>
      </c>
      <c r="U351" s="218" t="str">
        <f t="shared" ref="U351:U354" si="51">IF(COUNT(D351:I351)&lt;&gt;0,1,"")</f>
        <v/>
      </c>
    </row>
    <row r="352" spans="2:21">
      <c r="B352" s="47" t="s">
        <v>1486</v>
      </c>
      <c r="C352" s="61" t="s">
        <v>2060</v>
      </c>
      <c r="D352" s="45" t="s">
        <v>301</v>
      </c>
      <c r="E352" s="45" t="s">
        <v>301</v>
      </c>
      <c r="F352" s="45" t="s">
        <v>301</v>
      </c>
      <c r="G352" s="45" t="s">
        <v>301</v>
      </c>
      <c r="H352" s="45" t="s">
        <v>301</v>
      </c>
      <c r="I352" s="45" t="s">
        <v>301</v>
      </c>
      <c r="U352" s="218" t="str">
        <f t="shared" si="51"/>
        <v/>
      </c>
    </row>
    <row r="353" spans="2:21">
      <c r="B353" s="47" t="s">
        <v>1487</v>
      </c>
      <c r="C353" s="61" t="s">
        <v>2061</v>
      </c>
      <c r="D353" s="45" t="s">
        <v>301</v>
      </c>
      <c r="E353" s="45" t="s">
        <v>301</v>
      </c>
      <c r="F353" s="45" t="s">
        <v>301</v>
      </c>
      <c r="G353" s="45" t="s">
        <v>301</v>
      </c>
      <c r="H353" s="45" t="s">
        <v>301</v>
      </c>
      <c r="I353" s="45" t="s">
        <v>301</v>
      </c>
      <c r="U353" s="218" t="str">
        <f t="shared" si="51"/>
        <v/>
      </c>
    </row>
    <row r="354" spans="2:21">
      <c r="B354" s="47" t="s">
        <v>1488</v>
      </c>
      <c r="C354" s="61" t="s">
        <v>2062</v>
      </c>
      <c r="D354" s="45" t="s">
        <v>301</v>
      </c>
      <c r="E354" s="45" t="s">
        <v>301</v>
      </c>
      <c r="F354" s="45" t="s">
        <v>301</v>
      </c>
      <c r="G354" s="45" t="s">
        <v>301</v>
      </c>
      <c r="H354" s="45" t="s">
        <v>301</v>
      </c>
      <c r="I354" s="45" t="s">
        <v>301</v>
      </c>
      <c r="U354" s="218" t="str">
        <f t="shared" si="51"/>
        <v/>
      </c>
    </row>
    <row r="355" spans="2:21">
      <c r="B355" s="62" t="s">
        <v>1489</v>
      </c>
      <c r="C355" s="61" t="s">
        <v>272</v>
      </c>
      <c r="D355" s="85"/>
      <c r="E355" s="85"/>
      <c r="F355" s="85"/>
      <c r="G355" s="85"/>
      <c r="H355" s="85"/>
      <c r="I355" s="85"/>
      <c r="U355" s="217">
        <v>1</v>
      </c>
    </row>
    <row r="356" spans="2:21">
      <c r="B356" s="47" t="s">
        <v>1558</v>
      </c>
      <c r="C356" s="61" t="s">
        <v>2063</v>
      </c>
      <c r="D356" s="85" t="s">
        <v>301</v>
      </c>
      <c r="E356" s="85" t="s">
        <v>301</v>
      </c>
      <c r="F356" s="85" t="s">
        <v>301</v>
      </c>
      <c r="G356" s="85">
        <v>1.3</v>
      </c>
      <c r="H356" s="85" t="s">
        <v>301</v>
      </c>
      <c r="I356" s="85" t="s">
        <v>301</v>
      </c>
      <c r="U356" s="218">
        <f t="shared" ref="U356:U361" si="52">IF(COUNT(D356:I356)&lt;&gt;0,1,"")</f>
        <v>1</v>
      </c>
    </row>
    <row r="357" spans="2:21">
      <c r="B357" s="47" t="s">
        <v>1559</v>
      </c>
      <c r="C357" s="61" t="s">
        <v>2064</v>
      </c>
      <c r="D357" s="85" t="s">
        <v>301</v>
      </c>
      <c r="E357" s="85" t="s">
        <v>301</v>
      </c>
      <c r="F357" s="85" t="s">
        <v>301</v>
      </c>
      <c r="G357" s="85">
        <v>1.2</v>
      </c>
      <c r="H357" s="85" t="s">
        <v>301</v>
      </c>
      <c r="I357" s="85" t="s">
        <v>301</v>
      </c>
      <c r="U357" s="218">
        <f t="shared" si="52"/>
        <v>1</v>
      </c>
    </row>
    <row r="358" spans="2:21">
      <c r="B358" s="47" t="s">
        <v>1560</v>
      </c>
      <c r="C358" s="61" t="s">
        <v>2065</v>
      </c>
      <c r="D358" s="85" t="s">
        <v>301</v>
      </c>
      <c r="E358" s="85" t="s">
        <v>301</v>
      </c>
      <c r="F358" s="85" t="s">
        <v>301</v>
      </c>
      <c r="G358" s="85">
        <v>1.1000000000000001</v>
      </c>
      <c r="H358" s="85" t="s">
        <v>301</v>
      </c>
      <c r="I358" s="85" t="s">
        <v>301</v>
      </c>
      <c r="U358" s="218">
        <f t="shared" si="52"/>
        <v>1</v>
      </c>
    </row>
    <row r="359" spans="2:21">
      <c r="B359" s="47" t="s">
        <v>1561</v>
      </c>
      <c r="C359" s="61" t="s">
        <v>2066</v>
      </c>
      <c r="D359" s="85" t="s">
        <v>301</v>
      </c>
      <c r="E359" s="85" t="s">
        <v>301</v>
      </c>
      <c r="F359" s="85" t="s">
        <v>301</v>
      </c>
      <c r="G359" s="85">
        <v>1.1000000000000001</v>
      </c>
      <c r="H359" s="85" t="s">
        <v>301</v>
      </c>
      <c r="I359" s="85" t="s">
        <v>301</v>
      </c>
      <c r="U359" s="218">
        <f t="shared" si="52"/>
        <v>1</v>
      </c>
    </row>
    <row r="360" spans="2:21">
      <c r="B360" s="47" t="s">
        <v>1562</v>
      </c>
      <c r="C360" s="61" t="s">
        <v>2067</v>
      </c>
      <c r="D360" s="85" t="s">
        <v>301</v>
      </c>
      <c r="E360" s="85" t="s">
        <v>301</v>
      </c>
      <c r="F360" s="85" t="s">
        <v>301</v>
      </c>
      <c r="G360" s="85">
        <v>1</v>
      </c>
      <c r="H360" s="85" t="s">
        <v>301</v>
      </c>
      <c r="I360" s="85" t="s">
        <v>301</v>
      </c>
      <c r="U360" s="218">
        <f t="shared" si="52"/>
        <v>1</v>
      </c>
    </row>
    <row r="361" spans="2:21">
      <c r="B361" s="47" t="s">
        <v>1563</v>
      </c>
      <c r="C361" s="61" t="s">
        <v>2068</v>
      </c>
      <c r="D361" s="85" t="s">
        <v>301</v>
      </c>
      <c r="E361" s="85" t="s">
        <v>301</v>
      </c>
      <c r="F361" s="85" t="s">
        <v>301</v>
      </c>
      <c r="G361" s="85">
        <v>3.6</v>
      </c>
      <c r="H361" s="85" t="s">
        <v>301</v>
      </c>
      <c r="I361" s="85" t="s">
        <v>301</v>
      </c>
      <c r="U361" s="218">
        <f t="shared" si="52"/>
        <v>1</v>
      </c>
    </row>
    <row r="362" spans="2:21">
      <c r="B362" s="62" t="s">
        <v>1496</v>
      </c>
      <c r="C362" s="61" t="s">
        <v>272</v>
      </c>
      <c r="D362" s="85"/>
      <c r="E362" s="85"/>
      <c r="F362" s="85"/>
      <c r="G362" s="85"/>
      <c r="H362" s="85"/>
      <c r="I362" s="85"/>
      <c r="U362" s="217">
        <v>1</v>
      </c>
    </row>
    <row r="363" spans="2:21">
      <c r="B363" s="47" t="s">
        <v>1564</v>
      </c>
      <c r="C363" s="61" t="s">
        <v>2069</v>
      </c>
      <c r="D363" s="85" t="s">
        <v>301</v>
      </c>
      <c r="E363" s="85" t="s">
        <v>301</v>
      </c>
      <c r="F363" s="85" t="s">
        <v>301</v>
      </c>
      <c r="G363" s="85" t="s">
        <v>301</v>
      </c>
      <c r="H363" s="85" t="s">
        <v>301</v>
      </c>
      <c r="I363" s="85" t="s">
        <v>301</v>
      </c>
      <c r="U363" s="218" t="str">
        <f t="shared" ref="U363:U370" si="53">IF(COUNT(D363:I363)&lt;&gt;0,1,"")</f>
        <v/>
      </c>
    </row>
    <row r="364" spans="2:21">
      <c r="B364" s="47" t="s">
        <v>1565</v>
      </c>
      <c r="C364" s="61" t="s">
        <v>2070</v>
      </c>
      <c r="D364" s="85" t="s">
        <v>301</v>
      </c>
      <c r="E364" s="85" t="s">
        <v>301</v>
      </c>
      <c r="F364" s="85" t="s">
        <v>301</v>
      </c>
      <c r="G364" s="85" t="s">
        <v>301</v>
      </c>
      <c r="H364" s="85" t="s">
        <v>301</v>
      </c>
      <c r="I364" s="85" t="s">
        <v>301</v>
      </c>
      <c r="U364" s="218" t="str">
        <f t="shared" si="53"/>
        <v/>
      </c>
    </row>
    <row r="365" spans="2:21">
      <c r="B365" s="47" t="s">
        <v>1566</v>
      </c>
      <c r="C365" s="61" t="s">
        <v>2071</v>
      </c>
      <c r="D365" s="85" t="s">
        <v>301</v>
      </c>
      <c r="E365" s="85" t="s">
        <v>301</v>
      </c>
      <c r="F365" s="85" t="s">
        <v>301</v>
      </c>
      <c r="G365" s="85" t="s">
        <v>301</v>
      </c>
      <c r="H365" s="85" t="s">
        <v>301</v>
      </c>
      <c r="I365" s="85" t="s">
        <v>301</v>
      </c>
      <c r="U365" s="218" t="str">
        <f t="shared" si="53"/>
        <v/>
      </c>
    </row>
    <row r="366" spans="2:21">
      <c r="B366" s="47" t="s">
        <v>1567</v>
      </c>
      <c r="C366" s="61" t="s">
        <v>2072</v>
      </c>
      <c r="D366" s="85" t="s">
        <v>301</v>
      </c>
      <c r="E366" s="85" t="s">
        <v>301</v>
      </c>
      <c r="F366" s="85" t="s">
        <v>301</v>
      </c>
      <c r="G366" s="85" t="s">
        <v>301</v>
      </c>
      <c r="H366" s="85" t="s">
        <v>301</v>
      </c>
      <c r="I366" s="85" t="s">
        <v>301</v>
      </c>
      <c r="U366" s="218" t="str">
        <f t="shared" si="53"/>
        <v/>
      </c>
    </row>
    <row r="367" spans="2:21">
      <c r="B367" s="47" t="s">
        <v>1501</v>
      </c>
      <c r="C367" s="61" t="s">
        <v>2073</v>
      </c>
      <c r="D367" s="85" t="s">
        <v>301</v>
      </c>
      <c r="E367" s="85" t="s">
        <v>301</v>
      </c>
      <c r="F367" s="85" t="s">
        <v>301</v>
      </c>
      <c r="G367" s="85" t="s">
        <v>301</v>
      </c>
      <c r="H367" s="85" t="s">
        <v>301</v>
      </c>
      <c r="I367" s="85" t="s">
        <v>301</v>
      </c>
      <c r="U367" s="218" t="str">
        <f t="shared" si="53"/>
        <v/>
      </c>
    </row>
    <row r="368" spans="2:21">
      <c r="B368" s="47" t="s">
        <v>1502</v>
      </c>
      <c r="C368" s="61" t="s">
        <v>2074</v>
      </c>
      <c r="D368" s="85" t="s">
        <v>301</v>
      </c>
      <c r="E368" s="85" t="s">
        <v>301</v>
      </c>
      <c r="F368" s="85" t="s">
        <v>301</v>
      </c>
      <c r="G368" s="85" t="s">
        <v>301</v>
      </c>
      <c r="H368" s="85" t="s">
        <v>301</v>
      </c>
      <c r="I368" s="85" t="s">
        <v>301</v>
      </c>
      <c r="U368" s="218" t="str">
        <f t="shared" si="53"/>
        <v/>
      </c>
    </row>
    <row r="369" spans="2:21">
      <c r="B369" s="47" t="s">
        <v>1503</v>
      </c>
      <c r="C369" s="61" t="s">
        <v>2075</v>
      </c>
      <c r="D369" s="85" t="s">
        <v>301</v>
      </c>
      <c r="E369" s="85" t="s">
        <v>301</v>
      </c>
      <c r="F369" s="85" t="s">
        <v>301</v>
      </c>
      <c r="G369" s="85" t="s">
        <v>301</v>
      </c>
      <c r="H369" s="85" t="s">
        <v>301</v>
      </c>
      <c r="I369" s="85" t="s">
        <v>301</v>
      </c>
      <c r="U369" s="218" t="str">
        <f t="shared" si="53"/>
        <v/>
      </c>
    </row>
    <row r="370" spans="2:21">
      <c r="B370" s="47" t="s">
        <v>1568</v>
      </c>
      <c r="C370" s="61" t="s">
        <v>2076</v>
      </c>
      <c r="D370" s="85" t="s">
        <v>301</v>
      </c>
      <c r="E370" s="85" t="s">
        <v>301</v>
      </c>
      <c r="F370" s="85" t="s">
        <v>301</v>
      </c>
      <c r="G370" s="85" t="s">
        <v>301</v>
      </c>
      <c r="H370" s="85" t="s">
        <v>301</v>
      </c>
      <c r="I370" s="85" t="s">
        <v>301</v>
      </c>
      <c r="U370" s="218" t="str">
        <f t="shared" si="53"/>
        <v/>
      </c>
    </row>
    <row r="371" spans="2:21">
      <c r="B371" s="62" t="s">
        <v>1505</v>
      </c>
      <c r="C371" s="61" t="s">
        <v>272</v>
      </c>
      <c r="D371" s="85"/>
      <c r="E371" s="85"/>
      <c r="F371" s="85"/>
      <c r="G371" s="85"/>
      <c r="H371" s="85"/>
      <c r="I371" s="85"/>
      <c r="U371" s="217">
        <v>1</v>
      </c>
    </row>
    <row r="372" spans="2:21">
      <c r="B372" s="47" t="s">
        <v>1569</v>
      </c>
      <c r="C372" s="61" t="s">
        <v>2077</v>
      </c>
      <c r="D372" s="85" t="s">
        <v>301</v>
      </c>
      <c r="E372" s="85" t="s">
        <v>301</v>
      </c>
      <c r="F372" s="85" t="s">
        <v>301</v>
      </c>
      <c r="G372" s="85" t="s">
        <v>301</v>
      </c>
      <c r="H372" s="85" t="s">
        <v>301</v>
      </c>
      <c r="I372" s="85" t="s">
        <v>301</v>
      </c>
      <c r="U372" s="218" t="str">
        <f t="shared" ref="U372:U374" si="54">IF(COUNT(D372:I372)&lt;&gt;0,1,"")</f>
        <v/>
      </c>
    </row>
    <row r="373" spans="2:21">
      <c r="B373" s="47" t="s">
        <v>1570</v>
      </c>
      <c r="C373" s="61" t="s">
        <v>2078</v>
      </c>
      <c r="D373" s="85" t="s">
        <v>301</v>
      </c>
      <c r="E373" s="85" t="s">
        <v>301</v>
      </c>
      <c r="F373" s="85" t="s">
        <v>301</v>
      </c>
      <c r="G373" s="85" t="s">
        <v>301</v>
      </c>
      <c r="H373" s="85" t="s">
        <v>301</v>
      </c>
      <c r="I373" s="85" t="s">
        <v>301</v>
      </c>
      <c r="U373" s="218" t="str">
        <f t="shared" si="54"/>
        <v/>
      </c>
    </row>
    <row r="374" spans="2:21">
      <c r="B374" s="47" t="s">
        <v>1571</v>
      </c>
      <c r="C374" s="61" t="s">
        <v>2079</v>
      </c>
      <c r="D374" s="85" t="s">
        <v>301</v>
      </c>
      <c r="E374" s="85" t="s">
        <v>301</v>
      </c>
      <c r="F374" s="85" t="s">
        <v>301</v>
      </c>
      <c r="G374" s="85">
        <v>-9.2000000000000011</v>
      </c>
      <c r="H374" s="85" t="s">
        <v>301</v>
      </c>
      <c r="I374" s="85" t="s">
        <v>301</v>
      </c>
      <c r="U374" s="218">
        <f t="shared" si="54"/>
        <v>1</v>
      </c>
    </row>
    <row r="375" spans="2:21">
      <c r="B375" s="62" t="s">
        <v>1521</v>
      </c>
      <c r="C375" s="61" t="s">
        <v>272</v>
      </c>
      <c r="D375" s="85"/>
      <c r="E375" s="85"/>
      <c r="F375" s="85"/>
      <c r="G375" s="85"/>
      <c r="H375" s="85"/>
      <c r="I375" s="85"/>
      <c r="U375" s="217">
        <v>1</v>
      </c>
    </row>
    <row r="376" spans="2:21">
      <c r="B376" s="47" t="s">
        <v>1579</v>
      </c>
      <c r="C376" s="61" t="s">
        <v>2080</v>
      </c>
      <c r="D376" s="85" t="s">
        <v>301</v>
      </c>
      <c r="E376" s="85" t="s">
        <v>301</v>
      </c>
      <c r="F376" s="85" t="s">
        <v>301</v>
      </c>
      <c r="G376" s="85" t="s">
        <v>301</v>
      </c>
      <c r="H376" s="85" t="s">
        <v>301</v>
      </c>
      <c r="I376" s="85" t="s">
        <v>301</v>
      </c>
      <c r="U376" s="218" t="str">
        <f t="shared" ref="U376:U379" si="55">IF(COUNT(D376:I376)&lt;&gt;0,1,"")</f>
        <v/>
      </c>
    </row>
    <row r="377" spans="2:21">
      <c r="B377" s="47" t="s">
        <v>1580</v>
      </c>
      <c r="C377" s="61" t="s">
        <v>2081</v>
      </c>
      <c r="D377" s="85" t="s">
        <v>301</v>
      </c>
      <c r="E377" s="85" t="s">
        <v>301</v>
      </c>
      <c r="F377" s="85" t="s">
        <v>301</v>
      </c>
      <c r="G377" s="85" t="s">
        <v>301</v>
      </c>
      <c r="H377" s="85" t="s">
        <v>301</v>
      </c>
      <c r="I377" s="85" t="s">
        <v>301</v>
      </c>
      <c r="U377" s="218" t="str">
        <f t="shared" si="55"/>
        <v/>
      </c>
    </row>
    <row r="378" spans="2:21">
      <c r="B378" s="47" t="s">
        <v>1581</v>
      </c>
      <c r="C378" s="61" t="s">
        <v>2082</v>
      </c>
      <c r="D378" s="85" t="s">
        <v>301</v>
      </c>
      <c r="E378" s="85" t="s">
        <v>301</v>
      </c>
      <c r="F378" s="85" t="s">
        <v>301</v>
      </c>
      <c r="G378" s="85" t="s">
        <v>301</v>
      </c>
      <c r="H378" s="85" t="s">
        <v>301</v>
      </c>
      <c r="I378" s="85" t="s">
        <v>301</v>
      </c>
      <c r="U378" s="218" t="str">
        <f t="shared" si="55"/>
        <v/>
      </c>
    </row>
    <row r="379" spans="2:21">
      <c r="B379" s="47" t="s">
        <v>1582</v>
      </c>
      <c r="C379" s="61" t="s">
        <v>2083</v>
      </c>
      <c r="D379" s="85" t="s">
        <v>301</v>
      </c>
      <c r="E379" s="85" t="s">
        <v>301</v>
      </c>
      <c r="F379" s="85" t="s">
        <v>301</v>
      </c>
      <c r="G379" s="85" t="s">
        <v>301</v>
      </c>
      <c r="H379" s="85" t="s">
        <v>301</v>
      </c>
      <c r="I379" s="85" t="s">
        <v>301</v>
      </c>
      <c r="U379" s="218" t="str">
        <f t="shared" si="55"/>
        <v/>
      </c>
    </row>
    <row r="380" spans="2:21">
      <c r="B380" s="62" t="s">
        <v>1526</v>
      </c>
      <c r="C380" s="61" t="s">
        <v>272</v>
      </c>
      <c r="D380" s="85"/>
      <c r="E380" s="85"/>
      <c r="F380" s="85"/>
      <c r="G380" s="85"/>
      <c r="H380" s="85"/>
      <c r="I380" s="85"/>
      <c r="U380" s="217">
        <v>1</v>
      </c>
    </row>
    <row r="381" spans="2:21">
      <c r="B381" s="47" t="s">
        <v>1583</v>
      </c>
      <c r="C381" s="61" t="s">
        <v>2084</v>
      </c>
      <c r="D381" s="45" t="s">
        <v>301</v>
      </c>
      <c r="E381" s="45" t="s">
        <v>301</v>
      </c>
      <c r="F381" s="45" t="s">
        <v>301</v>
      </c>
      <c r="G381" s="45" t="s">
        <v>301</v>
      </c>
      <c r="H381" s="45" t="s">
        <v>301</v>
      </c>
      <c r="I381" s="45" t="s">
        <v>301</v>
      </c>
      <c r="U381" s="218" t="str">
        <f t="shared" ref="U381:U382" si="56">IF(COUNT(D381:I381)&lt;&gt;0,1,"")</f>
        <v/>
      </c>
    </row>
    <row r="382" spans="2:21">
      <c r="B382" s="47" t="s">
        <v>1584</v>
      </c>
      <c r="C382" s="61" t="s">
        <v>2085</v>
      </c>
      <c r="D382" s="45" t="s">
        <v>301</v>
      </c>
      <c r="E382" s="45" t="s">
        <v>301</v>
      </c>
      <c r="F382" s="45" t="s">
        <v>301</v>
      </c>
      <c r="G382" s="45" t="s">
        <v>301</v>
      </c>
      <c r="H382" s="45" t="s">
        <v>301</v>
      </c>
      <c r="I382" s="45" t="s">
        <v>301</v>
      </c>
      <c r="U382" s="218" t="str">
        <f t="shared" si="56"/>
        <v/>
      </c>
    </row>
    <row r="383" spans="2:21">
      <c r="B383" s="47"/>
      <c r="C383" s="61" t="s">
        <v>272</v>
      </c>
      <c r="D383" s="85"/>
      <c r="E383" s="85"/>
      <c r="F383" s="85"/>
      <c r="G383" s="85"/>
      <c r="H383" s="85"/>
      <c r="I383" s="85"/>
      <c r="U383" s="217">
        <v>1</v>
      </c>
    </row>
    <row r="384" spans="2:21">
      <c r="B384" s="62" t="s">
        <v>1586</v>
      </c>
      <c r="C384" s="61" t="s">
        <v>272</v>
      </c>
      <c r="D384" s="85"/>
      <c r="E384" s="85"/>
      <c r="F384" s="85"/>
      <c r="G384" s="85"/>
      <c r="H384" s="85"/>
      <c r="I384" s="85"/>
      <c r="U384" s="217">
        <v>1</v>
      </c>
    </row>
    <row r="385" spans="2:21">
      <c r="B385" s="62" t="s">
        <v>1425</v>
      </c>
      <c r="C385" s="61" t="s">
        <v>272</v>
      </c>
      <c r="D385" s="85"/>
      <c r="E385" s="85"/>
      <c r="F385" s="85"/>
      <c r="G385" s="85"/>
      <c r="H385" s="85"/>
      <c r="I385" s="85"/>
      <c r="U385" s="217">
        <v>1</v>
      </c>
    </row>
    <row r="386" spans="2:21">
      <c r="B386" s="47" t="s">
        <v>1436</v>
      </c>
      <c r="C386" s="61" t="s">
        <v>2086</v>
      </c>
      <c r="D386" s="85" t="s">
        <v>301</v>
      </c>
      <c r="E386" s="85" t="s">
        <v>301</v>
      </c>
      <c r="F386" s="85" t="s">
        <v>301</v>
      </c>
      <c r="G386" s="85" t="s">
        <v>301</v>
      </c>
      <c r="H386" s="85" t="s">
        <v>301</v>
      </c>
      <c r="I386" s="85" t="s">
        <v>301</v>
      </c>
      <c r="U386" s="218" t="str">
        <f t="shared" ref="U386:U392" si="57">IF(COUNT(D386:I386)&lt;&gt;0,1,"")</f>
        <v/>
      </c>
    </row>
    <row r="387" spans="2:21">
      <c r="B387" s="47" t="s">
        <v>1530</v>
      </c>
      <c r="C387" s="61" t="s">
        <v>2087</v>
      </c>
      <c r="D387" s="85" t="s">
        <v>301</v>
      </c>
      <c r="E387" s="85" t="s">
        <v>301</v>
      </c>
      <c r="F387" s="85" t="s">
        <v>301</v>
      </c>
      <c r="G387" s="85" t="s">
        <v>301</v>
      </c>
      <c r="H387" s="85" t="s">
        <v>301</v>
      </c>
      <c r="I387" s="85" t="s">
        <v>301</v>
      </c>
      <c r="U387" s="218" t="str">
        <f t="shared" si="57"/>
        <v/>
      </c>
    </row>
    <row r="388" spans="2:21">
      <c r="B388" s="47" t="s">
        <v>1587</v>
      </c>
      <c r="C388" s="61" t="s">
        <v>2088</v>
      </c>
      <c r="D388" s="85" t="s">
        <v>301</v>
      </c>
      <c r="E388" s="85" t="s">
        <v>301</v>
      </c>
      <c r="F388" s="85" t="s">
        <v>301</v>
      </c>
      <c r="G388" s="85" t="s">
        <v>301</v>
      </c>
      <c r="H388" s="85" t="s">
        <v>301</v>
      </c>
      <c r="I388" s="85" t="s">
        <v>301</v>
      </c>
      <c r="U388" s="218" t="str">
        <f t="shared" si="57"/>
        <v/>
      </c>
    </row>
    <row r="389" spans="2:21">
      <c r="B389" s="47" t="s">
        <v>1532</v>
      </c>
      <c r="C389" s="61" t="s">
        <v>2089</v>
      </c>
      <c r="D389" s="85" t="s">
        <v>301</v>
      </c>
      <c r="E389" s="85" t="s">
        <v>301</v>
      </c>
      <c r="F389" s="85" t="s">
        <v>301</v>
      </c>
      <c r="G389" s="85" t="s">
        <v>301</v>
      </c>
      <c r="H389" s="85" t="s">
        <v>301</v>
      </c>
      <c r="I389" s="85" t="s">
        <v>301</v>
      </c>
      <c r="U389" s="218" t="str">
        <f t="shared" si="57"/>
        <v/>
      </c>
    </row>
    <row r="390" spans="2:21">
      <c r="B390" s="47" t="s">
        <v>1533</v>
      </c>
      <c r="C390" s="61" t="s">
        <v>2090</v>
      </c>
      <c r="D390" s="85" t="s">
        <v>301</v>
      </c>
      <c r="E390" s="85" t="s">
        <v>301</v>
      </c>
      <c r="F390" s="85" t="s">
        <v>301</v>
      </c>
      <c r="G390" s="85" t="s">
        <v>301</v>
      </c>
      <c r="H390" s="85" t="s">
        <v>301</v>
      </c>
      <c r="I390" s="85" t="s">
        <v>301</v>
      </c>
      <c r="U390" s="218" t="str">
        <f t="shared" si="57"/>
        <v/>
      </c>
    </row>
    <row r="391" spans="2:21">
      <c r="B391" s="47" t="s">
        <v>1431</v>
      </c>
      <c r="C391" s="61" t="s">
        <v>2091</v>
      </c>
      <c r="D391" s="85" t="s">
        <v>301</v>
      </c>
      <c r="E391" s="85" t="s">
        <v>301</v>
      </c>
      <c r="F391" s="85" t="s">
        <v>301</v>
      </c>
      <c r="G391" s="85" t="s">
        <v>301</v>
      </c>
      <c r="H391" s="85" t="s">
        <v>301</v>
      </c>
      <c r="I391" s="85" t="s">
        <v>301</v>
      </c>
      <c r="U391" s="218" t="str">
        <f t="shared" si="57"/>
        <v/>
      </c>
    </row>
    <row r="392" spans="2:21">
      <c r="B392" s="47" t="s">
        <v>1534</v>
      </c>
      <c r="C392" s="61" t="s">
        <v>2092</v>
      </c>
      <c r="D392" s="85" t="s">
        <v>301</v>
      </c>
      <c r="E392" s="85" t="s">
        <v>301</v>
      </c>
      <c r="F392" s="85" t="s">
        <v>301</v>
      </c>
      <c r="G392" s="85" t="s">
        <v>301</v>
      </c>
      <c r="H392" s="85" t="s">
        <v>301</v>
      </c>
      <c r="I392" s="85" t="s">
        <v>301</v>
      </c>
      <c r="U392" s="218" t="str">
        <f t="shared" si="57"/>
        <v/>
      </c>
    </row>
    <row r="393" spans="2:21">
      <c r="B393" s="62" t="s">
        <v>1434</v>
      </c>
      <c r="C393" s="61" t="s">
        <v>272</v>
      </c>
      <c r="D393" s="85"/>
      <c r="E393" s="85"/>
      <c r="F393" s="85"/>
      <c r="G393" s="85"/>
      <c r="H393" s="85"/>
      <c r="I393" s="85"/>
      <c r="U393" s="217">
        <v>1</v>
      </c>
    </row>
    <row r="394" spans="2:21">
      <c r="B394" s="47" t="s">
        <v>1535</v>
      </c>
      <c r="C394" s="61" t="s">
        <v>2093</v>
      </c>
      <c r="D394" s="85" t="s">
        <v>301</v>
      </c>
      <c r="E394" s="85" t="s">
        <v>301</v>
      </c>
      <c r="F394" s="85" t="s">
        <v>301</v>
      </c>
      <c r="G394" s="85" t="s">
        <v>301</v>
      </c>
      <c r="H394" s="85" t="s">
        <v>301</v>
      </c>
      <c r="I394" s="85" t="s">
        <v>301</v>
      </c>
      <c r="U394" s="218" t="str">
        <f t="shared" ref="U394:U405" si="58">IF(COUNT(D394:I394)&lt;&gt;0,1,"")</f>
        <v/>
      </c>
    </row>
    <row r="395" spans="2:21">
      <c r="B395" s="47" t="s">
        <v>1436</v>
      </c>
      <c r="C395" s="61" t="s">
        <v>2094</v>
      </c>
      <c r="D395" s="85" t="s">
        <v>301</v>
      </c>
      <c r="E395" s="85" t="s">
        <v>301</v>
      </c>
      <c r="F395" s="85" t="s">
        <v>301</v>
      </c>
      <c r="G395" s="85" t="s">
        <v>301</v>
      </c>
      <c r="H395" s="85" t="s">
        <v>301</v>
      </c>
      <c r="I395" s="85" t="s">
        <v>301</v>
      </c>
      <c r="U395" s="218" t="str">
        <f t="shared" si="58"/>
        <v/>
      </c>
    </row>
    <row r="396" spans="2:21">
      <c r="B396" s="47" t="s">
        <v>1530</v>
      </c>
      <c r="C396" s="61" t="s">
        <v>2095</v>
      </c>
      <c r="D396" s="85" t="s">
        <v>301</v>
      </c>
      <c r="E396" s="85" t="s">
        <v>301</v>
      </c>
      <c r="F396" s="85" t="s">
        <v>301</v>
      </c>
      <c r="G396" s="85" t="s">
        <v>301</v>
      </c>
      <c r="H396" s="85" t="s">
        <v>301</v>
      </c>
      <c r="I396" s="85" t="s">
        <v>301</v>
      </c>
      <c r="U396" s="218" t="str">
        <f t="shared" si="58"/>
        <v/>
      </c>
    </row>
    <row r="397" spans="2:21">
      <c r="B397" s="47" t="s">
        <v>1536</v>
      </c>
      <c r="C397" s="61" t="s">
        <v>2096</v>
      </c>
      <c r="D397" s="85" t="s">
        <v>301</v>
      </c>
      <c r="E397" s="85" t="s">
        <v>301</v>
      </c>
      <c r="F397" s="85" t="s">
        <v>301</v>
      </c>
      <c r="G397" s="85" t="s">
        <v>301</v>
      </c>
      <c r="H397" s="85" t="s">
        <v>301</v>
      </c>
      <c r="I397" s="85" t="s">
        <v>301</v>
      </c>
      <c r="U397" s="218" t="str">
        <f t="shared" si="58"/>
        <v/>
      </c>
    </row>
    <row r="398" spans="2:21">
      <c r="B398" s="47" t="s">
        <v>1537</v>
      </c>
      <c r="C398" s="61" t="s">
        <v>2097</v>
      </c>
      <c r="D398" s="85" t="s">
        <v>301</v>
      </c>
      <c r="E398" s="85" t="s">
        <v>301</v>
      </c>
      <c r="F398" s="85" t="s">
        <v>301</v>
      </c>
      <c r="G398" s="85" t="s">
        <v>301</v>
      </c>
      <c r="H398" s="85" t="s">
        <v>301</v>
      </c>
      <c r="I398" s="85" t="s">
        <v>301</v>
      </c>
      <c r="U398" s="218" t="str">
        <f t="shared" si="58"/>
        <v/>
      </c>
    </row>
    <row r="399" spans="2:21">
      <c r="B399" s="47" t="s">
        <v>1439</v>
      </c>
      <c r="C399" s="61" t="s">
        <v>2098</v>
      </c>
      <c r="D399" s="85" t="s">
        <v>301</v>
      </c>
      <c r="E399" s="85" t="s">
        <v>301</v>
      </c>
      <c r="F399" s="85" t="s">
        <v>301</v>
      </c>
      <c r="G399" s="85" t="s">
        <v>301</v>
      </c>
      <c r="H399" s="85" t="s">
        <v>301</v>
      </c>
      <c r="I399" s="85" t="s">
        <v>301</v>
      </c>
      <c r="U399" s="218" t="str">
        <f t="shared" si="58"/>
        <v/>
      </c>
    </row>
    <row r="400" spans="2:21">
      <c r="B400" s="47" t="s">
        <v>1538</v>
      </c>
      <c r="C400" s="61" t="s">
        <v>2099</v>
      </c>
      <c r="D400" s="85" t="s">
        <v>301</v>
      </c>
      <c r="E400" s="85" t="s">
        <v>301</v>
      </c>
      <c r="F400" s="85" t="s">
        <v>301</v>
      </c>
      <c r="G400" s="85" t="s">
        <v>301</v>
      </c>
      <c r="H400" s="85" t="s">
        <v>301</v>
      </c>
      <c r="I400" s="85" t="s">
        <v>301</v>
      </c>
      <c r="U400" s="218" t="str">
        <f t="shared" si="58"/>
        <v/>
      </c>
    </row>
    <row r="401" spans="2:21">
      <c r="B401" s="47" t="s">
        <v>1539</v>
      </c>
      <c r="C401" s="61" t="s">
        <v>2100</v>
      </c>
      <c r="D401" s="85" t="s">
        <v>301</v>
      </c>
      <c r="E401" s="85" t="s">
        <v>301</v>
      </c>
      <c r="F401" s="85" t="s">
        <v>301</v>
      </c>
      <c r="G401" s="85" t="s">
        <v>301</v>
      </c>
      <c r="H401" s="85" t="s">
        <v>301</v>
      </c>
      <c r="I401" s="85" t="s">
        <v>301</v>
      </c>
      <c r="U401" s="218" t="str">
        <f t="shared" si="58"/>
        <v/>
      </c>
    </row>
    <row r="402" spans="2:21">
      <c r="B402" s="47" t="s">
        <v>1540</v>
      </c>
      <c r="C402" s="61" t="s">
        <v>2101</v>
      </c>
      <c r="D402" s="85" t="s">
        <v>301</v>
      </c>
      <c r="E402" s="85" t="s">
        <v>301</v>
      </c>
      <c r="F402" s="85" t="s">
        <v>301</v>
      </c>
      <c r="G402" s="85" t="s">
        <v>301</v>
      </c>
      <c r="H402" s="85" t="s">
        <v>301</v>
      </c>
      <c r="I402" s="85" t="s">
        <v>301</v>
      </c>
      <c r="U402" s="218" t="str">
        <f t="shared" si="58"/>
        <v/>
      </c>
    </row>
    <row r="403" spans="2:21">
      <c r="B403" s="47" t="s">
        <v>1541</v>
      </c>
      <c r="C403" s="61" t="s">
        <v>2102</v>
      </c>
      <c r="D403" s="85" t="s">
        <v>301</v>
      </c>
      <c r="E403" s="85" t="s">
        <v>301</v>
      </c>
      <c r="F403" s="85" t="s">
        <v>301</v>
      </c>
      <c r="G403" s="85" t="s">
        <v>301</v>
      </c>
      <c r="H403" s="85" t="s">
        <v>301</v>
      </c>
      <c r="I403" s="85" t="s">
        <v>301</v>
      </c>
      <c r="U403" s="218" t="str">
        <f t="shared" si="58"/>
        <v/>
      </c>
    </row>
    <row r="404" spans="2:21">
      <c r="B404" s="47" t="s">
        <v>1542</v>
      </c>
      <c r="C404" s="61" t="s">
        <v>2103</v>
      </c>
      <c r="D404" s="85" t="s">
        <v>301</v>
      </c>
      <c r="E404" s="85" t="s">
        <v>301</v>
      </c>
      <c r="F404" s="85" t="s">
        <v>301</v>
      </c>
      <c r="G404" s="85" t="s">
        <v>301</v>
      </c>
      <c r="H404" s="85" t="s">
        <v>301</v>
      </c>
      <c r="I404" s="85" t="s">
        <v>301</v>
      </c>
      <c r="U404" s="218" t="str">
        <f t="shared" si="58"/>
        <v/>
      </c>
    </row>
    <row r="405" spans="2:21">
      <c r="B405" s="47" t="s">
        <v>1588</v>
      </c>
      <c r="C405" s="61" t="s">
        <v>2104</v>
      </c>
      <c r="D405" s="85" t="s">
        <v>301</v>
      </c>
      <c r="E405" s="85" t="s">
        <v>301</v>
      </c>
      <c r="F405" s="85" t="s">
        <v>301</v>
      </c>
      <c r="G405" s="85" t="s">
        <v>301</v>
      </c>
      <c r="H405" s="85" t="s">
        <v>301</v>
      </c>
      <c r="I405" s="85" t="s">
        <v>301</v>
      </c>
      <c r="U405" s="218" t="str">
        <f t="shared" si="58"/>
        <v/>
      </c>
    </row>
    <row r="406" spans="2:21">
      <c r="B406" s="62" t="s">
        <v>1446</v>
      </c>
      <c r="C406" s="61" t="s">
        <v>272</v>
      </c>
      <c r="D406" s="85"/>
      <c r="E406" s="85"/>
      <c r="F406" s="85"/>
      <c r="G406" s="85"/>
      <c r="H406" s="85"/>
      <c r="I406" s="85"/>
      <c r="U406" s="217">
        <v>1</v>
      </c>
    </row>
    <row r="407" spans="2:21">
      <c r="B407" s="47" t="s">
        <v>1544</v>
      </c>
      <c r="C407" s="61" t="s">
        <v>2105</v>
      </c>
      <c r="D407" s="85" t="s">
        <v>301</v>
      </c>
      <c r="E407" s="85" t="s">
        <v>301</v>
      </c>
      <c r="F407" s="85" t="s">
        <v>301</v>
      </c>
      <c r="G407" s="85" t="s">
        <v>301</v>
      </c>
      <c r="H407" s="85" t="s">
        <v>301</v>
      </c>
      <c r="I407" s="85" t="s">
        <v>301</v>
      </c>
      <c r="U407" s="218" t="str">
        <f t="shared" ref="U407:U416" si="59">IF(COUNT(D407:I407)&lt;&gt;0,1,"")</f>
        <v/>
      </c>
    </row>
    <row r="408" spans="2:21">
      <c r="B408" s="47" t="s">
        <v>1545</v>
      </c>
      <c r="C408" s="61" t="s">
        <v>2106</v>
      </c>
      <c r="D408" s="85" t="s">
        <v>301</v>
      </c>
      <c r="E408" s="85" t="s">
        <v>301</v>
      </c>
      <c r="F408" s="85" t="s">
        <v>301</v>
      </c>
      <c r="G408" s="85" t="s">
        <v>301</v>
      </c>
      <c r="H408" s="85" t="s">
        <v>301</v>
      </c>
      <c r="I408" s="85" t="s">
        <v>301</v>
      </c>
      <c r="U408" s="218" t="str">
        <f t="shared" si="59"/>
        <v/>
      </c>
    </row>
    <row r="409" spans="2:21">
      <c r="B409" s="47" t="s">
        <v>1546</v>
      </c>
      <c r="C409" s="61" t="s">
        <v>2107</v>
      </c>
      <c r="D409" s="85" t="s">
        <v>301</v>
      </c>
      <c r="E409" s="85" t="s">
        <v>301</v>
      </c>
      <c r="F409" s="85" t="s">
        <v>301</v>
      </c>
      <c r="G409" s="85" t="s">
        <v>301</v>
      </c>
      <c r="H409" s="85" t="s">
        <v>301</v>
      </c>
      <c r="I409" s="85" t="s">
        <v>301</v>
      </c>
      <c r="U409" s="218" t="str">
        <f t="shared" si="59"/>
        <v/>
      </c>
    </row>
    <row r="410" spans="2:21">
      <c r="B410" s="47" t="s">
        <v>1547</v>
      </c>
      <c r="C410" s="61" t="s">
        <v>2108</v>
      </c>
      <c r="D410" s="85" t="s">
        <v>301</v>
      </c>
      <c r="E410" s="85" t="s">
        <v>301</v>
      </c>
      <c r="F410" s="85" t="s">
        <v>301</v>
      </c>
      <c r="G410" s="85" t="s">
        <v>301</v>
      </c>
      <c r="H410" s="85" t="s">
        <v>301</v>
      </c>
      <c r="I410" s="85" t="s">
        <v>301</v>
      </c>
      <c r="U410" s="218" t="str">
        <f t="shared" si="59"/>
        <v/>
      </c>
    </row>
    <row r="411" spans="2:21">
      <c r="B411" s="47" t="s">
        <v>1548</v>
      </c>
      <c r="C411" s="61" t="s">
        <v>2109</v>
      </c>
      <c r="D411" s="85" t="s">
        <v>301</v>
      </c>
      <c r="E411" s="85" t="s">
        <v>301</v>
      </c>
      <c r="F411" s="85" t="s">
        <v>301</v>
      </c>
      <c r="G411" s="85" t="s">
        <v>301</v>
      </c>
      <c r="H411" s="85" t="s">
        <v>301</v>
      </c>
      <c r="I411" s="85" t="s">
        <v>301</v>
      </c>
      <c r="U411" s="218" t="str">
        <f t="shared" si="59"/>
        <v/>
      </c>
    </row>
    <row r="412" spans="2:21">
      <c r="B412" s="47" t="s">
        <v>1549</v>
      </c>
      <c r="C412" s="61" t="s">
        <v>2110</v>
      </c>
      <c r="D412" s="85" t="s">
        <v>301</v>
      </c>
      <c r="E412" s="85" t="s">
        <v>301</v>
      </c>
      <c r="F412" s="85" t="s">
        <v>301</v>
      </c>
      <c r="G412" s="85" t="s">
        <v>301</v>
      </c>
      <c r="H412" s="85" t="s">
        <v>301</v>
      </c>
      <c r="I412" s="85" t="s">
        <v>301</v>
      </c>
      <c r="U412" s="218" t="str">
        <f t="shared" si="59"/>
        <v/>
      </c>
    </row>
    <row r="413" spans="2:21">
      <c r="B413" s="47" t="s">
        <v>1550</v>
      </c>
      <c r="C413" s="61" t="s">
        <v>2111</v>
      </c>
      <c r="D413" s="85" t="s">
        <v>301</v>
      </c>
      <c r="E413" s="85" t="s">
        <v>301</v>
      </c>
      <c r="F413" s="85" t="s">
        <v>301</v>
      </c>
      <c r="G413" s="85" t="s">
        <v>301</v>
      </c>
      <c r="H413" s="85" t="s">
        <v>301</v>
      </c>
      <c r="I413" s="85" t="s">
        <v>301</v>
      </c>
      <c r="U413" s="218" t="str">
        <f t="shared" si="59"/>
        <v/>
      </c>
    </row>
    <row r="414" spans="2:21">
      <c r="B414" s="47" t="s">
        <v>1551</v>
      </c>
      <c r="C414" s="61" t="s">
        <v>2112</v>
      </c>
      <c r="D414" s="85" t="s">
        <v>301</v>
      </c>
      <c r="E414" s="85" t="s">
        <v>301</v>
      </c>
      <c r="F414" s="85" t="s">
        <v>301</v>
      </c>
      <c r="G414" s="85" t="s">
        <v>301</v>
      </c>
      <c r="H414" s="85" t="s">
        <v>301</v>
      </c>
      <c r="I414" s="85" t="s">
        <v>301</v>
      </c>
      <c r="U414" s="218" t="str">
        <f t="shared" si="59"/>
        <v/>
      </c>
    </row>
    <row r="415" spans="2:21">
      <c r="B415" s="47" t="s">
        <v>1552</v>
      </c>
      <c r="C415" s="61" t="s">
        <v>2113</v>
      </c>
      <c r="D415" s="85" t="s">
        <v>301</v>
      </c>
      <c r="E415" s="85" t="s">
        <v>301</v>
      </c>
      <c r="F415" s="85" t="s">
        <v>301</v>
      </c>
      <c r="G415" s="85" t="s">
        <v>301</v>
      </c>
      <c r="H415" s="85" t="s">
        <v>301</v>
      </c>
      <c r="I415" s="85" t="s">
        <v>301</v>
      </c>
      <c r="U415" s="218" t="str">
        <f t="shared" si="59"/>
        <v/>
      </c>
    </row>
    <row r="416" spans="2:21">
      <c r="B416" s="47" t="s">
        <v>1553</v>
      </c>
      <c r="C416" s="61" t="s">
        <v>2114</v>
      </c>
      <c r="D416" s="85" t="s">
        <v>301</v>
      </c>
      <c r="E416" s="85" t="s">
        <v>301</v>
      </c>
      <c r="F416" s="85" t="s">
        <v>301</v>
      </c>
      <c r="G416" s="85" t="s">
        <v>301</v>
      </c>
      <c r="H416" s="85" t="s">
        <v>301</v>
      </c>
      <c r="I416" s="85" t="s">
        <v>301</v>
      </c>
      <c r="U416" s="218" t="str">
        <f t="shared" si="59"/>
        <v/>
      </c>
    </row>
    <row r="417" spans="2:21">
      <c r="B417" s="62" t="s">
        <v>1457</v>
      </c>
      <c r="C417" s="61" t="s">
        <v>272</v>
      </c>
      <c r="D417" s="85"/>
      <c r="E417" s="85"/>
      <c r="F417" s="85"/>
      <c r="G417" s="85"/>
      <c r="H417" s="85"/>
      <c r="I417" s="85"/>
      <c r="U417" s="217">
        <v>1</v>
      </c>
    </row>
    <row r="418" spans="2:21">
      <c r="B418" s="47" t="s">
        <v>1458</v>
      </c>
      <c r="C418" s="61" t="s">
        <v>2115</v>
      </c>
      <c r="D418" s="45" t="s">
        <v>301</v>
      </c>
      <c r="E418" s="45" t="s">
        <v>301</v>
      </c>
      <c r="F418" s="45" t="s">
        <v>301</v>
      </c>
      <c r="G418" s="45" t="s">
        <v>301</v>
      </c>
      <c r="H418" s="45" t="s">
        <v>301</v>
      </c>
      <c r="I418" s="45" t="s">
        <v>301</v>
      </c>
      <c r="U418" s="218" t="str">
        <f t="shared" ref="U418:U423" si="60">IF(COUNT(D418:I418)&lt;&gt;0,1,"")</f>
        <v/>
      </c>
    </row>
    <row r="419" spans="2:21">
      <c r="B419" s="47" t="s">
        <v>1459</v>
      </c>
      <c r="C419" s="61" t="s">
        <v>2116</v>
      </c>
      <c r="D419" s="45" t="s">
        <v>301</v>
      </c>
      <c r="E419" s="45" t="s">
        <v>301</v>
      </c>
      <c r="F419" s="45" t="s">
        <v>301</v>
      </c>
      <c r="G419" s="45" t="s">
        <v>301</v>
      </c>
      <c r="H419" s="45" t="s">
        <v>301</v>
      </c>
      <c r="I419" s="45" t="s">
        <v>301</v>
      </c>
      <c r="U419" s="218" t="str">
        <f t="shared" si="60"/>
        <v/>
      </c>
    </row>
    <row r="420" spans="2:21">
      <c r="B420" s="47" t="s">
        <v>1460</v>
      </c>
      <c r="C420" s="61" t="s">
        <v>2117</v>
      </c>
      <c r="D420" s="45" t="s">
        <v>301</v>
      </c>
      <c r="E420" s="45" t="s">
        <v>301</v>
      </c>
      <c r="F420" s="45" t="s">
        <v>301</v>
      </c>
      <c r="G420" s="45" t="s">
        <v>301</v>
      </c>
      <c r="H420" s="45" t="s">
        <v>301</v>
      </c>
      <c r="I420" s="45" t="s">
        <v>301</v>
      </c>
      <c r="U420" s="218" t="str">
        <f t="shared" si="60"/>
        <v/>
      </c>
    </row>
    <row r="421" spans="2:21">
      <c r="B421" s="47" t="s">
        <v>1461</v>
      </c>
      <c r="C421" s="61" t="s">
        <v>2118</v>
      </c>
      <c r="D421" s="45" t="s">
        <v>301</v>
      </c>
      <c r="E421" s="45" t="s">
        <v>301</v>
      </c>
      <c r="F421" s="45" t="s">
        <v>301</v>
      </c>
      <c r="G421" s="45" t="s">
        <v>301</v>
      </c>
      <c r="H421" s="45" t="s">
        <v>301</v>
      </c>
      <c r="I421" s="45" t="s">
        <v>301</v>
      </c>
      <c r="U421" s="218" t="str">
        <f t="shared" si="60"/>
        <v/>
      </c>
    </row>
    <row r="422" spans="2:21">
      <c r="B422" s="47" t="s">
        <v>1462</v>
      </c>
      <c r="C422" s="61" t="s">
        <v>2119</v>
      </c>
      <c r="D422" s="45" t="s">
        <v>301</v>
      </c>
      <c r="E422" s="45" t="s">
        <v>301</v>
      </c>
      <c r="F422" s="45" t="s">
        <v>301</v>
      </c>
      <c r="G422" s="45" t="s">
        <v>301</v>
      </c>
      <c r="H422" s="45" t="s">
        <v>301</v>
      </c>
      <c r="I422" s="45" t="s">
        <v>301</v>
      </c>
      <c r="U422" s="218" t="str">
        <f t="shared" si="60"/>
        <v/>
      </c>
    </row>
    <row r="423" spans="2:21">
      <c r="B423" s="47" t="s">
        <v>1463</v>
      </c>
      <c r="C423" s="61" t="s">
        <v>2120</v>
      </c>
      <c r="D423" s="45" t="s">
        <v>301</v>
      </c>
      <c r="E423" s="45" t="s">
        <v>301</v>
      </c>
      <c r="F423" s="45" t="s">
        <v>301</v>
      </c>
      <c r="G423" s="45" t="s">
        <v>301</v>
      </c>
      <c r="H423" s="45" t="s">
        <v>301</v>
      </c>
      <c r="I423" s="45" t="s">
        <v>301</v>
      </c>
      <c r="U423" s="218" t="str">
        <f t="shared" si="60"/>
        <v/>
      </c>
    </row>
    <row r="424" spans="2:21">
      <c r="B424" s="62" t="s">
        <v>1464</v>
      </c>
      <c r="C424" s="61" t="s">
        <v>272</v>
      </c>
      <c r="D424" s="85"/>
      <c r="E424" s="85"/>
      <c r="F424" s="85"/>
      <c r="G424" s="85"/>
      <c r="H424" s="85"/>
      <c r="I424" s="85"/>
      <c r="U424" s="217">
        <v>1</v>
      </c>
    </row>
    <row r="425" spans="2:21">
      <c r="B425" s="47" t="s">
        <v>1465</v>
      </c>
      <c r="C425" s="61" t="s">
        <v>2121</v>
      </c>
      <c r="D425" s="45" t="s">
        <v>301</v>
      </c>
      <c r="E425" s="45" t="s">
        <v>301</v>
      </c>
      <c r="F425" s="45" t="s">
        <v>301</v>
      </c>
      <c r="G425" s="45" t="s">
        <v>301</v>
      </c>
      <c r="H425" s="45" t="s">
        <v>301</v>
      </c>
      <c r="I425" s="45" t="s">
        <v>301</v>
      </c>
      <c r="U425" s="218" t="str">
        <f t="shared" ref="U425:U428" si="61">IF(COUNT(D425:I425)&lt;&gt;0,1,"")</f>
        <v/>
      </c>
    </row>
    <row r="426" spans="2:21">
      <c r="B426" s="47" t="s">
        <v>1466</v>
      </c>
      <c r="C426" s="61" t="s">
        <v>2122</v>
      </c>
      <c r="D426" s="45" t="s">
        <v>301</v>
      </c>
      <c r="E426" s="45" t="s">
        <v>301</v>
      </c>
      <c r="F426" s="45" t="s">
        <v>301</v>
      </c>
      <c r="G426" s="45" t="s">
        <v>301</v>
      </c>
      <c r="H426" s="45" t="s">
        <v>301</v>
      </c>
      <c r="I426" s="45" t="s">
        <v>301</v>
      </c>
      <c r="U426" s="218" t="str">
        <f t="shared" si="61"/>
        <v/>
      </c>
    </row>
    <row r="427" spans="2:21">
      <c r="B427" s="47" t="s">
        <v>1467</v>
      </c>
      <c r="C427" s="61" t="s">
        <v>2123</v>
      </c>
      <c r="D427" s="45" t="s">
        <v>301</v>
      </c>
      <c r="E427" s="45" t="s">
        <v>301</v>
      </c>
      <c r="F427" s="45" t="s">
        <v>301</v>
      </c>
      <c r="G427" s="45" t="s">
        <v>301</v>
      </c>
      <c r="H427" s="45" t="s">
        <v>301</v>
      </c>
      <c r="I427" s="45" t="s">
        <v>301</v>
      </c>
      <c r="U427" s="218" t="str">
        <f t="shared" si="61"/>
        <v/>
      </c>
    </row>
    <row r="428" spans="2:21">
      <c r="B428" s="47" t="s">
        <v>1468</v>
      </c>
      <c r="C428" s="61" t="s">
        <v>2124</v>
      </c>
      <c r="D428" s="45" t="s">
        <v>301</v>
      </c>
      <c r="E428" s="45" t="s">
        <v>301</v>
      </c>
      <c r="F428" s="45" t="s">
        <v>301</v>
      </c>
      <c r="G428" s="45" t="s">
        <v>301</v>
      </c>
      <c r="H428" s="45" t="s">
        <v>301</v>
      </c>
      <c r="I428" s="45" t="s">
        <v>301</v>
      </c>
      <c r="U428" s="218" t="str">
        <f t="shared" si="61"/>
        <v/>
      </c>
    </row>
    <row r="429" spans="2:21">
      <c r="B429" s="62" t="s">
        <v>1464</v>
      </c>
      <c r="C429" s="61" t="s">
        <v>272</v>
      </c>
      <c r="D429" s="85"/>
      <c r="E429" s="85"/>
      <c r="F429" s="85"/>
      <c r="G429" s="85"/>
      <c r="H429" s="85"/>
      <c r="I429" s="85"/>
      <c r="U429" s="217">
        <v>1</v>
      </c>
    </row>
    <row r="430" spans="2:21">
      <c r="B430" s="47" t="s">
        <v>1554</v>
      </c>
      <c r="C430" s="61" t="s">
        <v>2125</v>
      </c>
      <c r="D430" s="85" t="s">
        <v>301</v>
      </c>
      <c r="E430" s="85" t="s">
        <v>301</v>
      </c>
      <c r="F430" s="85" t="s">
        <v>301</v>
      </c>
      <c r="G430" s="85" t="s">
        <v>301</v>
      </c>
      <c r="H430" s="85" t="s">
        <v>301</v>
      </c>
      <c r="I430" s="85" t="s">
        <v>301</v>
      </c>
      <c r="U430" s="218" t="str">
        <f t="shared" ref="U430:U433" si="62">IF(COUNT(D430:I430)&lt;&gt;0,1,"")</f>
        <v/>
      </c>
    </row>
    <row r="431" spans="2:21">
      <c r="B431" s="47" t="s">
        <v>1555</v>
      </c>
      <c r="C431" s="61" t="s">
        <v>2126</v>
      </c>
      <c r="D431" s="85" t="s">
        <v>301</v>
      </c>
      <c r="E431" s="85" t="s">
        <v>301</v>
      </c>
      <c r="F431" s="85" t="s">
        <v>301</v>
      </c>
      <c r="G431" s="85" t="s">
        <v>301</v>
      </c>
      <c r="H431" s="85" t="s">
        <v>301</v>
      </c>
      <c r="I431" s="85" t="s">
        <v>301</v>
      </c>
      <c r="U431" s="218" t="str">
        <f t="shared" si="62"/>
        <v/>
      </c>
    </row>
    <row r="432" spans="2:21">
      <c r="B432" s="47" t="s">
        <v>1556</v>
      </c>
      <c r="C432" s="61" t="s">
        <v>2127</v>
      </c>
      <c r="D432" s="85" t="s">
        <v>301</v>
      </c>
      <c r="E432" s="85" t="s">
        <v>301</v>
      </c>
      <c r="F432" s="85" t="s">
        <v>301</v>
      </c>
      <c r="G432" s="85" t="s">
        <v>301</v>
      </c>
      <c r="H432" s="85" t="s">
        <v>301</v>
      </c>
      <c r="I432" s="85" t="s">
        <v>301</v>
      </c>
      <c r="U432" s="218" t="str">
        <f t="shared" si="62"/>
        <v/>
      </c>
    </row>
    <row r="433" spans="2:21">
      <c r="B433" s="47" t="s">
        <v>1557</v>
      </c>
      <c r="C433" s="61" t="s">
        <v>2128</v>
      </c>
      <c r="D433" s="85" t="s">
        <v>301</v>
      </c>
      <c r="E433" s="85" t="s">
        <v>301</v>
      </c>
      <c r="F433" s="85" t="s">
        <v>301</v>
      </c>
      <c r="G433" s="85" t="s">
        <v>301</v>
      </c>
      <c r="H433" s="85" t="s">
        <v>301</v>
      </c>
      <c r="I433" s="85" t="s">
        <v>301</v>
      </c>
      <c r="U433" s="218" t="str">
        <f t="shared" si="62"/>
        <v/>
      </c>
    </row>
    <row r="434" spans="2:21">
      <c r="B434" s="62" t="s">
        <v>1473</v>
      </c>
      <c r="C434" s="61" t="s">
        <v>272</v>
      </c>
      <c r="D434" s="85"/>
      <c r="E434" s="85"/>
      <c r="F434" s="85"/>
      <c r="G434" s="85"/>
      <c r="H434" s="85"/>
      <c r="I434" s="85"/>
      <c r="U434" s="217">
        <v>1</v>
      </c>
    </row>
    <row r="435" spans="2:21">
      <c r="B435" s="47" t="s">
        <v>1474</v>
      </c>
      <c r="C435" s="61" t="s">
        <v>2129</v>
      </c>
      <c r="D435" s="85" t="s">
        <v>301</v>
      </c>
      <c r="E435" s="85" t="s">
        <v>301</v>
      </c>
      <c r="F435" s="85" t="s">
        <v>301</v>
      </c>
      <c r="G435" s="85" t="s">
        <v>301</v>
      </c>
      <c r="H435" s="85" t="s">
        <v>301</v>
      </c>
      <c r="I435" s="85" t="s">
        <v>301</v>
      </c>
      <c r="U435" s="218" t="str">
        <f t="shared" ref="U435:U439" si="63">IF(COUNT(D435:I435)&lt;&gt;0,1,"")</f>
        <v/>
      </c>
    </row>
    <row r="436" spans="2:21">
      <c r="B436" s="47" t="s">
        <v>1475</v>
      </c>
      <c r="C436" s="61" t="s">
        <v>2130</v>
      </c>
      <c r="D436" s="85" t="s">
        <v>301</v>
      </c>
      <c r="E436" s="85" t="s">
        <v>301</v>
      </c>
      <c r="F436" s="85" t="s">
        <v>301</v>
      </c>
      <c r="G436" s="85" t="s">
        <v>301</v>
      </c>
      <c r="H436" s="85" t="s">
        <v>301</v>
      </c>
      <c r="I436" s="85" t="s">
        <v>301</v>
      </c>
      <c r="U436" s="218" t="str">
        <f t="shared" si="63"/>
        <v/>
      </c>
    </row>
    <row r="437" spans="2:21">
      <c r="B437" s="47" t="s">
        <v>1476</v>
      </c>
      <c r="C437" s="61" t="s">
        <v>2131</v>
      </c>
      <c r="D437" s="85" t="s">
        <v>301</v>
      </c>
      <c r="E437" s="85" t="s">
        <v>301</v>
      </c>
      <c r="F437" s="85" t="s">
        <v>301</v>
      </c>
      <c r="G437" s="85" t="s">
        <v>301</v>
      </c>
      <c r="H437" s="85" t="s">
        <v>301</v>
      </c>
      <c r="I437" s="85" t="s">
        <v>301</v>
      </c>
      <c r="U437" s="218" t="str">
        <f t="shared" si="63"/>
        <v/>
      </c>
    </row>
    <row r="438" spans="2:21">
      <c r="B438" s="47" t="s">
        <v>1477</v>
      </c>
      <c r="C438" s="61" t="s">
        <v>2132</v>
      </c>
      <c r="D438" s="85" t="s">
        <v>301</v>
      </c>
      <c r="E438" s="85" t="s">
        <v>301</v>
      </c>
      <c r="F438" s="85" t="s">
        <v>301</v>
      </c>
      <c r="G438" s="85" t="s">
        <v>301</v>
      </c>
      <c r="H438" s="85" t="s">
        <v>301</v>
      </c>
      <c r="I438" s="85" t="s">
        <v>301</v>
      </c>
      <c r="U438" s="218" t="str">
        <f t="shared" si="63"/>
        <v/>
      </c>
    </row>
    <row r="439" spans="2:21">
      <c r="B439" s="47" t="s">
        <v>1478</v>
      </c>
      <c r="C439" s="61" t="s">
        <v>2133</v>
      </c>
      <c r="D439" s="85" t="s">
        <v>301</v>
      </c>
      <c r="E439" s="85" t="s">
        <v>301</v>
      </c>
      <c r="F439" s="85" t="s">
        <v>301</v>
      </c>
      <c r="G439" s="85" t="s">
        <v>301</v>
      </c>
      <c r="H439" s="85" t="s">
        <v>301</v>
      </c>
      <c r="I439" s="85" t="s">
        <v>301</v>
      </c>
      <c r="U439" s="218" t="str">
        <f t="shared" si="63"/>
        <v/>
      </c>
    </row>
    <row r="440" spans="2:21">
      <c r="B440" s="62" t="s">
        <v>1479</v>
      </c>
      <c r="C440" s="61" t="s">
        <v>272</v>
      </c>
      <c r="D440" s="85"/>
      <c r="E440" s="85"/>
      <c r="F440" s="85"/>
      <c r="G440" s="85"/>
      <c r="H440" s="85"/>
      <c r="I440" s="85"/>
      <c r="U440" s="217">
        <v>1</v>
      </c>
    </row>
    <row r="441" spans="2:21">
      <c r="B441" s="47" t="s">
        <v>1480</v>
      </c>
      <c r="C441" s="61" t="s">
        <v>2134</v>
      </c>
      <c r="D441" s="85" t="s">
        <v>301</v>
      </c>
      <c r="E441" s="85" t="s">
        <v>301</v>
      </c>
      <c r="F441" s="85" t="s">
        <v>301</v>
      </c>
      <c r="G441" s="85" t="s">
        <v>301</v>
      </c>
      <c r="H441" s="85" t="s">
        <v>301</v>
      </c>
      <c r="I441" s="85" t="s">
        <v>301</v>
      </c>
      <c r="U441" s="218" t="str">
        <f t="shared" ref="U441:U444" si="64">IF(COUNT(D441:I441)&lt;&gt;0,1,"")</f>
        <v/>
      </c>
    </row>
    <row r="442" spans="2:21">
      <c r="B442" s="47" t="s">
        <v>1481</v>
      </c>
      <c r="C442" s="61" t="s">
        <v>2135</v>
      </c>
      <c r="D442" s="85" t="s">
        <v>301</v>
      </c>
      <c r="E442" s="85" t="s">
        <v>301</v>
      </c>
      <c r="F442" s="85" t="s">
        <v>301</v>
      </c>
      <c r="G442" s="85" t="s">
        <v>301</v>
      </c>
      <c r="H442" s="85" t="s">
        <v>301</v>
      </c>
      <c r="I442" s="85" t="s">
        <v>301</v>
      </c>
      <c r="U442" s="218" t="str">
        <f t="shared" si="64"/>
        <v/>
      </c>
    </row>
    <row r="443" spans="2:21">
      <c r="B443" s="47" t="s">
        <v>1482</v>
      </c>
      <c r="C443" s="61" t="s">
        <v>2136</v>
      </c>
      <c r="D443" s="85" t="s">
        <v>301</v>
      </c>
      <c r="E443" s="85" t="s">
        <v>301</v>
      </c>
      <c r="F443" s="85" t="s">
        <v>301</v>
      </c>
      <c r="G443" s="85" t="s">
        <v>301</v>
      </c>
      <c r="H443" s="85" t="s">
        <v>301</v>
      </c>
      <c r="I443" s="85" t="s">
        <v>301</v>
      </c>
      <c r="U443" s="218" t="str">
        <f t="shared" si="64"/>
        <v/>
      </c>
    </row>
    <row r="444" spans="2:21">
      <c r="B444" s="47" t="s">
        <v>1483</v>
      </c>
      <c r="C444" s="61" t="s">
        <v>2137</v>
      </c>
      <c r="D444" s="85" t="s">
        <v>301</v>
      </c>
      <c r="E444" s="85" t="s">
        <v>301</v>
      </c>
      <c r="F444" s="85" t="s">
        <v>301</v>
      </c>
      <c r="G444" s="85" t="s">
        <v>301</v>
      </c>
      <c r="H444" s="85" t="s">
        <v>301</v>
      </c>
      <c r="I444" s="85" t="s">
        <v>301</v>
      </c>
      <c r="U444" s="218" t="str">
        <f t="shared" si="64"/>
        <v/>
      </c>
    </row>
    <row r="445" spans="2:21">
      <c r="B445" s="62" t="s">
        <v>1484</v>
      </c>
      <c r="C445" s="61" t="s">
        <v>272</v>
      </c>
      <c r="D445" s="85"/>
      <c r="E445" s="85"/>
      <c r="F445" s="85"/>
      <c r="G445" s="85"/>
      <c r="H445" s="85"/>
      <c r="I445" s="85"/>
      <c r="U445" s="217">
        <v>1</v>
      </c>
    </row>
    <row r="446" spans="2:21">
      <c r="B446" s="47" t="s">
        <v>1485</v>
      </c>
      <c r="C446" s="61" t="s">
        <v>2138</v>
      </c>
      <c r="D446" s="45" t="s">
        <v>301</v>
      </c>
      <c r="E446" s="45" t="s">
        <v>301</v>
      </c>
      <c r="F446" s="45" t="s">
        <v>301</v>
      </c>
      <c r="G446" s="45" t="s">
        <v>301</v>
      </c>
      <c r="H446" s="45" t="s">
        <v>301</v>
      </c>
      <c r="I446" s="45" t="s">
        <v>301</v>
      </c>
      <c r="U446" s="218" t="str">
        <f t="shared" ref="U446:U449" si="65">IF(COUNT(D446:I446)&lt;&gt;0,1,"")</f>
        <v/>
      </c>
    </row>
    <row r="447" spans="2:21">
      <c r="B447" s="47" t="s">
        <v>1486</v>
      </c>
      <c r="C447" s="61" t="s">
        <v>2139</v>
      </c>
      <c r="D447" s="45" t="s">
        <v>301</v>
      </c>
      <c r="E447" s="45" t="s">
        <v>301</v>
      </c>
      <c r="F447" s="45" t="s">
        <v>301</v>
      </c>
      <c r="G447" s="45" t="s">
        <v>301</v>
      </c>
      <c r="H447" s="45" t="s">
        <v>301</v>
      </c>
      <c r="I447" s="45" t="s">
        <v>301</v>
      </c>
      <c r="U447" s="218" t="str">
        <f t="shared" si="65"/>
        <v/>
      </c>
    </row>
    <row r="448" spans="2:21">
      <c r="B448" s="47" t="s">
        <v>1487</v>
      </c>
      <c r="C448" s="61" t="s">
        <v>2140</v>
      </c>
      <c r="D448" s="45" t="s">
        <v>301</v>
      </c>
      <c r="E448" s="45" t="s">
        <v>301</v>
      </c>
      <c r="F448" s="45" t="s">
        <v>301</v>
      </c>
      <c r="G448" s="45" t="s">
        <v>301</v>
      </c>
      <c r="H448" s="45" t="s">
        <v>301</v>
      </c>
      <c r="I448" s="45" t="s">
        <v>301</v>
      </c>
      <c r="U448" s="218" t="str">
        <f t="shared" si="65"/>
        <v/>
      </c>
    </row>
    <row r="449" spans="2:21">
      <c r="B449" s="47" t="s">
        <v>1488</v>
      </c>
      <c r="C449" s="61" t="s">
        <v>2141</v>
      </c>
      <c r="D449" s="45" t="s">
        <v>301</v>
      </c>
      <c r="E449" s="45" t="s">
        <v>301</v>
      </c>
      <c r="F449" s="45" t="s">
        <v>301</v>
      </c>
      <c r="G449" s="45" t="s">
        <v>301</v>
      </c>
      <c r="H449" s="45" t="s">
        <v>301</v>
      </c>
      <c r="I449" s="45" t="s">
        <v>301</v>
      </c>
      <c r="U449" s="218" t="str">
        <f t="shared" si="65"/>
        <v/>
      </c>
    </row>
    <row r="450" spans="2:21">
      <c r="B450" s="62" t="s">
        <v>1489</v>
      </c>
      <c r="C450" s="61" t="s">
        <v>272</v>
      </c>
      <c r="D450" s="85"/>
      <c r="E450" s="85"/>
      <c r="F450" s="85"/>
      <c r="G450" s="85"/>
      <c r="H450" s="85"/>
      <c r="I450" s="85"/>
      <c r="U450" s="217">
        <v>1</v>
      </c>
    </row>
    <row r="451" spans="2:21">
      <c r="B451" s="47" t="s">
        <v>1558</v>
      </c>
      <c r="C451" s="61" t="s">
        <v>2142</v>
      </c>
      <c r="D451" s="85" t="s">
        <v>301</v>
      </c>
      <c r="E451" s="85" t="s">
        <v>301</v>
      </c>
      <c r="F451" s="85" t="s">
        <v>301</v>
      </c>
      <c r="G451" s="85" t="s">
        <v>301</v>
      </c>
      <c r="H451" s="85" t="s">
        <v>301</v>
      </c>
      <c r="I451" s="85" t="s">
        <v>301</v>
      </c>
      <c r="U451" s="218" t="str">
        <f t="shared" ref="U451:U456" si="66">IF(COUNT(D451:I451)&lt;&gt;0,1,"")</f>
        <v/>
      </c>
    </row>
    <row r="452" spans="2:21">
      <c r="B452" s="47" t="s">
        <v>1559</v>
      </c>
      <c r="C452" s="61" t="s">
        <v>2143</v>
      </c>
      <c r="D452" s="85" t="s">
        <v>301</v>
      </c>
      <c r="E452" s="85" t="s">
        <v>301</v>
      </c>
      <c r="F452" s="85" t="s">
        <v>301</v>
      </c>
      <c r="G452" s="85" t="s">
        <v>301</v>
      </c>
      <c r="H452" s="85" t="s">
        <v>301</v>
      </c>
      <c r="I452" s="85" t="s">
        <v>301</v>
      </c>
      <c r="U452" s="218" t="str">
        <f t="shared" si="66"/>
        <v/>
      </c>
    </row>
    <row r="453" spans="2:21">
      <c r="B453" s="47" t="s">
        <v>1560</v>
      </c>
      <c r="C453" s="61" t="s">
        <v>2144</v>
      </c>
      <c r="D453" s="85" t="s">
        <v>301</v>
      </c>
      <c r="E453" s="85" t="s">
        <v>301</v>
      </c>
      <c r="F453" s="85" t="s">
        <v>301</v>
      </c>
      <c r="G453" s="85" t="s">
        <v>301</v>
      </c>
      <c r="H453" s="85" t="s">
        <v>301</v>
      </c>
      <c r="I453" s="85" t="s">
        <v>301</v>
      </c>
      <c r="U453" s="218" t="str">
        <f t="shared" si="66"/>
        <v/>
      </c>
    </row>
    <row r="454" spans="2:21">
      <c r="B454" s="47" t="s">
        <v>1561</v>
      </c>
      <c r="C454" s="61" t="s">
        <v>2145</v>
      </c>
      <c r="D454" s="85" t="s">
        <v>301</v>
      </c>
      <c r="E454" s="85" t="s">
        <v>301</v>
      </c>
      <c r="F454" s="85" t="s">
        <v>301</v>
      </c>
      <c r="G454" s="85" t="s">
        <v>301</v>
      </c>
      <c r="H454" s="85" t="s">
        <v>301</v>
      </c>
      <c r="I454" s="85" t="s">
        <v>301</v>
      </c>
      <c r="U454" s="218" t="str">
        <f t="shared" si="66"/>
        <v/>
      </c>
    </row>
    <row r="455" spans="2:21">
      <c r="B455" s="47" t="s">
        <v>1562</v>
      </c>
      <c r="C455" s="61" t="s">
        <v>2146</v>
      </c>
      <c r="D455" s="85" t="s">
        <v>301</v>
      </c>
      <c r="E455" s="85" t="s">
        <v>301</v>
      </c>
      <c r="F455" s="85" t="s">
        <v>301</v>
      </c>
      <c r="G455" s="85" t="s">
        <v>301</v>
      </c>
      <c r="H455" s="85" t="s">
        <v>301</v>
      </c>
      <c r="I455" s="85" t="s">
        <v>301</v>
      </c>
      <c r="U455" s="218" t="str">
        <f t="shared" si="66"/>
        <v/>
      </c>
    </row>
    <row r="456" spans="2:21">
      <c r="B456" s="47" t="s">
        <v>1563</v>
      </c>
      <c r="C456" s="61" t="s">
        <v>2147</v>
      </c>
      <c r="D456" s="85" t="s">
        <v>301</v>
      </c>
      <c r="E456" s="85" t="s">
        <v>301</v>
      </c>
      <c r="F456" s="85" t="s">
        <v>301</v>
      </c>
      <c r="G456" s="85" t="s">
        <v>301</v>
      </c>
      <c r="H456" s="85" t="s">
        <v>301</v>
      </c>
      <c r="I456" s="85" t="s">
        <v>301</v>
      </c>
      <c r="U456" s="218" t="str">
        <f t="shared" si="66"/>
        <v/>
      </c>
    </row>
    <row r="457" spans="2:21">
      <c r="B457" s="62" t="s">
        <v>1496</v>
      </c>
      <c r="C457" s="61" t="s">
        <v>272</v>
      </c>
      <c r="D457" s="85"/>
      <c r="E457" s="85"/>
      <c r="F457" s="85"/>
      <c r="G457" s="85"/>
      <c r="H457" s="85"/>
      <c r="I457" s="85"/>
      <c r="U457" s="217">
        <v>1</v>
      </c>
    </row>
    <row r="458" spans="2:21">
      <c r="B458" s="47" t="s">
        <v>1564</v>
      </c>
      <c r="C458" s="61" t="s">
        <v>2148</v>
      </c>
      <c r="D458" s="85" t="s">
        <v>301</v>
      </c>
      <c r="E458" s="85" t="s">
        <v>301</v>
      </c>
      <c r="F458" s="85" t="s">
        <v>301</v>
      </c>
      <c r="G458" s="85" t="s">
        <v>301</v>
      </c>
      <c r="H458" s="85" t="s">
        <v>301</v>
      </c>
      <c r="I458" s="85" t="s">
        <v>301</v>
      </c>
      <c r="U458" s="218" t="str">
        <f t="shared" ref="U458:U465" si="67">IF(COUNT(D458:I458)&lt;&gt;0,1,"")</f>
        <v/>
      </c>
    </row>
    <row r="459" spans="2:21">
      <c r="B459" s="47" t="s">
        <v>1565</v>
      </c>
      <c r="C459" s="61" t="s">
        <v>2149</v>
      </c>
      <c r="D459" s="85" t="s">
        <v>301</v>
      </c>
      <c r="E459" s="85" t="s">
        <v>301</v>
      </c>
      <c r="F459" s="85" t="s">
        <v>301</v>
      </c>
      <c r="G459" s="85" t="s">
        <v>301</v>
      </c>
      <c r="H459" s="85" t="s">
        <v>301</v>
      </c>
      <c r="I459" s="85" t="s">
        <v>301</v>
      </c>
      <c r="U459" s="218" t="str">
        <f t="shared" si="67"/>
        <v/>
      </c>
    </row>
    <row r="460" spans="2:21">
      <c r="B460" s="47" t="s">
        <v>1566</v>
      </c>
      <c r="C460" s="61" t="s">
        <v>2150</v>
      </c>
      <c r="D460" s="85" t="s">
        <v>301</v>
      </c>
      <c r="E460" s="85" t="s">
        <v>301</v>
      </c>
      <c r="F460" s="85" t="s">
        <v>301</v>
      </c>
      <c r="G460" s="85" t="s">
        <v>301</v>
      </c>
      <c r="H460" s="85" t="s">
        <v>301</v>
      </c>
      <c r="I460" s="85" t="s">
        <v>301</v>
      </c>
      <c r="U460" s="218" t="str">
        <f t="shared" si="67"/>
        <v/>
      </c>
    </row>
    <row r="461" spans="2:21">
      <c r="B461" s="47" t="s">
        <v>1567</v>
      </c>
      <c r="C461" s="61" t="s">
        <v>2151</v>
      </c>
      <c r="D461" s="85" t="s">
        <v>301</v>
      </c>
      <c r="E461" s="85" t="s">
        <v>301</v>
      </c>
      <c r="F461" s="85" t="s">
        <v>301</v>
      </c>
      <c r="G461" s="85" t="s">
        <v>301</v>
      </c>
      <c r="H461" s="85" t="s">
        <v>301</v>
      </c>
      <c r="I461" s="85" t="s">
        <v>301</v>
      </c>
      <c r="U461" s="218" t="str">
        <f t="shared" si="67"/>
        <v/>
      </c>
    </row>
    <row r="462" spans="2:21">
      <c r="B462" s="47" t="s">
        <v>1501</v>
      </c>
      <c r="C462" s="61" t="s">
        <v>2152</v>
      </c>
      <c r="D462" s="85" t="s">
        <v>301</v>
      </c>
      <c r="E462" s="85" t="s">
        <v>301</v>
      </c>
      <c r="F462" s="85" t="s">
        <v>301</v>
      </c>
      <c r="G462" s="85" t="s">
        <v>301</v>
      </c>
      <c r="H462" s="85" t="s">
        <v>301</v>
      </c>
      <c r="I462" s="85" t="s">
        <v>301</v>
      </c>
      <c r="U462" s="218" t="str">
        <f t="shared" si="67"/>
        <v/>
      </c>
    </row>
    <row r="463" spans="2:21">
      <c r="B463" s="47" t="s">
        <v>1502</v>
      </c>
      <c r="C463" s="61" t="s">
        <v>2153</v>
      </c>
      <c r="D463" s="85" t="s">
        <v>301</v>
      </c>
      <c r="E463" s="85" t="s">
        <v>301</v>
      </c>
      <c r="F463" s="85" t="s">
        <v>301</v>
      </c>
      <c r="G463" s="85" t="s">
        <v>301</v>
      </c>
      <c r="H463" s="85" t="s">
        <v>301</v>
      </c>
      <c r="I463" s="85" t="s">
        <v>301</v>
      </c>
      <c r="U463" s="218" t="str">
        <f t="shared" si="67"/>
        <v/>
      </c>
    </row>
    <row r="464" spans="2:21">
      <c r="B464" s="47" t="s">
        <v>1503</v>
      </c>
      <c r="C464" s="61" t="s">
        <v>2154</v>
      </c>
      <c r="D464" s="85" t="s">
        <v>301</v>
      </c>
      <c r="E464" s="85" t="s">
        <v>301</v>
      </c>
      <c r="F464" s="85" t="s">
        <v>301</v>
      </c>
      <c r="G464" s="85" t="s">
        <v>301</v>
      </c>
      <c r="H464" s="85" t="s">
        <v>301</v>
      </c>
      <c r="I464" s="85" t="s">
        <v>301</v>
      </c>
      <c r="U464" s="218" t="str">
        <f t="shared" si="67"/>
        <v/>
      </c>
    </row>
    <row r="465" spans="2:21">
      <c r="B465" s="47" t="s">
        <v>1568</v>
      </c>
      <c r="C465" s="61" t="s">
        <v>2155</v>
      </c>
      <c r="D465" s="85" t="s">
        <v>301</v>
      </c>
      <c r="E465" s="85" t="s">
        <v>301</v>
      </c>
      <c r="F465" s="85" t="s">
        <v>301</v>
      </c>
      <c r="G465" s="85" t="s">
        <v>301</v>
      </c>
      <c r="H465" s="85" t="s">
        <v>301</v>
      </c>
      <c r="I465" s="85" t="s">
        <v>301</v>
      </c>
      <c r="U465" s="218" t="str">
        <f t="shared" si="67"/>
        <v/>
      </c>
    </row>
    <row r="466" spans="2:21">
      <c r="B466" s="62" t="s">
        <v>1505</v>
      </c>
      <c r="C466" s="61" t="s">
        <v>272</v>
      </c>
      <c r="D466" s="85"/>
      <c r="E466" s="85"/>
      <c r="F466" s="85"/>
      <c r="G466" s="85"/>
      <c r="H466" s="85"/>
      <c r="I466" s="85"/>
      <c r="U466" s="217">
        <v>1</v>
      </c>
    </row>
    <row r="467" spans="2:21">
      <c r="B467" s="47" t="s">
        <v>1569</v>
      </c>
      <c r="C467" s="61" t="s">
        <v>2156</v>
      </c>
      <c r="D467" s="85" t="s">
        <v>301</v>
      </c>
      <c r="E467" s="85" t="s">
        <v>301</v>
      </c>
      <c r="F467" s="85" t="s">
        <v>301</v>
      </c>
      <c r="G467" s="85" t="s">
        <v>301</v>
      </c>
      <c r="H467" s="85" t="s">
        <v>301</v>
      </c>
      <c r="I467" s="85" t="s">
        <v>301</v>
      </c>
      <c r="U467" s="218" t="str">
        <f t="shared" ref="U467:U469" si="68">IF(COUNT(D467:I467)&lt;&gt;0,1,"")</f>
        <v/>
      </c>
    </row>
    <row r="468" spans="2:21">
      <c r="B468" s="47" t="s">
        <v>1570</v>
      </c>
      <c r="C468" s="61" t="s">
        <v>2157</v>
      </c>
      <c r="D468" s="85" t="s">
        <v>301</v>
      </c>
      <c r="E468" s="85" t="s">
        <v>301</v>
      </c>
      <c r="F468" s="85" t="s">
        <v>301</v>
      </c>
      <c r="G468" s="85" t="s">
        <v>301</v>
      </c>
      <c r="H468" s="85" t="s">
        <v>301</v>
      </c>
      <c r="I468" s="85" t="s">
        <v>301</v>
      </c>
      <c r="U468" s="218" t="str">
        <f t="shared" si="68"/>
        <v/>
      </c>
    </row>
    <row r="469" spans="2:21">
      <c r="B469" s="47" t="s">
        <v>1571</v>
      </c>
      <c r="C469" s="61" t="s">
        <v>2158</v>
      </c>
      <c r="D469" s="85" t="s">
        <v>301</v>
      </c>
      <c r="E469" s="85" t="s">
        <v>301</v>
      </c>
      <c r="F469" s="85" t="s">
        <v>301</v>
      </c>
      <c r="G469" s="85">
        <v>-6.9</v>
      </c>
      <c r="H469" s="85" t="s">
        <v>301</v>
      </c>
      <c r="I469" s="85" t="s">
        <v>301</v>
      </c>
      <c r="U469" s="218">
        <f t="shared" si="68"/>
        <v>1</v>
      </c>
    </row>
    <row r="470" spans="2:21">
      <c r="B470" s="62" t="s">
        <v>1509</v>
      </c>
      <c r="C470" s="61" t="s">
        <v>272</v>
      </c>
      <c r="D470" s="85"/>
      <c r="E470" s="85"/>
      <c r="F470" s="85"/>
      <c r="G470" s="85"/>
      <c r="H470" s="85"/>
      <c r="I470" s="85"/>
      <c r="U470" s="217">
        <v>1</v>
      </c>
    </row>
    <row r="471" spans="2:21">
      <c r="B471" s="47" t="s">
        <v>1572</v>
      </c>
      <c r="C471" s="61" t="s">
        <v>2159</v>
      </c>
      <c r="D471" s="85" t="s">
        <v>301</v>
      </c>
      <c r="E471" s="85" t="s">
        <v>301</v>
      </c>
      <c r="F471" s="85" t="s">
        <v>301</v>
      </c>
      <c r="G471" s="85" t="s">
        <v>301</v>
      </c>
      <c r="H471" s="85" t="s">
        <v>301</v>
      </c>
      <c r="I471" s="85" t="s">
        <v>301</v>
      </c>
      <c r="U471" s="218" t="str">
        <f t="shared" ref="U471:U474" si="69">IF(COUNT(D471:I471)&lt;&gt;0,1,"")</f>
        <v/>
      </c>
    </row>
    <row r="472" spans="2:21">
      <c r="B472" s="47" t="s">
        <v>1573</v>
      </c>
      <c r="C472" s="61" t="s">
        <v>2160</v>
      </c>
      <c r="D472" s="85" t="s">
        <v>301</v>
      </c>
      <c r="E472" s="85" t="s">
        <v>301</v>
      </c>
      <c r="F472" s="85" t="s">
        <v>301</v>
      </c>
      <c r="G472" s="85" t="s">
        <v>301</v>
      </c>
      <c r="H472" s="85" t="s">
        <v>301</v>
      </c>
      <c r="I472" s="85" t="s">
        <v>301</v>
      </c>
      <c r="U472" s="218" t="str">
        <f t="shared" si="69"/>
        <v/>
      </c>
    </row>
    <row r="473" spans="2:21">
      <c r="B473" s="47" t="s">
        <v>1574</v>
      </c>
      <c r="C473" s="61" t="s">
        <v>2161</v>
      </c>
      <c r="D473" s="85" t="s">
        <v>301</v>
      </c>
      <c r="E473" s="85" t="s">
        <v>301</v>
      </c>
      <c r="F473" s="85" t="s">
        <v>301</v>
      </c>
      <c r="G473" s="85" t="s">
        <v>301</v>
      </c>
      <c r="H473" s="85" t="s">
        <v>301</v>
      </c>
      <c r="I473" s="85" t="s">
        <v>301</v>
      </c>
      <c r="U473" s="218" t="str">
        <f t="shared" si="69"/>
        <v/>
      </c>
    </row>
    <row r="474" spans="2:21">
      <c r="B474" s="47" t="s">
        <v>1575</v>
      </c>
      <c r="C474" s="61" t="s">
        <v>2162</v>
      </c>
      <c r="D474" s="85" t="s">
        <v>301</v>
      </c>
      <c r="E474" s="85" t="s">
        <v>301</v>
      </c>
      <c r="F474" s="85" t="s">
        <v>301</v>
      </c>
      <c r="G474" s="85" t="s">
        <v>301</v>
      </c>
      <c r="H474" s="85" t="s">
        <v>301</v>
      </c>
      <c r="I474" s="85" t="s">
        <v>301</v>
      </c>
      <c r="U474" s="218" t="str">
        <f t="shared" si="69"/>
        <v/>
      </c>
    </row>
    <row r="475" spans="2:21">
      <c r="B475" s="47"/>
      <c r="C475" s="61" t="s">
        <v>272</v>
      </c>
      <c r="D475" s="85"/>
      <c r="E475" s="85"/>
      <c r="F475" s="85"/>
      <c r="G475" s="85"/>
      <c r="H475" s="85"/>
      <c r="I475" s="85"/>
      <c r="U475" s="217">
        <v>1</v>
      </c>
    </row>
    <row r="476" spans="2:21">
      <c r="B476" s="62" t="s">
        <v>1589</v>
      </c>
      <c r="C476" s="61" t="s">
        <v>272</v>
      </c>
      <c r="D476" s="85"/>
      <c r="E476" s="85"/>
      <c r="F476" s="85"/>
      <c r="G476" s="85"/>
      <c r="H476" s="85"/>
      <c r="I476" s="85"/>
      <c r="U476" s="217">
        <v>1</v>
      </c>
    </row>
    <row r="477" spans="2:21">
      <c r="B477" s="62" t="s">
        <v>1425</v>
      </c>
      <c r="C477" s="61" t="s">
        <v>272</v>
      </c>
      <c r="D477" s="85"/>
      <c r="E477" s="85"/>
      <c r="F477" s="85"/>
      <c r="G477" s="85"/>
      <c r="H477" s="85"/>
      <c r="I477" s="85"/>
      <c r="U477" s="217">
        <v>1</v>
      </c>
    </row>
    <row r="478" spans="2:21">
      <c r="B478" s="47" t="s">
        <v>1436</v>
      </c>
      <c r="C478" s="61" t="s">
        <v>2163</v>
      </c>
      <c r="D478" s="85" t="s">
        <v>301</v>
      </c>
      <c r="E478" s="85" t="s">
        <v>301</v>
      </c>
      <c r="F478" s="85" t="s">
        <v>301</v>
      </c>
      <c r="G478" s="85" t="s">
        <v>301</v>
      </c>
      <c r="H478" s="85" t="s">
        <v>301</v>
      </c>
      <c r="I478" s="85" t="s">
        <v>301</v>
      </c>
      <c r="U478" s="218" t="str">
        <f t="shared" ref="U478:U484" si="70">IF(COUNT(D478:I478)&lt;&gt;0,1,"")</f>
        <v/>
      </c>
    </row>
    <row r="479" spans="2:21">
      <c r="B479" s="47" t="s">
        <v>1530</v>
      </c>
      <c r="C479" s="61" t="s">
        <v>2164</v>
      </c>
      <c r="D479" s="85" t="s">
        <v>301</v>
      </c>
      <c r="E479" s="85" t="s">
        <v>301</v>
      </c>
      <c r="F479" s="85" t="s">
        <v>301</v>
      </c>
      <c r="G479" s="85" t="s">
        <v>301</v>
      </c>
      <c r="H479" s="85" t="s">
        <v>301</v>
      </c>
      <c r="I479" s="85" t="s">
        <v>301</v>
      </c>
      <c r="U479" s="218" t="str">
        <f t="shared" si="70"/>
        <v/>
      </c>
    </row>
    <row r="480" spans="2:21">
      <c r="B480" s="47" t="s">
        <v>1577</v>
      </c>
      <c r="C480" s="61" t="s">
        <v>2165</v>
      </c>
      <c r="D480" s="85" t="s">
        <v>301</v>
      </c>
      <c r="E480" s="85" t="s">
        <v>301</v>
      </c>
      <c r="F480" s="85" t="s">
        <v>301</v>
      </c>
      <c r="G480" s="85" t="s">
        <v>301</v>
      </c>
      <c r="H480" s="85" t="s">
        <v>301</v>
      </c>
      <c r="I480" s="85" t="s">
        <v>301</v>
      </c>
      <c r="U480" s="218" t="str">
        <f t="shared" si="70"/>
        <v/>
      </c>
    </row>
    <row r="481" spans="2:21">
      <c r="B481" s="47" t="s">
        <v>1532</v>
      </c>
      <c r="C481" s="61" t="s">
        <v>2166</v>
      </c>
      <c r="D481" s="85" t="s">
        <v>301</v>
      </c>
      <c r="E481" s="85" t="s">
        <v>301</v>
      </c>
      <c r="F481" s="85" t="s">
        <v>301</v>
      </c>
      <c r="G481" s="85" t="s">
        <v>301</v>
      </c>
      <c r="H481" s="85" t="s">
        <v>301</v>
      </c>
      <c r="I481" s="85" t="s">
        <v>301</v>
      </c>
      <c r="U481" s="218" t="str">
        <f t="shared" si="70"/>
        <v/>
      </c>
    </row>
    <row r="482" spans="2:21">
      <c r="B482" s="47" t="s">
        <v>1517</v>
      </c>
      <c r="C482" s="61" t="s">
        <v>2167</v>
      </c>
      <c r="D482" s="85" t="s">
        <v>301</v>
      </c>
      <c r="E482" s="85" t="s">
        <v>301</v>
      </c>
      <c r="F482" s="85" t="s">
        <v>301</v>
      </c>
      <c r="G482" s="85" t="s">
        <v>301</v>
      </c>
      <c r="H482" s="85" t="s">
        <v>301</v>
      </c>
      <c r="I482" s="85" t="s">
        <v>301</v>
      </c>
      <c r="U482" s="218" t="str">
        <f t="shared" si="70"/>
        <v/>
      </c>
    </row>
    <row r="483" spans="2:21">
      <c r="B483" s="47" t="s">
        <v>1431</v>
      </c>
      <c r="C483" s="61" t="s">
        <v>2168</v>
      </c>
      <c r="D483" s="85" t="s">
        <v>301</v>
      </c>
      <c r="E483" s="85" t="s">
        <v>301</v>
      </c>
      <c r="F483" s="85" t="s">
        <v>301</v>
      </c>
      <c r="G483" s="85" t="s">
        <v>301</v>
      </c>
      <c r="H483" s="85" t="s">
        <v>301</v>
      </c>
      <c r="I483" s="85" t="s">
        <v>301</v>
      </c>
      <c r="U483" s="218" t="str">
        <f t="shared" si="70"/>
        <v/>
      </c>
    </row>
    <row r="484" spans="2:21">
      <c r="B484" s="47" t="s">
        <v>1534</v>
      </c>
      <c r="C484" s="61" t="s">
        <v>2169</v>
      </c>
      <c r="D484" s="85" t="s">
        <v>301</v>
      </c>
      <c r="E484" s="85" t="s">
        <v>301</v>
      </c>
      <c r="F484" s="85" t="s">
        <v>301</v>
      </c>
      <c r="G484" s="85" t="s">
        <v>301</v>
      </c>
      <c r="H484" s="85" t="s">
        <v>301</v>
      </c>
      <c r="I484" s="85" t="s">
        <v>301</v>
      </c>
      <c r="U484" s="218" t="str">
        <f t="shared" si="70"/>
        <v/>
      </c>
    </row>
    <row r="485" spans="2:21">
      <c r="B485" s="62" t="s">
        <v>1434</v>
      </c>
      <c r="C485" s="61" t="s">
        <v>272</v>
      </c>
      <c r="D485" s="85"/>
      <c r="E485" s="85"/>
      <c r="F485" s="85"/>
      <c r="G485" s="85"/>
      <c r="H485" s="85"/>
      <c r="I485" s="85"/>
      <c r="U485" s="217">
        <v>1</v>
      </c>
    </row>
    <row r="486" spans="2:21">
      <c r="B486" s="47" t="s">
        <v>1535</v>
      </c>
      <c r="C486" s="61" t="s">
        <v>2170</v>
      </c>
      <c r="D486" s="85" t="s">
        <v>301</v>
      </c>
      <c r="E486" s="85" t="s">
        <v>301</v>
      </c>
      <c r="F486" s="85" t="s">
        <v>301</v>
      </c>
      <c r="G486" s="85" t="s">
        <v>301</v>
      </c>
      <c r="H486" s="85" t="s">
        <v>301</v>
      </c>
      <c r="I486" s="85" t="s">
        <v>301</v>
      </c>
      <c r="U486" s="218" t="str">
        <f t="shared" ref="U486:U497" si="71">IF(COUNT(D486:I486)&lt;&gt;0,1,"")</f>
        <v/>
      </c>
    </row>
    <row r="487" spans="2:21">
      <c r="B487" s="47" t="s">
        <v>1436</v>
      </c>
      <c r="C487" s="61" t="s">
        <v>2171</v>
      </c>
      <c r="D487" s="85" t="s">
        <v>301</v>
      </c>
      <c r="E487" s="85" t="s">
        <v>301</v>
      </c>
      <c r="F487" s="85" t="s">
        <v>301</v>
      </c>
      <c r="G487" s="85" t="s">
        <v>301</v>
      </c>
      <c r="H487" s="85" t="s">
        <v>301</v>
      </c>
      <c r="I487" s="85" t="s">
        <v>301</v>
      </c>
      <c r="U487" s="218" t="str">
        <f t="shared" si="71"/>
        <v/>
      </c>
    </row>
    <row r="488" spans="2:21">
      <c r="B488" s="47" t="s">
        <v>1530</v>
      </c>
      <c r="C488" s="61" t="s">
        <v>2172</v>
      </c>
      <c r="D488" s="85" t="s">
        <v>301</v>
      </c>
      <c r="E488" s="85" t="s">
        <v>301</v>
      </c>
      <c r="F488" s="85" t="s">
        <v>301</v>
      </c>
      <c r="G488" s="85" t="s">
        <v>301</v>
      </c>
      <c r="H488" s="85" t="s">
        <v>301</v>
      </c>
      <c r="I488" s="85" t="s">
        <v>301</v>
      </c>
      <c r="U488" s="218" t="str">
        <f t="shared" si="71"/>
        <v/>
      </c>
    </row>
    <row r="489" spans="2:21">
      <c r="B489" s="47" t="s">
        <v>1536</v>
      </c>
      <c r="C489" s="61" t="s">
        <v>2173</v>
      </c>
      <c r="D489" s="85" t="s">
        <v>301</v>
      </c>
      <c r="E489" s="85" t="s">
        <v>301</v>
      </c>
      <c r="F489" s="85" t="s">
        <v>301</v>
      </c>
      <c r="G489" s="85" t="s">
        <v>301</v>
      </c>
      <c r="H489" s="85" t="s">
        <v>301</v>
      </c>
      <c r="I489" s="85" t="s">
        <v>301</v>
      </c>
      <c r="U489" s="218" t="str">
        <f t="shared" si="71"/>
        <v/>
      </c>
    </row>
    <row r="490" spans="2:21">
      <c r="B490" s="47" t="s">
        <v>1537</v>
      </c>
      <c r="C490" s="61" t="s">
        <v>2174</v>
      </c>
      <c r="D490" s="85" t="s">
        <v>301</v>
      </c>
      <c r="E490" s="85" t="s">
        <v>301</v>
      </c>
      <c r="F490" s="85" t="s">
        <v>301</v>
      </c>
      <c r="G490" s="85" t="s">
        <v>301</v>
      </c>
      <c r="H490" s="85" t="s">
        <v>301</v>
      </c>
      <c r="I490" s="85" t="s">
        <v>301</v>
      </c>
      <c r="U490" s="218" t="str">
        <f t="shared" si="71"/>
        <v/>
      </c>
    </row>
    <row r="491" spans="2:21">
      <c r="B491" s="47" t="s">
        <v>1439</v>
      </c>
      <c r="C491" s="61" t="s">
        <v>2175</v>
      </c>
      <c r="D491" s="85" t="s">
        <v>301</v>
      </c>
      <c r="E491" s="85" t="s">
        <v>301</v>
      </c>
      <c r="F491" s="85" t="s">
        <v>301</v>
      </c>
      <c r="G491" s="85" t="s">
        <v>301</v>
      </c>
      <c r="H491" s="85" t="s">
        <v>301</v>
      </c>
      <c r="I491" s="85" t="s">
        <v>301</v>
      </c>
      <c r="U491" s="218" t="str">
        <f t="shared" si="71"/>
        <v/>
      </c>
    </row>
    <row r="492" spans="2:21">
      <c r="B492" s="47" t="s">
        <v>1538</v>
      </c>
      <c r="C492" s="61" t="s">
        <v>2176</v>
      </c>
      <c r="D492" s="85" t="s">
        <v>301</v>
      </c>
      <c r="E492" s="85" t="s">
        <v>301</v>
      </c>
      <c r="F492" s="85" t="s">
        <v>301</v>
      </c>
      <c r="G492" s="85" t="s">
        <v>301</v>
      </c>
      <c r="H492" s="85" t="s">
        <v>301</v>
      </c>
      <c r="I492" s="85" t="s">
        <v>301</v>
      </c>
      <c r="U492" s="218" t="str">
        <f t="shared" si="71"/>
        <v/>
      </c>
    </row>
    <row r="493" spans="2:21">
      <c r="B493" s="47" t="s">
        <v>1539</v>
      </c>
      <c r="C493" s="61" t="s">
        <v>2177</v>
      </c>
      <c r="D493" s="85" t="s">
        <v>301</v>
      </c>
      <c r="E493" s="85" t="s">
        <v>301</v>
      </c>
      <c r="F493" s="85" t="s">
        <v>301</v>
      </c>
      <c r="G493" s="85" t="s">
        <v>301</v>
      </c>
      <c r="H493" s="85" t="s">
        <v>301</v>
      </c>
      <c r="I493" s="85" t="s">
        <v>301</v>
      </c>
      <c r="U493" s="218" t="str">
        <f t="shared" si="71"/>
        <v/>
      </c>
    </row>
    <row r="494" spans="2:21">
      <c r="B494" s="47" t="s">
        <v>1540</v>
      </c>
      <c r="C494" s="61" t="s">
        <v>2178</v>
      </c>
      <c r="D494" s="85" t="s">
        <v>301</v>
      </c>
      <c r="E494" s="85" t="s">
        <v>301</v>
      </c>
      <c r="F494" s="85" t="s">
        <v>301</v>
      </c>
      <c r="G494" s="85" t="s">
        <v>301</v>
      </c>
      <c r="H494" s="85" t="s">
        <v>301</v>
      </c>
      <c r="I494" s="85" t="s">
        <v>301</v>
      </c>
      <c r="U494" s="218" t="str">
        <f t="shared" si="71"/>
        <v/>
      </c>
    </row>
    <row r="495" spans="2:21">
      <c r="B495" s="47" t="s">
        <v>1541</v>
      </c>
      <c r="C495" s="61" t="s">
        <v>2179</v>
      </c>
      <c r="D495" s="85" t="s">
        <v>301</v>
      </c>
      <c r="E495" s="85" t="s">
        <v>301</v>
      </c>
      <c r="F495" s="85" t="s">
        <v>301</v>
      </c>
      <c r="G495" s="85" t="s">
        <v>301</v>
      </c>
      <c r="H495" s="85" t="s">
        <v>301</v>
      </c>
      <c r="I495" s="85" t="s">
        <v>301</v>
      </c>
      <c r="U495" s="218" t="str">
        <f t="shared" si="71"/>
        <v/>
      </c>
    </row>
    <row r="496" spans="2:21">
      <c r="B496" s="47" t="s">
        <v>1519</v>
      </c>
      <c r="C496" s="61" t="s">
        <v>2180</v>
      </c>
      <c r="D496" s="85" t="s">
        <v>301</v>
      </c>
      <c r="E496" s="85" t="s">
        <v>301</v>
      </c>
      <c r="F496" s="85" t="s">
        <v>301</v>
      </c>
      <c r="G496" s="85" t="s">
        <v>301</v>
      </c>
      <c r="H496" s="85" t="s">
        <v>301</v>
      </c>
      <c r="I496" s="85" t="s">
        <v>301</v>
      </c>
      <c r="U496" s="218" t="str">
        <f t="shared" si="71"/>
        <v/>
      </c>
    </row>
    <row r="497" spans="2:21">
      <c r="B497" s="47" t="s">
        <v>1578</v>
      </c>
      <c r="C497" s="61" t="s">
        <v>2181</v>
      </c>
      <c r="D497" s="85" t="s">
        <v>301</v>
      </c>
      <c r="E497" s="85" t="s">
        <v>301</v>
      </c>
      <c r="F497" s="85" t="s">
        <v>301</v>
      </c>
      <c r="G497" s="85" t="s">
        <v>301</v>
      </c>
      <c r="H497" s="85" t="s">
        <v>301</v>
      </c>
      <c r="I497" s="85" t="s">
        <v>301</v>
      </c>
      <c r="U497" s="218" t="str">
        <f t="shared" si="71"/>
        <v/>
      </c>
    </row>
    <row r="498" spans="2:21">
      <c r="B498" s="62" t="s">
        <v>1446</v>
      </c>
      <c r="C498" s="61" t="s">
        <v>272</v>
      </c>
      <c r="D498" s="85"/>
      <c r="E498" s="85"/>
      <c r="F498" s="85"/>
      <c r="G498" s="85"/>
      <c r="H498" s="85"/>
      <c r="I498" s="85"/>
      <c r="U498" s="217">
        <v>1</v>
      </c>
    </row>
    <row r="499" spans="2:21">
      <c r="B499" s="47" t="s">
        <v>1544</v>
      </c>
      <c r="C499" s="61" t="s">
        <v>2182</v>
      </c>
      <c r="D499" s="85" t="s">
        <v>301</v>
      </c>
      <c r="E499" s="85" t="s">
        <v>301</v>
      </c>
      <c r="F499" s="85" t="s">
        <v>301</v>
      </c>
      <c r="G499" s="85" t="s">
        <v>301</v>
      </c>
      <c r="H499" s="85" t="s">
        <v>301</v>
      </c>
      <c r="I499" s="85" t="s">
        <v>301</v>
      </c>
      <c r="U499" s="218" t="str">
        <f t="shared" ref="U499:U508" si="72">IF(COUNT(D499:I499)&lt;&gt;0,1,"")</f>
        <v/>
      </c>
    </row>
    <row r="500" spans="2:21">
      <c r="B500" s="47" t="s">
        <v>1545</v>
      </c>
      <c r="C500" s="61" t="s">
        <v>2183</v>
      </c>
      <c r="D500" s="85" t="s">
        <v>301</v>
      </c>
      <c r="E500" s="85" t="s">
        <v>301</v>
      </c>
      <c r="F500" s="85" t="s">
        <v>301</v>
      </c>
      <c r="G500" s="85" t="s">
        <v>301</v>
      </c>
      <c r="H500" s="85" t="s">
        <v>301</v>
      </c>
      <c r="I500" s="85" t="s">
        <v>301</v>
      </c>
      <c r="U500" s="218" t="str">
        <f t="shared" si="72"/>
        <v/>
      </c>
    </row>
    <row r="501" spans="2:21">
      <c r="B501" s="47" t="s">
        <v>1546</v>
      </c>
      <c r="C501" s="61" t="s">
        <v>2184</v>
      </c>
      <c r="D501" s="85" t="s">
        <v>301</v>
      </c>
      <c r="E501" s="85" t="s">
        <v>301</v>
      </c>
      <c r="F501" s="85" t="s">
        <v>301</v>
      </c>
      <c r="G501" s="85" t="s">
        <v>301</v>
      </c>
      <c r="H501" s="85" t="s">
        <v>301</v>
      </c>
      <c r="I501" s="85" t="s">
        <v>301</v>
      </c>
      <c r="U501" s="218" t="str">
        <f t="shared" si="72"/>
        <v/>
      </c>
    </row>
    <row r="502" spans="2:21">
      <c r="B502" s="47" t="s">
        <v>1547</v>
      </c>
      <c r="C502" s="61" t="s">
        <v>2185</v>
      </c>
      <c r="D502" s="85" t="s">
        <v>301</v>
      </c>
      <c r="E502" s="85" t="s">
        <v>301</v>
      </c>
      <c r="F502" s="85" t="s">
        <v>301</v>
      </c>
      <c r="G502" s="85" t="s">
        <v>301</v>
      </c>
      <c r="H502" s="85" t="s">
        <v>301</v>
      </c>
      <c r="I502" s="85" t="s">
        <v>301</v>
      </c>
      <c r="U502" s="218" t="str">
        <f t="shared" si="72"/>
        <v/>
      </c>
    </row>
    <row r="503" spans="2:21">
      <c r="B503" s="47" t="s">
        <v>1548</v>
      </c>
      <c r="C503" s="61" t="s">
        <v>2186</v>
      </c>
      <c r="D503" s="85" t="s">
        <v>301</v>
      </c>
      <c r="E503" s="85" t="s">
        <v>301</v>
      </c>
      <c r="F503" s="85" t="s">
        <v>301</v>
      </c>
      <c r="G503" s="85" t="s">
        <v>301</v>
      </c>
      <c r="H503" s="85" t="s">
        <v>301</v>
      </c>
      <c r="I503" s="85" t="s">
        <v>301</v>
      </c>
      <c r="U503" s="218" t="str">
        <f t="shared" si="72"/>
        <v/>
      </c>
    </row>
    <row r="504" spans="2:21">
      <c r="B504" s="47" t="s">
        <v>1549</v>
      </c>
      <c r="C504" s="61" t="s">
        <v>2187</v>
      </c>
      <c r="D504" s="85" t="s">
        <v>301</v>
      </c>
      <c r="E504" s="85" t="s">
        <v>301</v>
      </c>
      <c r="F504" s="85" t="s">
        <v>301</v>
      </c>
      <c r="G504" s="85" t="s">
        <v>301</v>
      </c>
      <c r="H504" s="85" t="s">
        <v>301</v>
      </c>
      <c r="I504" s="85" t="s">
        <v>301</v>
      </c>
      <c r="U504" s="218" t="str">
        <f t="shared" si="72"/>
        <v/>
      </c>
    </row>
    <row r="505" spans="2:21">
      <c r="B505" s="47" t="s">
        <v>1550</v>
      </c>
      <c r="C505" s="61" t="s">
        <v>2188</v>
      </c>
      <c r="D505" s="85" t="s">
        <v>301</v>
      </c>
      <c r="E505" s="85" t="s">
        <v>301</v>
      </c>
      <c r="F505" s="85" t="s">
        <v>301</v>
      </c>
      <c r="G505" s="85" t="s">
        <v>301</v>
      </c>
      <c r="H505" s="85" t="s">
        <v>301</v>
      </c>
      <c r="I505" s="85" t="s">
        <v>301</v>
      </c>
      <c r="U505" s="218" t="str">
        <f t="shared" si="72"/>
        <v/>
      </c>
    </row>
    <row r="506" spans="2:21">
      <c r="B506" s="47" t="s">
        <v>1551</v>
      </c>
      <c r="C506" s="61" t="s">
        <v>2189</v>
      </c>
      <c r="D506" s="85" t="s">
        <v>301</v>
      </c>
      <c r="E506" s="85" t="s">
        <v>301</v>
      </c>
      <c r="F506" s="85" t="s">
        <v>301</v>
      </c>
      <c r="G506" s="85" t="s">
        <v>301</v>
      </c>
      <c r="H506" s="85" t="s">
        <v>301</v>
      </c>
      <c r="I506" s="85" t="s">
        <v>301</v>
      </c>
      <c r="U506" s="218" t="str">
        <f t="shared" si="72"/>
        <v/>
      </c>
    </row>
    <row r="507" spans="2:21">
      <c r="B507" s="47" t="s">
        <v>1552</v>
      </c>
      <c r="C507" s="61" t="s">
        <v>2190</v>
      </c>
      <c r="D507" s="85" t="s">
        <v>301</v>
      </c>
      <c r="E507" s="85" t="s">
        <v>301</v>
      </c>
      <c r="F507" s="85" t="s">
        <v>301</v>
      </c>
      <c r="G507" s="85" t="s">
        <v>301</v>
      </c>
      <c r="H507" s="85" t="s">
        <v>301</v>
      </c>
      <c r="I507" s="85" t="s">
        <v>301</v>
      </c>
      <c r="U507" s="218" t="str">
        <f t="shared" si="72"/>
        <v/>
      </c>
    </row>
    <row r="508" spans="2:21">
      <c r="B508" s="47" t="s">
        <v>1553</v>
      </c>
      <c r="C508" s="61" t="s">
        <v>2191</v>
      </c>
      <c r="D508" s="85" t="s">
        <v>301</v>
      </c>
      <c r="E508" s="85" t="s">
        <v>301</v>
      </c>
      <c r="F508" s="85" t="s">
        <v>301</v>
      </c>
      <c r="G508" s="85" t="s">
        <v>301</v>
      </c>
      <c r="H508" s="85" t="s">
        <v>301</v>
      </c>
      <c r="I508" s="85" t="s">
        <v>301</v>
      </c>
      <c r="U508" s="218" t="str">
        <f t="shared" si="72"/>
        <v/>
      </c>
    </row>
    <row r="509" spans="2:21">
      <c r="B509" s="62" t="s">
        <v>1457</v>
      </c>
      <c r="C509" s="61" t="s">
        <v>272</v>
      </c>
      <c r="D509" s="85"/>
      <c r="E509" s="85"/>
      <c r="F509" s="85"/>
      <c r="G509" s="85"/>
      <c r="H509" s="85"/>
      <c r="I509" s="85"/>
      <c r="U509" s="217">
        <v>1</v>
      </c>
    </row>
    <row r="510" spans="2:21">
      <c r="B510" s="47" t="s">
        <v>1458</v>
      </c>
      <c r="C510" s="61" t="s">
        <v>2192</v>
      </c>
      <c r="D510" s="45" t="s">
        <v>301</v>
      </c>
      <c r="E510" s="45" t="s">
        <v>301</v>
      </c>
      <c r="F510" s="45" t="s">
        <v>301</v>
      </c>
      <c r="G510" s="45" t="s">
        <v>301</v>
      </c>
      <c r="H510" s="45" t="s">
        <v>301</v>
      </c>
      <c r="I510" s="45" t="s">
        <v>301</v>
      </c>
      <c r="U510" s="218" t="str">
        <f t="shared" ref="U510:U515" si="73">IF(COUNT(D510:I510)&lt;&gt;0,1,"")</f>
        <v/>
      </c>
    </row>
    <row r="511" spans="2:21">
      <c r="B511" s="47" t="s">
        <v>1459</v>
      </c>
      <c r="C511" s="61" t="s">
        <v>2193</v>
      </c>
      <c r="D511" s="45" t="s">
        <v>301</v>
      </c>
      <c r="E511" s="45" t="s">
        <v>301</v>
      </c>
      <c r="F511" s="45" t="s">
        <v>301</v>
      </c>
      <c r="G511" s="45" t="s">
        <v>301</v>
      </c>
      <c r="H511" s="45" t="s">
        <v>301</v>
      </c>
      <c r="I511" s="45" t="s">
        <v>301</v>
      </c>
      <c r="U511" s="218" t="str">
        <f t="shared" si="73"/>
        <v/>
      </c>
    </row>
    <row r="512" spans="2:21">
      <c r="B512" s="47" t="s">
        <v>1460</v>
      </c>
      <c r="C512" s="61" t="s">
        <v>2194</v>
      </c>
      <c r="D512" s="45" t="s">
        <v>301</v>
      </c>
      <c r="E512" s="45" t="s">
        <v>301</v>
      </c>
      <c r="F512" s="45" t="s">
        <v>301</v>
      </c>
      <c r="G512" s="45" t="s">
        <v>301</v>
      </c>
      <c r="H512" s="45" t="s">
        <v>301</v>
      </c>
      <c r="I512" s="45" t="s">
        <v>301</v>
      </c>
      <c r="U512" s="218" t="str">
        <f t="shared" si="73"/>
        <v/>
      </c>
    </row>
    <row r="513" spans="2:21">
      <c r="B513" s="47" t="s">
        <v>1461</v>
      </c>
      <c r="C513" s="61" t="s">
        <v>2195</v>
      </c>
      <c r="D513" s="45" t="s">
        <v>301</v>
      </c>
      <c r="E513" s="45" t="s">
        <v>301</v>
      </c>
      <c r="F513" s="45" t="s">
        <v>301</v>
      </c>
      <c r="G513" s="45" t="s">
        <v>301</v>
      </c>
      <c r="H513" s="45" t="s">
        <v>301</v>
      </c>
      <c r="I513" s="45" t="s">
        <v>301</v>
      </c>
      <c r="U513" s="218" t="str">
        <f t="shared" si="73"/>
        <v/>
      </c>
    </row>
    <row r="514" spans="2:21">
      <c r="B514" s="47" t="s">
        <v>1462</v>
      </c>
      <c r="C514" s="61" t="s">
        <v>2196</v>
      </c>
      <c r="D514" s="45" t="s">
        <v>301</v>
      </c>
      <c r="E514" s="45" t="s">
        <v>301</v>
      </c>
      <c r="F514" s="45" t="s">
        <v>301</v>
      </c>
      <c r="G514" s="45" t="s">
        <v>301</v>
      </c>
      <c r="H514" s="45" t="s">
        <v>301</v>
      </c>
      <c r="I514" s="45" t="s">
        <v>301</v>
      </c>
      <c r="U514" s="218" t="str">
        <f t="shared" si="73"/>
        <v/>
      </c>
    </row>
    <row r="515" spans="2:21">
      <c r="B515" s="47" t="s">
        <v>1463</v>
      </c>
      <c r="C515" s="61" t="s">
        <v>2197</v>
      </c>
      <c r="D515" s="45" t="s">
        <v>301</v>
      </c>
      <c r="E515" s="45" t="s">
        <v>301</v>
      </c>
      <c r="F515" s="45" t="s">
        <v>301</v>
      </c>
      <c r="G515" s="45" t="s">
        <v>301</v>
      </c>
      <c r="H515" s="45" t="s">
        <v>301</v>
      </c>
      <c r="I515" s="45" t="s">
        <v>301</v>
      </c>
      <c r="U515" s="218" t="str">
        <f t="shared" si="73"/>
        <v/>
      </c>
    </row>
    <row r="516" spans="2:21">
      <c r="B516" s="62" t="s">
        <v>1464</v>
      </c>
      <c r="C516" s="61" t="s">
        <v>272</v>
      </c>
      <c r="D516" s="85"/>
      <c r="E516" s="85"/>
      <c r="F516" s="85"/>
      <c r="G516" s="85"/>
      <c r="H516" s="85"/>
      <c r="I516" s="85"/>
      <c r="U516" s="217">
        <v>1</v>
      </c>
    </row>
    <row r="517" spans="2:21">
      <c r="B517" s="47" t="s">
        <v>1465</v>
      </c>
      <c r="C517" s="61" t="s">
        <v>2198</v>
      </c>
      <c r="D517" s="45" t="s">
        <v>301</v>
      </c>
      <c r="E517" s="45" t="s">
        <v>301</v>
      </c>
      <c r="F517" s="45" t="s">
        <v>301</v>
      </c>
      <c r="G517" s="45" t="s">
        <v>301</v>
      </c>
      <c r="H517" s="45" t="s">
        <v>301</v>
      </c>
      <c r="I517" s="45" t="s">
        <v>301</v>
      </c>
      <c r="U517" s="218" t="str">
        <f t="shared" ref="U517:U520" si="74">IF(COUNT(D517:I517)&lt;&gt;0,1,"")</f>
        <v/>
      </c>
    </row>
    <row r="518" spans="2:21">
      <c r="B518" s="47" t="s">
        <v>1466</v>
      </c>
      <c r="C518" s="61" t="s">
        <v>2199</v>
      </c>
      <c r="D518" s="45" t="s">
        <v>301</v>
      </c>
      <c r="E518" s="45" t="s">
        <v>301</v>
      </c>
      <c r="F518" s="45" t="s">
        <v>301</v>
      </c>
      <c r="G518" s="45" t="s">
        <v>301</v>
      </c>
      <c r="H518" s="45" t="s">
        <v>301</v>
      </c>
      <c r="I518" s="45" t="s">
        <v>301</v>
      </c>
      <c r="U518" s="218" t="str">
        <f t="shared" si="74"/>
        <v/>
      </c>
    </row>
    <row r="519" spans="2:21">
      <c r="B519" s="47" t="s">
        <v>1467</v>
      </c>
      <c r="C519" s="61" t="s">
        <v>2200</v>
      </c>
      <c r="D519" s="45" t="s">
        <v>301</v>
      </c>
      <c r="E519" s="45" t="s">
        <v>301</v>
      </c>
      <c r="F519" s="45" t="s">
        <v>301</v>
      </c>
      <c r="G519" s="45" t="s">
        <v>301</v>
      </c>
      <c r="H519" s="45" t="s">
        <v>301</v>
      </c>
      <c r="I519" s="45" t="s">
        <v>301</v>
      </c>
      <c r="U519" s="218" t="str">
        <f t="shared" si="74"/>
        <v/>
      </c>
    </row>
    <row r="520" spans="2:21">
      <c r="B520" s="47" t="s">
        <v>1468</v>
      </c>
      <c r="C520" s="61" t="s">
        <v>2201</v>
      </c>
      <c r="D520" s="45" t="s">
        <v>301</v>
      </c>
      <c r="E520" s="45" t="s">
        <v>301</v>
      </c>
      <c r="F520" s="45" t="s">
        <v>301</v>
      </c>
      <c r="G520" s="45" t="s">
        <v>301</v>
      </c>
      <c r="H520" s="45" t="s">
        <v>301</v>
      </c>
      <c r="I520" s="45" t="s">
        <v>301</v>
      </c>
      <c r="U520" s="218" t="str">
        <f t="shared" si="74"/>
        <v/>
      </c>
    </row>
    <row r="521" spans="2:21">
      <c r="B521" s="62" t="s">
        <v>1464</v>
      </c>
      <c r="C521" s="61" t="s">
        <v>272</v>
      </c>
      <c r="D521" s="85"/>
      <c r="E521" s="85"/>
      <c r="F521" s="85"/>
      <c r="G521" s="85"/>
      <c r="H521" s="85"/>
      <c r="I521" s="85"/>
      <c r="U521" s="217">
        <v>1</v>
      </c>
    </row>
    <row r="522" spans="2:21">
      <c r="B522" s="47" t="s">
        <v>1554</v>
      </c>
      <c r="C522" s="61" t="s">
        <v>2202</v>
      </c>
      <c r="D522" s="85" t="s">
        <v>301</v>
      </c>
      <c r="E522" s="85" t="s">
        <v>301</v>
      </c>
      <c r="F522" s="85" t="s">
        <v>301</v>
      </c>
      <c r="G522" s="85" t="s">
        <v>301</v>
      </c>
      <c r="H522" s="85" t="s">
        <v>301</v>
      </c>
      <c r="I522" s="85" t="s">
        <v>301</v>
      </c>
      <c r="U522" s="218" t="str">
        <f t="shared" ref="U522:U525" si="75">IF(COUNT(D522:I522)&lt;&gt;0,1,"")</f>
        <v/>
      </c>
    </row>
    <row r="523" spans="2:21">
      <c r="B523" s="47" t="s">
        <v>1555</v>
      </c>
      <c r="C523" s="61" t="s">
        <v>2203</v>
      </c>
      <c r="D523" s="85" t="s">
        <v>301</v>
      </c>
      <c r="E523" s="85" t="s">
        <v>301</v>
      </c>
      <c r="F523" s="85" t="s">
        <v>301</v>
      </c>
      <c r="G523" s="85" t="s">
        <v>301</v>
      </c>
      <c r="H523" s="85" t="s">
        <v>301</v>
      </c>
      <c r="I523" s="85" t="s">
        <v>301</v>
      </c>
      <c r="U523" s="218" t="str">
        <f t="shared" si="75"/>
        <v/>
      </c>
    </row>
    <row r="524" spans="2:21">
      <c r="B524" s="47" t="s">
        <v>1556</v>
      </c>
      <c r="C524" s="61" t="s">
        <v>2204</v>
      </c>
      <c r="D524" s="85" t="s">
        <v>301</v>
      </c>
      <c r="E524" s="85" t="s">
        <v>301</v>
      </c>
      <c r="F524" s="85" t="s">
        <v>301</v>
      </c>
      <c r="G524" s="85" t="s">
        <v>301</v>
      </c>
      <c r="H524" s="85" t="s">
        <v>301</v>
      </c>
      <c r="I524" s="85" t="s">
        <v>301</v>
      </c>
      <c r="U524" s="218" t="str">
        <f t="shared" si="75"/>
        <v/>
      </c>
    </row>
    <row r="525" spans="2:21">
      <c r="B525" s="47" t="s">
        <v>1557</v>
      </c>
      <c r="C525" s="61" t="s">
        <v>2205</v>
      </c>
      <c r="D525" s="85" t="s">
        <v>301</v>
      </c>
      <c r="E525" s="85" t="s">
        <v>301</v>
      </c>
      <c r="F525" s="85" t="s">
        <v>301</v>
      </c>
      <c r="G525" s="85" t="s">
        <v>301</v>
      </c>
      <c r="H525" s="85" t="s">
        <v>301</v>
      </c>
      <c r="I525" s="85" t="s">
        <v>301</v>
      </c>
      <c r="U525" s="218" t="str">
        <f t="shared" si="75"/>
        <v/>
      </c>
    </row>
    <row r="526" spans="2:21">
      <c r="B526" s="62" t="s">
        <v>1473</v>
      </c>
      <c r="C526" s="61" t="s">
        <v>272</v>
      </c>
      <c r="D526" s="85"/>
      <c r="E526" s="85"/>
      <c r="F526" s="85"/>
      <c r="G526" s="85"/>
      <c r="H526" s="85"/>
      <c r="I526" s="85"/>
      <c r="U526" s="217">
        <v>1</v>
      </c>
    </row>
    <row r="527" spans="2:21">
      <c r="B527" s="47" t="s">
        <v>1474</v>
      </c>
      <c r="C527" s="61" t="s">
        <v>2206</v>
      </c>
      <c r="D527" s="85" t="s">
        <v>301</v>
      </c>
      <c r="E527" s="85" t="s">
        <v>301</v>
      </c>
      <c r="F527" s="85" t="s">
        <v>301</v>
      </c>
      <c r="G527" s="85" t="s">
        <v>301</v>
      </c>
      <c r="H527" s="85" t="s">
        <v>301</v>
      </c>
      <c r="I527" s="85" t="s">
        <v>301</v>
      </c>
      <c r="U527" s="218" t="str">
        <f t="shared" ref="U527:U531" si="76">IF(COUNT(D527:I527)&lt;&gt;0,1,"")</f>
        <v/>
      </c>
    </row>
    <row r="528" spans="2:21">
      <c r="B528" s="47" t="s">
        <v>1475</v>
      </c>
      <c r="C528" s="61" t="s">
        <v>2207</v>
      </c>
      <c r="D528" s="85" t="s">
        <v>301</v>
      </c>
      <c r="E528" s="85" t="s">
        <v>301</v>
      </c>
      <c r="F528" s="85" t="s">
        <v>301</v>
      </c>
      <c r="G528" s="85" t="s">
        <v>301</v>
      </c>
      <c r="H528" s="85" t="s">
        <v>301</v>
      </c>
      <c r="I528" s="85" t="s">
        <v>301</v>
      </c>
      <c r="U528" s="218" t="str">
        <f t="shared" si="76"/>
        <v/>
      </c>
    </row>
    <row r="529" spans="2:21">
      <c r="B529" s="47" t="s">
        <v>1476</v>
      </c>
      <c r="C529" s="61" t="s">
        <v>2208</v>
      </c>
      <c r="D529" s="85" t="s">
        <v>301</v>
      </c>
      <c r="E529" s="85" t="s">
        <v>301</v>
      </c>
      <c r="F529" s="85" t="s">
        <v>301</v>
      </c>
      <c r="G529" s="85" t="s">
        <v>301</v>
      </c>
      <c r="H529" s="85" t="s">
        <v>301</v>
      </c>
      <c r="I529" s="85" t="s">
        <v>301</v>
      </c>
      <c r="U529" s="218" t="str">
        <f t="shared" si="76"/>
        <v/>
      </c>
    </row>
    <row r="530" spans="2:21">
      <c r="B530" s="47" t="s">
        <v>1477</v>
      </c>
      <c r="C530" s="61" t="s">
        <v>2209</v>
      </c>
      <c r="D530" s="85" t="s">
        <v>301</v>
      </c>
      <c r="E530" s="85" t="s">
        <v>301</v>
      </c>
      <c r="F530" s="85" t="s">
        <v>301</v>
      </c>
      <c r="G530" s="85" t="s">
        <v>301</v>
      </c>
      <c r="H530" s="85" t="s">
        <v>301</v>
      </c>
      <c r="I530" s="85" t="s">
        <v>301</v>
      </c>
      <c r="U530" s="218" t="str">
        <f t="shared" si="76"/>
        <v/>
      </c>
    </row>
    <row r="531" spans="2:21">
      <c r="B531" s="47" t="s">
        <v>1478</v>
      </c>
      <c r="C531" s="61" t="s">
        <v>2210</v>
      </c>
      <c r="D531" s="85" t="s">
        <v>301</v>
      </c>
      <c r="E531" s="85" t="s">
        <v>301</v>
      </c>
      <c r="F531" s="85" t="s">
        <v>301</v>
      </c>
      <c r="G531" s="85" t="s">
        <v>301</v>
      </c>
      <c r="H531" s="85" t="s">
        <v>301</v>
      </c>
      <c r="I531" s="85" t="s">
        <v>301</v>
      </c>
      <c r="U531" s="218" t="str">
        <f t="shared" si="76"/>
        <v/>
      </c>
    </row>
    <row r="532" spans="2:21">
      <c r="B532" s="62" t="s">
        <v>1479</v>
      </c>
      <c r="C532" s="61" t="s">
        <v>272</v>
      </c>
      <c r="D532" s="85"/>
      <c r="E532" s="85"/>
      <c r="F532" s="85"/>
      <c r="G532" s="85"/>
      <c r="H532" s="85"/>
      <c r="I532" s="85"/>
      <c r="U532" s="217">
        <v>1</v>
      </c>
    </row>
    <row r="533" spans="2:21">
      <c r="B533" s="47" t="s">
        <v>1480</v>
      </c>
      <c r="C533" s="61" t="s">
        <v>2211</v>
      </c>
      <c r="D533" s="85" t="s">
        <v>301</v>
      </c>
      <c r="E533" s="85" t="s">
        <v>301</v>
      </c>
      <c r="F533" s="85" t="s">
        <v>301</v>
      </c>
      <c r="G533" s="85" t="s">
        <v>301</v>
      </c>
      <c r="H533" s="85" t="s">
        <v>301</v>
      </c>
      <c r="I533" s="85" t="s">
        <v>301</v>
      </c>
      <c r="U533" s="218" t="str">
        <f t="shared" ref="U533:U536" si="77">IF(COUNT(D533:I533)&lt;&gt;0,1,"")</f>
        <v/>
      </c>
    </row>
    <row r="534" spans="2:21">
      <c r="B534" s="47" t="s">
        <v>1481</v>
      </c>
      <c r="C534" s="61" t="s">
        <v>2212</v>
      </c>
      <c r="D534" s="85" t="s">
        <v>301</v>
      </c>
      <c r="E534" s="85" t="s">
        <v>301</v>
      </c>
      <c r="F534" s="85" t="s">
        <v>301</v>
      </c>
      <c r="G534" s="85" t="s">
        <v>301</v>
      </c>
      <c r="H534" s="85" t="s">
        <v>301</v>
      </c>
      <c r="I534" s="85" t="s">
        <v>301</v>
      </c>
      <c r="U534" s="218" t="str">
        <f t="shared" si="77"/>
        <v/>
      </c>
    </row>
    <row r="535" spans="2:21">
      <c r="B535" s="47" t="s">
        <v>1482</v>
      </c>
      <c r="C535" s="61" t="s">
        <v>2213</v>
      </c>
      <c r="D535" s="85" t="s">
        <v>301</v>
      </c>
      <c r="E535" s="85" t="s">
        <v>301</v>
      </c>
      <c r="F535" s="85" t="s">
        <v>301</v>
      </c>
      <c r="G535" s="85" t="s">
        <v>301</v>
      </c>
      <c r="H535" s="85" t="s">
        <v>301</v>
      </c>
      <c r="I535" s="85" t="s">
        <v>301</v>
      </c>
      <c r="U535" s="218" t="str">
        <f t="shared" si="77"/>
        <v/>
      </c>
    </row>
    <row r="536" spans="2:21">
      <c r="B536" s="47" t="s">
        <v>1483</v>
      </c>
      <c r="C536" s="61" t="s">
        <v>2214</v>
      </c>
      <c r="D536" s="85" t="s">
        <v>301</v>
      </c>
      <c r="E536" s="85" t="s">
        <v>301</v>
      </c>
      <c r="F536" s="85" t="s">
        <v>301</v>
      </c>
      <c r="G536" s="85" t="s">
        <v>301</v>
      </c>
      <c r="H536" s="85" t="s">
        <v>301</v>
      </c>
      <c r="I536" s="85" t="s">
        <v>301</v>
      </c>
      <c r="U536" s="218" t="str">
        <f t="shared" si="77"/>
        <v/>
      </c>
    </row>
    <row r="537" spans="2:21">
      <c r="B537" s="62" t="s">
        <v>1484</v>
      </c>
      <c r="C537" s="61" t="s">
        <v>272</v>
      </c>
      <c r="D537" s="85"/>
      <c r="E537" s="85"/>
      <c r="F537" s="85"/>
      <c r="G537" s="85"/>
      <c r="H537" s="85"/>
      <c r="I537" s="85"/>
      <c r="U537" s="217">
        <v>1</v>
      </c>
    </row>
    <row r="538" spans="2:21">
      <c r="B538" s="47" t="s">
        <v>1485</v>
      </c>
      <c r="C538" s="61" t="s">
        <v>2215</v>
      </c>
      <c r="D538" s="45" t="s">
        <v>301</v>
      </c>
      <c r="E538" s="45" t="s">
        <v>301</v>
      </c>
      <c r="F538" s="45" t="s">
        <v>301</v>
      </c>
      <c r="G538" s="45" t="s">
        <v>301</v>
      </c>
      <c r="H538" s="45" t="s">
        <v>301</v>
      </c>
      <c r="I538" s="45" t="s">
        <v>301</v>
      </c>
      <c r="U538" s="218" t="str">
        <f t="shared" ref="U538:U541" si="78">IF(COUNT(D538:I538)&lt;&gt;0,1,"")</f>
        <v/>
      </c>
    </row>
    <row r="539" spans="2:21">
      <c r="B539" s="47" t="s">
        <v>1486</v>
      </c>
      <c r="C539" s="61" t="s">
        <v>2216</v>
      </c>
      <c r="D539" s="45" t="s">
        <v>301</v>
      </c>
      <c r="E539" s="45" t="s">
        <v>301</v>
      </c>
      <c r="F539" s="45" t="s">
        <v>301</v>
      </c>
      <c r="G539" s="45" t="s">
        <v>301</v>
      </c>
      <c r="H539" s="45" t="s">
        <v>301</v>
      </c>
      <c r="I539" s="45" t="s">
        <v>301</v>
      </c>
      <c r="U539" s="218" t="str">
        <f t="shared" si="78"/>
        <v/>
      </c>
    </row>
    <row r="540" spans="2:21">
      <c r="B540" s="47" t="s">
        <v>1487</v>
      </c>
      <c r="C540" s="61" t="s">
        <v>2217</v>
      </c>
      <c r="D540" s="45" t="s">
        <v>301</v>
      </c>
      <c r="E540" s="45" t="s">
        <v>301</v>
      </c>
      <c r="F540" s="45" t="s">
        <v>301</v>
      </c>
      <c r="G540" s="45" t="s">
        <v>301</v>
      </c>
      <c r="H540" s="45" t="s">
        <v>301</v>
      </c>
      <c r="I540" s="45" t="s">
        <v>301</v>
      </c>
      <c r="U540" s="218" t="str">
        <f t="shared" si="78"/>
        <v/>
      </c>
    </row>
    <row r="541" spans="2:21">
      <c r="B541" s="47" t="s">
        <v>1488</v>
      </c>
      <c r="C541" s="61" t="s">
        <v>2218</v>
      </c>
      <c r="D541" s="45" t="s">
        <v>301</v>
      </c>
      <c r="E541" s="45" t="s">
        <v>301</v>
      </c>
      <c r="F541" s="45" t="s">
        <v>301</v>
      </c>
      <c r="G541" s="45" t="s">
        <v>301</v>
      </c>
      <c r="H541" s="45" t="s">
        <v>301</v>
      </c>
      <c r="I541" s="45" t="s">
        <v>301</v>
      </c>
      <c r="U541" s="218" t="str">
        <f t="shared" si="78"/>
        <v/>
      </c>
    </row>
    <row r="542" spans="2:21">
      <c r="B542" s="62" t="s">
        <v>1489</v>
      </c>
      <c r="C542" s="61" t="s">
        <v>272</v>
      </c>
      <c r="D542" s="85"/>
      <c r="E542" s="85"/>
      <c r="F542" s="85"/>
      <c r="G542" s="85"/>
      <c r="H542" s="85"/>
      <c r="I542" s="85"/>
      <c r="U542" s="217">
        <v>1</v>
      </c>
    </row>
    <row r="543" spans="2:21">
      <c r="B543" s="47" t="s">
        <v>1558</v>
      </c>
      <c r="C543" s="61" t="s">
        <v>2219</v>
      </c>
      <c r="D543" s="85" t="s">
        <v>301</v>
      </c>
      <c r="E543" s="85" t="s">
        <v>301</v>
      </c>
      <c r="F543" s="85" t="s">
        <v>301</v>
      </c>
      <c r="G543" s="85" t="s">
        <v>301</v>
      </c>
      <c r="H543" s="85" t="s">
        <v>301</v>
      </c>
      <c r="I543" s="85" t="s">
        <v>301</v>
      </c>
      <c r="U543" s="218" t="str">
        <f t="shared" ref="U543:U548" si="79">IF(COUNT(D543:I543)&lt;&gt;0,1,"")</f>
        <v/>
      </c>
    </row>
    <row r="544" spans="2:21">
      <c r="B544" s="47" t="s">
        <v>1559</v>
      </c>
      <c r="C544" s="61" t="s">
        <v>2220</v>
      </c>
      <c r="D544" s="85" t="s">
        <v>301</v>
      </c>
      <c r="E544" s="85" t="s">
        <v>301</v>
      </c>
      <c r="F544" s="85" t="s">
        <v>301</v>
      </c>
      <c r="G544" s="85" t="s">
        <v>301</v>
      </c>
      <c r="H544" s="85" t="s">
        <v>301</v>
      </c>
      <c r="I544" s="85" t="s">
        <v>301</v>
      </c>
      <c r="U544" s="218" t="str">
        <f t="shared" si="79"/>
        <v/>
      </c>
    </row>
    <row r="545" spans="2:21">
      <c r="B545" s="47" t="s">
        <v>1560</v>
      </c>
      <c r="C545" s="61" t="s">
        <v>2221</v>
      </c>
      <c r="D545" s="85" t="s">
        <v>301</v>
      </c>
      <c r="E545" s="85" t="s">
        <v>301</v>
      </c>
      <c r="F545" s="85" t="s">
        <v>301</v>
      </c>
      <c r="G545" s="85" t="s">
        <v>301</v>
      </c>
      <c r="H545" s="85" t="s">
        <v>301</v>
      </c>
      <c r="I545" s="85" t="s">
        <v>301</v>
      </c>
      <c r="U545" s="218" t="str">
        <f t="shared" si="79"/>
        <v/>
      </c>
    </row>
    <row r="546" spans="2:21">
      <c r="B546" s="47" t="s">
        <v>1561</v>
      </c>
      <c r="C546" s="61" t="s">
        <v>2222</v>
      </c>
      <c r="D546" s="85" t="s">
        <v>301</v>
      </c>
      <c r="E546" s="85" t="s">
        <v>301</v>
      </c>
      <c r="F546" s="85" t="s">
        <v>301</v>
      </c>
      <c r="G546" s="85" t="s">
        <v>301</v>
      </c>
      <c r="H546" s="85" t="s">
        <v>301</v>
      </c>
      <c r="I546" s="85" t="s">
        <v>301</v>
      </c>
      <c r="U546" s="218" t="str">
        <f t="shared" si="79"/>
        <v/>
      </c>
    </row>
    <row r="547" spans="2:21">
      <c r="B547" s="47" t="s">
        <v>1562</v>
      </c>
      <c r="C547" s="61" t="s">
        <v>2223</v>
      </c>
      <c r="D547" s="85" t="s">
        <v>301</v>
      </c>
      <c r="E547" s="85" t="s">
        <v>301</v>
      </c>
      <c r="F547" s="85" t="s">
        <v>301</v>
      </c>
      <c r="G547" s="85" t="s">
        <v>301</v>
      </c>
      <c r="H547" s="85" t="s">
        <v>301</v>
      </c>
      <c r="I547" s="85" t="s">
        <v>301</v>
      </c>
      <c r="U547" s="218" t="str">
        <f t="shared" si="79"/>
        <v/>
      </c>
    </row>
    <row r="548" spans="2:21">
      <c r="B548" s="47" t="s">
        <v>1563</v>
      </c>
      <c r="C548" s="61" t="s">
        <v>2224</v>
      </c>
      <c r="D548" s="85" t="s">
        <v>301</v>
      </c>
      <c r="E548" s="85" t="s">
        <v>301</v>
      </c>
      <c r="F548" s="85" t="s">
        <v>301</v>
      </c>
      <c r="G548" s="85" t="s">
        <v>301</v>
      </c>
      <c r="H548" s="85" t="s">
        <v>301</v>
      </c>
      <c r="I548" s="85" t="s">
        <v>301</v>
      </c>
      <c r="U548" s="218" t="str">
        <f t="shared" si="79"/>
        <v/>
      </c>
    </row>
    <row r="549" spans="2:21">
      <c r="B549" s="62" t="s">
        <v>1496</v>
      </c>
      <c r="C549" s="61" t="s">
        <v>272</v>
      </c>
      <c r="D549" s="85"/>
      <c r="E549" s="85"/>
      <c r="F549" s="85"/>
      <c r="G549" s="85"/>
      <c r="H549" s="85"/>
      <c r="I549" s="85"/>
      <c r="U549" s="217">
        <v>1</v>
      </c>
    </row>
    <row r="550" spans="2:21">
      <c r="B550" s="47" t="s">
        <v>1564</v>
      </c>
      <c r="C550" s="61" t="s">
        <v>2225</v>
      </c>
      <c r="D550" s="85" t="s">
        <v>301</v>
      </c>
      <c r="E550" s="85" t="s">
        <v>301</v>
      </c>
      <c r="F550" s="85" t="s">
        <v>301</v>
      </c>
      <c r="G550" s="85" t="s">
        <v>301</v>
      </c>
      <c r="H550" s="85" t="s">
        <v>301</v>
      </c>
      <c r="I550" s="85" t="s">
        <v>301</v>
      </c>
      <c r="U550" s="218" t="str">
        <f t="shared" ref="U550:U557" si="80">IF(COUNT(D550:I550)&lt;&gt;0,1,"")</f>
        <v/>
      </c>
    </row>
    <row r="551" spans="2:21">
      <c r="B551" s="47" t="s">
        <v>1565</v>
      </c>
      <c r="C551" s="61" t="s">
        <v>2226</v>
      </c>
      <c r="D551" s="85" t="s">
        <v>301</v>
      </c>
      <c r="E551" s="85" t="s">
        <v>301</v>
      </c>
      <c r="F551" s="85" t="s">
        <v>301</v>
      </c>
      <c r="G551" s="85" t="s">
        <v>301</v>
      </c>
      <c r="H551" s="85" t="s">
        <v>301</v>
      </c>
      <c r="I551" s="85" t="s">
        <v>301</v>
      </c>
      <c r="U551" s="218" t="str">
        <f t="shared" si="80"/>
        <v/>
      </c>
    </row>
    <row r="552" spans="2:21">
      <c r="B552" s="47" t="s">
        <v>1566</v>
      </c>
      <c r="C552" s="61" t="s">
        <v>2227</v>
      </c>
      <c r="D552" s="85" t="s">
        <v>301</v>
      </c>
      <c r="E552" s="85" t="s">
        <v>301</v>
      </c>
      <c r="F552" s="85" t="s">
        <v>301</v>
      </c>
      <c r="G552" s="85" t="s">
        <v>301</v>
      </c>
      <c r="H552" s="85" t="s">
        <v>301</v>
      </c>
      <c r="I552" s="85" t="s">
        <v>301</v>
      </c>
      <c r="U552" s="218" t="str">
        <f t="shared" si="80"/>
        <v/>
      </c>
    </row>
    <row r="553" spans="2:21">
      <c r="B553" s="47" t="s">
        <v>1567</v>
      </c>
      <c r="C553" s="61" t="s">
        <v>2228</v>
      </c>
      <c r="D553" s="85" t="s">
        <v>301</v>
      </c>
      <c r="E553" s="85" t="s">
        <v>301</v>
      </c>
      <c r="F553" s="85" t="s">
        <v>301</v>
      </c>
      <c r="G553" s="85" t="s">
        <v>301</v>
      </c>
      <c r="H553" s="85" t="s">
        <v>301</v>
      </c>
      <c r="I553" s="85" t="s">
        <v>301</v>
      </c>
      <c r="U553" s="218" t="str">
        <f t="shared" si="80"/>
        <v/>
      </c>
    </row>
    <row r="554" spans="2:21">
      <c r="B554" s="47" t="s">
        <v>1501</v>
      </c>
      <c r="C554" s="61" t="s">
        <v>2229</v>
      </c>
      <c r="D554" s="85" t="s">
        <v>301</v>
      </c>
      <c r="E554" s="85" t="s">
        <v>301</v>
      </c>
      <c r="F554" s="85" t="s">
        <v>301</v>
      </c>
      <c r="G554" s="85" t="s">
        <v>301</v>
      </c>
      <c r="H554" s="85" t="s">
        <v>301</v>
      </c>
      <c r="I554" s="85" t="s">
        <v>301</v>
      </c>
      <c r="U554" s="218" t="str">
        <f t="shared" si="80"/>
        <v/>
      </c>
    </row>
    <row r="555" spans="2:21">
      <c r="B555" s="47" t="s">
        <v>1502</v>
      </c>
      <c r="C555" s="61" t="s">
        <v>2230</v>
      </c>
      <c r="D555" s="85" t="s">
        <v>301</v>
      </c>
      <c r="E555" s="85" t="s">
        <v>301</v>
      </c>
      <c r="F555" s="85" t="s">
        <v>301</v>
      </c>
      <c r="G555" s="85" t="s">
        <v>301</v>
      </c>
      <c r="H555" s="85" t="s">
        <v>301</v>
      </c>
      <c r="I555" s="85" t="s">
        <v>301</v>
      </c>
      <c r="U555" s="218" t="str">
        <f t="shared" si="80"/>
        <v/>
      </c>
    </row>
    <row r="556" spans="2:21">
      <c r="B556" s="47" t="s">
        <v>1503</v>
      </c>
      <c r="C556" s="61" t="s">
        <v>2231</v>
      </c>
      <c r="D556" s="85" t="s">
        <v>301</v>
      </c>
      <c r="E556" s="85" t="s">
        <v>301</v>
      </c>
      <c r="F556" s="85" t="s">
        <v>301</v>
      </c>
      <c r="G556" s="85" t="s">
        <v>301</v>
      </c>
      <c r="H556" s="85" t="s">
        <v>301</v>
      </c>
      <c r="I556" s="85" t="s">
        <v>301</v>
      </c>
      <c r="U556" s="218" t="str">
        <f t="shared" si="80"/>
        <v/>
      </c>
    </row>
    <row r="557" spans="2:21">
      <c r="B557" s="47" t="s">
        <v>1568</v>
      </c>
      <c r="C557" s="61" t="s">
        <v>2232</v>
      </c>
      <c r="D557" s="85" t="s">
        <v>301</v>
      </c>
      <c r="E557" s="85" t="s">
        <v>301</v>
      </c>
      <c r="F557" s="85" t="s">
        <v>301</v>
      </c>
      <c r="G557" s="85" t="s">
        <v>301</v>
      </c>
      <c r="H557" s="85" t="s">
        <v>301</v>
      </c>
      <c r="I557" s="85" t="s">
        <v>301</v>
      </c>
      <c r="U557" s="218" t="str">
        <f t="shared" si="80"/>
        <v/>
      </c>
    </row>
    <row r="558" spans="2:21">
      <c r="B558" s="62" t="s">
        <v>1505</v>
      </c>
      <c r="C558" s="61" t="s">
        <v>272</v>
      </c>
      <c r="D558" s="85"/>
      <c r="E558" s="85"/>
      <c r="F558" s="85"/>
      <c r="G558" s="85"/>
      <c r="H558" s="85"/>
      <c r="I558" s="85"/>
      <c r="U558" s="217">
        <v>1</v>
      </c>
    </row>
    <row r="559" spans="2:21">
      <c r="B559" s="47" t="s">
        <v>1569</v>
      </c>
      <c r="C559" s="61" t="s">
        <v>2233</v>
      </c>
      <c r="D559" s="85" t="s">
        <v>301</v>
      </c>
      <c r="E559" s="85" t="s">
        <v>301</v>
      </c>
      <c r="F559" s="85" t="s">
        <v>301</v>
      </c>
      <c r="G559" s="85" t="s">
        <v>301</v>
      </c>
      <c r="H559" s="85" t="s">
        <v>301</v>
      </c>
      <c r="I559" s="85" t="s">
        <v>301</v>
      </c>
      <c r="U559" s="218" t="str">
        <f t="shared" ref="U559:U569" si="81">IF(COUNT(D559:I559)&lt;&gt;0,1,"")</f>
        <v/>
      </c>
    </row>
    <row r="560" spans="2:21">
      <c r="B560" s="47" t="s">
        <v>1570</v>
      </c>
      <c r="C560" s="61" t="s">
        <v>2234</v>
      </c>
      <c r="D560" s="85" t="s">
        <v>301</v>
      </c>
      <c r="E560" s="85" t="s">
        <v>301</v>
      </c>
      <c r="F560" s="85" t="s">
        <v>301</v>
      </c>
      <c r="G560" s="85" t="s">
        <v>301</v>
      </c>
      <c r="H560" s="85" t="s">
        <v>301</v>
      </c>
      <c r="I560" s="85" t="s">
        <v>301</v>
      </c>
      <c r="U560" s="218" t="str">
        <f t="shared" si="81"/>
        <v/>
      </c>
    </row>
    <row r="561" spans="2:21">
      <c r="B561" s="47" t="s">
        <v>1571</v>
      </c>
      <c r="C561" s="61" t="s">
        <v>2235</v>
      </c>
      <c r="D561" s="85" t="s">
        <v>301</v>
      </c>
      <c r="E561" s="85" t="s">
        <v>301</v>
      </c>
      <c r="F561" s="85" t="s">
        <v>301</v>
      </c>
      <c r="G561" s="85" t="s">
        <v>301</v>
      </c>
      <c r="H561" s="85" t="s">
        <v>301</v>
      </c>
      <c r="I561" s="85" t="s">
        <v>301</v>
      </c>
      <c r="U561" s="218" t="str">
        <f t="shared" si="81"/>
        <v/>
      </c>
    </row>
    <row r="562" spans="2:21">
      <c r="B562" s="62" t="s">
        <v>1521</v>
      </c>
      <c r="C562" s="61" t="s">
        <v>272</v>
      </c>
      <c r="D562" s="85"/>
      <c r="E562" s="85"/>
      <c r="F562" s="85"/>
      <c r="G562" s="85"/>
      <c r="H562" s="85"/>
      <c r="I562" s="85"/>
      <c r="U562" s="217">
        <v>1</v>
      </c>
    </row>
    <row r="563" spans="2:21">
      <c r="B563" s="47" t="s">
        <v>1579</v>
      </c>
      <c r="C563" s="61" t="s">
        <v>2236</v>
      </c>
      <c r="D563" s="85" t="s">
        <v>301</v>
      </c>
      <c r="E563" s="85" t="s">
        <v>301</v>
      </c>
      <c r="F563" s="85" t="s">
        <v>301</v>
      </c>
      <c r="G563" s="85" t="s">
        <v>301</v>
      </c>
      <c r="H563" s="85" t="s">
        <v>301</v>
      </c>
      <c r="I563" s="85" t="s">
        <v>301</v>
      </c>
      <c r="U563" s="218" t="str">
        <f t="shared" si="81"/>
        <v/>
      </c>
    </row>
    <row r="564" spans="2:21">
      <c r="B564" s="47" t="s">
        <v>1580</v>
      </c>
      <c r="C564" s="61" t="s">
        <v>2237</v>
      </c>
      <c r="D564" s="85" t="s">
        <v>301</v>
      </c>
      <c r="E564" s="85" t="s">
        <v>301</v>
      </c>
      <c r="F564" s="85" t="s">
        <v>301</v>
      </c>
      <c r="G564" s="85" t="s">
        <v>301</v>
      </c>
      <c r="H564" s="85" t="s">
        <v>301</v>
      </c>
      <c r="I564" s="85" t="s">
        <v>301</v>
      </c>
      <c r="U564" s="218" t="str">
        <f t="shared" si="81"/>
        <v/>
      </c>
    </row>
    <row r="565" spans="2:21">
      <c r="B565" s="47" t="s">
        <v>1581</v>
      </c>
      <c r="C565" s="61" t="s">
        <v>2238</v>
      </c>
      <c r="D565" s="85" t="s">
        <v>301</v>
      </c>
      <c r="E565" s="85" t="s">
        <v>301</v>
      </c>
      <c r="F565" s="85" t="s">
        <v>301</v>
      </c>
      <c r="G565" s="85" t="s">
        <v>301</v>
      </c>
      <c r="H565" s="85" t="s">
        <v>301</v>
      </c>
      <c r="I565" s="85" t="s">
        <v>301</v>
      </c>
      <c r="U565" s="218" t="str">
        <f t="shared" si="81"/>
        <v/>
      </c>
    </row>
    <row r="566" spans="2:21">
      <c r="B566" s="47" t="s">
        <v>1582</v>
      </c>
      <c r="C566" s="61" t="s">
        <v>2239</v>
      </c>
      <c r="D566" s="85" t="s">
        <v>301</v>
      </c>
      <c r="E566" s="85" t="s">
        <v>301</v>
      </c>
      <c r="F566" s="85" t="s">
        <v>301</v>
      </c>
      <c r="G566" s="85" t="s">
        <v>301</v>
      </c>
      <c r="H566" s="85" t="s">
        <v>301</v>
      </c>
      <c r="I566" s="85" t="s">
        <v>301</v>
      </c>
      <c r="U566" s="218" t="str">
        <f t="shared" si="81"/>
        <v/>
      </c>
    </row>
    <row r="567" spans="2:21">
      <c r="B567" s="62" t="s">
        <v>1526</v>
      </c>
      <c r="C567" s="61" t="s">
        <v>272</v>
      </c>
      <c r="D567" s="85"/>
      <c r="E567" s="85"/>
      <c r="F567" s="85"/>
      <c r="G567" s="85"/>
      <c r="H567" s="85"/>
      <c r="I567" s="85"/>
      <c r="U567" s="217">
        <v>1</v>
      </c>
    </row>
    <row r="568" spans="2:21">
      <c r="B568" s="47" t="s">
        <v>1590</v>
      </c>
      <c r="C568" s="61" t="s">
        <v>2240</v>
      </c>
      <c r="D568" s="85" t="s">
        <v>301</v>
      </c>
      <c r="E568" s="85" t="s">
        <v>301</v>
      </c>
      <c r="F568" s="85" t="s">
        <v>301</v>
      </c>
      <c r="G568" s="85" t="s">
        <v>301</v>
      </c>
      <c r="H568" s="85" t="s">
        <v>301</v>
      </c>
      <c r="I568" s="85" t="s">
        <v>301</v>
      </c>
      <c r="U568" s="218" t="str">
        <f t="shared" si="81"/>
        <v/>
      </c>
    </row>
    <row r="569" spans="2:21">
      <c r="B569" s="47" t="s">
        <v>1591</v>
      </c>
      <c r="C569" s="61" t="s">
        <v>2241</v>
      </c>
      <c r="D569" s="85" t="s">
        <v>301</v>
      </c>
      <c r="E569" s="85" t="s">
        <v>301</v>
      </c>
      <c r="F569" s="85" t="s">
        <v>301</v>
      </c>
      <c r="G569" s="85" t="s">
        <v>301</v>
      </c>
      <c r="H569" s="85" t="s">
        <v>301</v>
      </c>
      <c r="I569" s="85" t="s">
        <v>301</v>
      </c>
      <c r="U569" s="218" t="str">
        <f t="shared" si="81"/>
        <v/>
      </c>
    </row>
    <row r="570" spans="2:21">
      <c r="B570" s="47" t="s">
        <v>1769</v>
      </c>
      <c r="C570" s="61" t="s">
        <v>1585</v>
      </c>
      <c r="D570" s="23"/>
      <c r="E570" s="23"/>
      <c r="F570" s="23"/>
      <c r="G570" s="23"/>
      <c r="H570" s="23"/>
      <c r="I570" s="23"/>
    </row>
    <row r="571" spans="2:21">
      <c r="B571" s="224"/>
      <c r="C571" s="222"/>
      <c r="D571" s="223"/>
      <c r="E571" s="223"/>
      <c r="F571" s="223"/>
      <c r="G571" s="223"/>
      <c r="H571" s="223"/>
      <c r="I571" s="223"/>
    </row>
  </sheetData>
  <pageMargins left="0.25" right="0.25" top="0.25" bottom="0.25" header="0" footer="0"/>
  <pageSetup paperSize="9" scale="7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HideEmpty6">
                <anchor moveWithCells="1" sizeWithCells="1">
                  <from>
                    <xdr:col>4</xdr:col>
                    <xdr:colOff>175260</xdr:colOff>
                    <xdr:row>0</xdr:row>
                    <xdr:rowOff>106680</xdr:rowOff>
                  </from>
                  <to>
                    <xdr:col>5</xdr:col>
                    <xdr:colOff>297180</xdr:colOff>
                    <xdr:row>2</xdr:row>
                    <xdr:rowOff>38100</xdr:rowOff>
                  </to>
                </anchor>
              </controlPr>
            </control>
          </mc:Choice>
        </mc:AlternateContent>
        <mc:AlternateContent xmlns:mc="http://schemas.openxmlformats.org/markup-compatibility/2006">
          <mc:Choice Requires="x14">
            <control shapeId="10242" r:id="rId5" name="Button 2">
              <controlPr defaultSize="0" print="0" autoFill="0" autoPict="0" macro="[0]!UnhideAll">
                <anchor moveWithCells="1" sizeWithCells="1">
                  <from>
                    <xdr:col>5</xdr:col>
                    <xdr:colOff>441960</xdr:colOff>
                    <xdr:row>0</xdr:row>
                    <xdr:rowOff>106680</xdr:rowOff>
                  </from>
                  <to>
                    <xdr:col>6</xdr:col>
                    <xdr:colOff>563880</xdr:colOff>
                    <xdr:row>2</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93fa11c4-64a5-4d8a-b04e-1d703219bb99">
      <UserInfo>
        <DisplayName/>
        <AccountId xsi:nil="true"/>
        <AccountType/>
      </UserInfo>
    </SharedWithUsers>
    <MediaLengthInSeconds xmlns="de06fa60-b0aa-4fb8-95ef-f1fad24c9bec" xsi:nil="true"/>
    <lcf76f155ced4ddcb4097134ff3c332f xmlns="de06fa60-b0aa-4fb8-95ef-f1fad24c9bec">
      <Terms xmlns="http://schemas.microsoft.com/office/infopath/2007/PartnerControls"/>
    </lcf76f155ced4ddcb4097134ff3c332f>
    <TaxCatchAll xmlns="93fa11c4-64a5-4d8a-b04e-1d703219bb9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45D1F1578584A45AB2C5C66688572D0" ma:contentTypeVersion="15" ma:contentTypeDescription="Create a new document." ma:contentTypeScope="" ma:versionID="5cc0ca36b1814a1e08793a8861dd76f2">
  <xsd:schema xmlns:xsd="http://www.w3.org/2001/XMLSchema" xmlns:xs="http://www.w3.org/2001/XMLSchema" xmlns:p="http://schemas.microsoft.com/office/2006/metadata/properties" xmlns:ns2="de06fa60-b0aa-4fb8-95ef-f1fad24c9bec" xmlns:ns3="93fa11c4-64a5-4d8a-b04e-1d703219bb99" targetNamespace="http://schemas.microsoft.com/office/2006/metadata/properties" ma:root="true" ma:fieldsID="0a8ec463987d0d5fc7d627fb696adc59" ns2:_="" ns3:_="">
    <xsd:import namespace="de06fa60-b0aa-4fb8-95ef-f1fad24c9bec"/>
    <xsd:import namespace="93fa11c4-64a5-4d8a-b04e-1d703219bb99"/>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06fa60-b0aa-4fb8-95ef-f1fad24c9b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Length (seconds)"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f79bde-b34b-4e33-a562-f79c102b9a25"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3fa11c4-64a5-4d8a-b04e-1d703219bb9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1212f202-5c9a-4cf1-816e-d651a8273360}" ma:internalName="TaxCatchAll" ma:showField="CatchAllData" ma:web="93fa11c4-64a5-4d8a-b04e-1d703219bb9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D79B76-89D9-40FF-AB80-797739FF91AA}">
  <ds:schemaRefs>
    <ds:schemaRef ds:uri="http://schemas.microsoft.com/sharepoint/v3/contenttype/forms"/>
  </ds:schemaRefs>
</ds:datastoreItem>
</file>

<file path=customXml/itemProps2.xml><?xml version="1.0" encoding="utf-8"?>
<ds:datastoreItem xmlns:ds="http://schemas.openxmlformats.org/officeDocument/2006/customXml" ds:itemID="{7AB8602A-BBFF-4057-BCFE-6C3E253B20E8}">
  <ds:schemaRefs>
    <ds:schemaRef ds:uri="http://schemas.microsoft.com/office/2006/metadata/properties"/>
    <ds:schemaRef ds:uri="http://schemas.microsoft.com/office/infopath/2007/PartnerControls"/>
    <ds:schemaRef ds:uri="93fa11c4-64a5-4d8a-b04e-1d703219bb99"/>
    <ds:schemaRef ds:uri="de06fa60-b0aa-4fb8-95ef-f1fad24c9bec"/>
  </ds:schemaRefs>
</ds:datastoreItem>
</file>

<file path=customXml/itemProps3.xml><?xml version="1.0" encoding="utf-8"?>
<ds:datastoreItem xmlns:ds="http://schemas.openxmlformats.org/officeDocument/2006/customXml" ds:itemID="{EBE8DBAE-CB8A-4283-915F-D544C8F230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06fa60-b0aa-4fb8-95ef-f1fad24c9bec"/>
    <ds:schemaRef ds:uri="93fa11c4-64a5-4d8a-b04e-1d703219bb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34</vt:i4>
      </vt:variant>
    </vt:vector>
  </HeadingPairs>
  <TitlesOfParts>
    <vt:vector size="43" baseType="lpstr">
      <vt:lpstr>Key_Stats</vt:lpstr>
      <vt:lpstr>Capitalization</vt:lpstr>
      <vt:lpstr>Income_Statement</vt:lpstr>
      <vt:lpstr>Balance_Sheet</vt:lpstr>
      <vt:lpstr>Cash_Flow</vt:lpstr>
      <vt:lpstr>Capital_Structure_Summary</vt:lpstr>
      <vt:lpstr>Ratios</vt:lpstr>
      <vt:lpstr>Supplemental</vt:lpstr>
      <vt:lpstr>Pension-OPEB</vt:lpstr>
      <vt:lpstr>Check_ConMethod</vt:lpstr>
      <vt:lpstr>Check_Currency</vt:lpstr>
      <vt:lpstr>Check_Mag</vt:lpstr>
      <vt:lpstr>ClearData</vt:lpstr>
      <vt:lpstr>Conv_List</vt:lpstr>
      <vt:lpstr>Cu_Sym</vt:lpstr>
      <vt:lpstr>Curr_Sym</vt:lpstr>
      <vt:lpstr>CURR_SYMBOL</vt:lpstr>
      <vt:lpstr>Currency_Name</vt:lpstr>
      <vt:lpstr>Date</vt:lpstr>
      <vt:lpstr>Divisor</vt:lpstr>
      <vt:lpstr>Focus_Co</vt:lpstr>
      <vt:lpstr>FormatTable</vt:lpstr>
      <vt:lpstr>Magnitude</vt:lpstr>
      <vt:lpstr>Period</vt:lpstr>
      <vt:lpstr>Balance_Sheet!Print_Area</vt:lpstr>
      <vt:lpstr>Capital_Structure_Summary!Print_Area</vt:lpstr>
      <vt:lpstr>Capitalization!Print_Area</vt:lpstr>
      <vt:lpstr>Cash_Flow!Print_Area</vt:lpstr>
      <vt:lpstr>Income_Statement!Print_Area</vt:lpstr>
      <vt:lpstr>Key_Stats!Print_Area</vt:lpstr>
      <vt:lpstr>'Pension-OPEB'!Print_Area</vt:lpstr>
      <vt:lpstr>Ratios!Print_Area</vt:lpstr>
      <vt:lpstr>Supplemental!Print_Area</vt:lpstr>
      <vt:lpstr>Balance_Sheet!Print_Titles</vt:lpstr>
      <vt:lpstr>Capital_Structure_Summary!Print_Titles</vt:lpstr>
      <vt:lpstr>Cash_Flow!Print_Titles</vt:lpstr>
      <vt:lpstr>Income_Statement!Print_Titles</vt:lpstr>
      <vt:lpstr>'Pension-OPEB'!Print_Titles</vt:lpstr>
      <vt:lpstr>Ratios!Print_Titles</vt:lpstr>
      <vt:lpstr>Supplemental!Print_Titles</vt:lpstr>
      <vt:lpstr>Sel_Conv</vt:lpstr>
      <vt:lpstr>Sel_Curr</vt:lpstr>
      <vt:lpstr>Sel_Mag</vt:lpstr>
    </vt:vector>
  </TitlesOfParts>
  <Company>S&amp;P Global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Gaurav Kumar (SNL INDIA)</dc:creator>
  <cp:lastModifiedBy>Longhao Desktop</cp:lastModifiedBy>
  <cp:lastPrinted>2021-05-24T09:51:50Z</cp:lastPrinted>
  <dcterms:created xsi:type="dcterms:W3CDTF">2019-03-14T16:48:12Z</dcterms:created>
  <dcterms:modified xsi:type="dcterms:W3CDTF">2024-09-02T20:44:35Z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{E0774F9E-693F-4E74-B34D-63A7F4C7B52A}</vt:lpwstr>
  </property>
  <property fmtid="{D5CDD505-2E9C-101B-9397-08002B2CF9AE}" pid="3" name="KeyFile">
    <vt:r8>409069100</vt:r8>
  </property>
  <property fmtid="{D5CDD505-2E9C-101B-9397-08002B2CF9AE}" pid="4" name="snltemplateid">
    <vt:r8>409069100</vt:r8>
  </property>
  <property fmtid="{D5CDD505-2E9C-101B-9397-08002B2CF9AE}" pid="5" name="ContentTypeId">
    <vt:lpwstr>0x010100745D1F1578584A45AB2C5C66688572D0</vt:lpwstr>
  </property>
  <property fmtid="{D5CDD505-2E9C-101B-9397-08002B2CF9AE}" pid="6" name="Order">
    <vt:r8>4107800</vt:r8>
  </property>
  <property fmtid="{D5CDD505-2E9C-101B-9397-08002B2CF9AE}" pid="7" name="xd_Signature">
    <vt:bool>false</vt:bool>
  </property>
  <property fmtid="{D5CDD505-2E9C-101B-9397-08002B2CF9AE}" pid="8" name="xd_ProgID">
    <vt:lpwstr/>
  </property>
  <property fmtid="{D5CDD505-2E9C-101B-9397-08002B2CF9AE}" pid="9" name="_ExtendedDescription">
    <vt:lpwstr/>
  </property>
  <property fmtid="{D5CDD505-2E9C-101B-9397-08002B2CF9AE}" pid="10" name="TriggerFlowInfo">
    <vt:lpwstr/>
  </property>
  <property fmtid="{D5CDD505-2E9C-101B-9397-08002B2CF9AE}" pid="11" name="ComplianceAssetId">
    <vt:lpwstr/>
  </property>
  <property fmtid="{D5CDD505-2E9C-101B-9397-08002B2CF9AE}" pid="12" name="TemplateUrl">
    <vt:lpwstr/>
  </property>
  <property fmtid="{D5CDD505-2E9C-101B-9397-08002B2CF9AE}" pid="13" name="MediaServiceImageTags">
    <vt:lpwstr/>
  </property>
  <property fmtid="{D5CDD505-2E9C-101B-9397-08002B2CF9AE}" pid="14" name="MSIP_Label_831f0267-8575-4fc2-99cc-f6b7f9934be9_Enabled">
    <vt:lpwstr>true</vt:lpwstr>
  </property>
  <property fmtid="{D5CDD505-2E9C-101B-9397-08002B2CF9AE}" pid="15" name="MSIP_Label_831f0267-8575-4fc2-99cc-f6b7f9934be9_SetDate">
    <vt:lpwstr>2022-11-01T18:52:01Z</vt:lpwstr>
  </property>
  <property fmtid="{D5CDD505-2E9C-101B-9397-08002B2CF9AE}" pid="16" name="MSIP_Label_831f0267-8575-4fc2-99cc-f6b7f9934be9_Method">
    <vt:lpwstr>Standard</vt:lpwstr>
  </property>
  <property fmtid="{D5CDD505-2E9C-101B-9397-08002B2CF9AE}" pid="17" name="MSIP_Label_831f0267-8575-4fc2-99cc-f6b7f9934be9_Name">
    <vt:lpwstr>831f0267-8575-4fc2-99cc-f6b7f9934be9</vt:lpwstr>
  </property>
  <property fmtid="{D5CDD505-2E9C-101B-9397-08002B2CF9AE}" pid="18" name="MSIP_Label_831f0267-8575-4fc2-99cc-f6b7f9934be9_SiteId">
    <vt:lpwstr>8f3e36ea-8039-4b40-81a7-7dc0599e8645</vt:lpwstr>
  </property>
  <property fmtid="{D5CDD505-2E9C-101B-9397-08002B2CF9AE}" pid="19" name="MSIP_Label_831f0267-8575-4fc2-99cc-f6b7f9934be9_ActionId">
    <vt:lpwstr>7284f728-700f-434c-b5b9-658769e2e94d</vt:lpwstr>
  </property>
  <property fmtid="{D5CDD505-2E9C-101B-9397-08002B2CF9AE}" pid="20" name="MSIP_Label_831f0267-8575-4fc2-99cc-f6b7f9934be9_ContentBits">
    <vt:lpwstr>0</vt:lpwstr>
  </property>
</Properties>
</file>